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tventurecom-my.sharepoint.com/personal/shaunk_bitventure_co_za/Documents/Documents/work-files/html-files/htmltools/onboarding/"/>
    </mc:Choice>
  </mc:AlternateContent>
  <xr:revisionPtr revIDLastSave="48" documentId="8_{651BEF53-814D-4DFA-8372-18E058EAD150}" xr6:coauthVersionLast="47" xr6:coauthVersionMax="47" xr10:uidLastSave="{3FCAF9BE-E965-48B9-A0F8-81C3AF338783}"/>
  <bookViews>
    <workbookView xWindow="-120" yWindow="-120" windowWidth="29040" windowHeight="15720" activeTab="1" xr2:uid="{9A1E885F-9A9C-4645-BF91-C61EEEC6D5BE}"/>
  </bookViews>
  <sheets>
    <sheet name="Sheet3" sheetId="1" r:id="rId1"/>
    <sheet name="BVLFS" sheetId="2" r:id="rId2"/>
  </sheets>
  <definedNames>
    <definedName name="_xlnm._FilterDatabase" localSheetId="0" hidden="1">Sheet3!$N$1:$Z$900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00" i="1" l="1"/>
  <c r="J900" i="1" s="1"/>
  <c r="E900" i="1"/>
  <c r="A900" i="1"/>
  <c r="I899" i="1"/>
  <c r="J899" i="1" s="1"/>
  <c r="E899" i="1"/>
  <c r="A899" i="1"/>
  <c r="I898" i="1"/>
  <c r="E898" i="1"/>
  <c r="A898" i="1"/>
  <c r="I897" i="1"/>
  <c r="E897" i="1"/>
  <c r="A897" i="1"/>
  <c r="I896" i="1"/>
  <c r="E896" i="1"/>
  <c r="A896" i="1"/>
  <c r="I895" i="1"/>
  <c r="E895" i="1"/>
  <c r="A895" i="1"/>
  <c r="I894" i="1"/>
  <c r="E894" i="1"/>
  <c r="A894" i="1"/>
  <c r="I893" i="1"/>
  <c r="E893" i="1"/>
  <c r="A893" i="1"/>
  <c r="I892" i="1"/>
  <c r="E892" i="1"/>
  <c r="A892" i="1"/>
  <c r="I891" i="1"/>
  <c r="E891" i="1"/>
  <c r="G891" i="1" s="1"/>
  <c r="A891" i="1"/>
  <c r="C891" i="1" s="1"/>
  <c r="I890" i="1"/>
  <c r="J890" i="1" s="1"/>
  <c r="E890" i="1"/>
  <c r="A890" i="1"/>
  <c r="I889" i="1"/>
  <c r="J889" i="1" s="1"/>
  <c r="E889" i="1"/>
  <c r="A889" i="1"/>
  <c r="I888" i="1"/>
  <c r="J888" i="1" s="1"/>
  <c r="E888" i="1"/>
  <c r="A888" i="1"/>
  <c r="I887" i="1"/>
  <c r="J887" i="1" s="1"/>
  <c r="E887" i="1"/>
  <c r="A887" i="1"/>
  <c r="I886" i="1"/>
  <c r="J886" i="1" s="1"/>
  <c r="E886" i="1"/>
  <c r="A886" i="1"/>
  <c r="I885" i="1"/>
  <c r="J885" i="1" s="1"/>
  <c r="E885" i="1"/>
  <c r="A885" i="1"/>
  <c r="I884" i="1"/>
  <c r="J884" i="1" s="1"/>
  <c r="E884" i="1"/>
  <c r="A884" i="1"/>
  <c r="I883" i="1"/>
  <c r="J883" i="1" s="1"/>
  <c r="E883" i="1"/>
  <c r="A883" i="1"/>
  <c r="I882" i="1"/>
  <c r="J882" i="1" s="1"/>
  <c r="E882" i="1"/>
  <c r="A882" i="1"/>
  <c r="I881" i="1"/>
  <c r="J881" i="1" s="1"/>
  <c r="E881" i="1"/>
  <c r="A881" i="1"/>
  <c r="I880" i="1"/>
  <c r="J880" i="1" s="1"/>
  <c r="E880" i="1"/>
  <c r="A880" i="1"/>
  <c r="I879" i="1"/>
  <c r="J879" i="1" s="1"/>
  <c r="E879" i="1"/>
  <c r="A879" i="1"/>
  <c r="I878" i="1"/>
  <c r="E878" i="1"/>
  <c r="A878" i="1"/>
  <c r="I877" i="1"/>
  <c r="E877" i="1"/>
  <c r="A877" i="1"/>
  <c r="I876" i="1"/>
  <c r="E876" i="1"/>
  <c r="A876" i="1"/>
  <c r="I875" i="1"/>
  <c r="E875" i="1"/>
  <c r="A875" i="1"/>
  <c r="I874" i="1"/>
  <c r="E874" i="1"/>
  <c r="A874" i="1"/>
  <c r="I873" i="1"/>
  <c r="E873" i="1"/>
  <c r="A873" i="1"/>
  <c r="I872" i="1"/>
  <c r="E872" i="1"/>
  <c r="A872" i="1"/>
  <c r="I871" i="1"/>
  <c r="E871" i="1"/>
  <c r="A871" i="1"/>
  <c r="I870" i="1"/>
  <c r="E870" i="1"/>
  <c r="A870" i="1"/>
  <c r="I869" i="1"/>
  <c r="E869" i="1"/>
  <c r="A869" i="1"/>
  <c r="I868" i="1"/>
  <c r="E868" i="1"/>
  <c r="A868" i="1"/>
  <c r="I867" i="1"/>
  <c r="E867" i="1"/>
  <c r="A867" i="1"/>
  <c r="I866" i="1"/>
  <c r="E866" i="1"/>
  <c r="A866" i="1"/>
  <c r="I865" i="1"/>
  <c r="E865" i="1"/>
  <c r="A865" i="1"/>
  <c r="I864" i="1"/>
  <c r="E864" i="1"/>
  <c r="A864" i="1"/>
  <c r="I863" i="1"/>
  <c r="E863" i="1"/>
  <c r="A863" i="1"/>
  <c r="I862" i="1"/>
  <c r="E862" i="1"/>
  <c r="A862" i="1"/>
  <c r="I861" i="1"/>
  <c r="E861" i="1"/>
  <c r="A861" i="1"/>
  <c r="I860" i="1"/>
  <c r="E860" i="1"/>
  <c r="A860" i="1"/>
  <c r="I859" i="1"/>
  <c r="E859" i="1"/>
  <c r="A859" i="1"/>
  <c r="I858" i="1"/>
  <c r="E858" i="1"/>
  <c r="A858" i="1"/>
  <c r="I857" i="1"/>
  <c r="E857" i="1"/>
  <c r="A857" i="1"/>
  <c r="I856" i="1"/>
  <c r="E856" i="1"/>
  <c r="A856" i="1"/>
  <c r="I855" i="1"/>
  <c r="E855" i="1"/>
  <c r="A855" i="1"/>
  <c r="I854" i="1"/>
  <c r="E854" i="1"/>
  <c r="A854" i="1"/>
  <c r="I853" i="1"/>
  <c r="E853" i="1"/>
  <c r="A853" i="1"/>
  <c r="I852" i="1"/>
  <c r="E852" i="1"/>
  <c r="A852" i="1"/>
  <c r="I851" i="1"/>
  <c r="E851" i="1"/>
  <c r="A851" i="1"/>
  <c r="I850" i="1"/>
  <c r="E850" i="1"/>
  <c r="A850" i="1"/>
  <c r="I849" i="1"/>
  <c r="E849" i="1"/>
  <c r="A849" i="1"/>
  <c r="I848" i="1"/>
  <c r="E848" i="1"/>
  <c r="A848" i="1"/>
  <c r="I847" i="1"/>
  <c r="E847" i="1"/>
  <c r="A847" i="1"/>
  <c r="I846" i="1"/>
  <c r="E846" i="1"/>
  <c r="A846" i="1"/>
  <c r="I845" i="1"/>
  <c r="E845" i="1"/>
  <c r="A845" i="1"/>
  <c r="I844" i="1"/>
  <c r="E844" i="1"/>
  <c r="A844" i="1"/>
  <c r="I843" i="1"/>
  <c r="E843" i="1"/>
  <c r="A843" i="1"/>
  <c r="I842" i="1"/>
  <c r="E842" i="1"/>
  <c r="A842" i="1"/>
  <c r="I841" i="1"/>
  <c r="E841" i="1"/>
  <c r="A841" i="1"/>
  <c r="I840" i="1"/>
  <c r="E840" i="1"/>
  <c r="A840" i="1"/>
  <c r="I839" i="1"/>
  <c r="E839" i="1"/>
  <c r="A839" i="1"/>
  <c r="I838" i="1"/>
  <c r="E838" i="1"/>
  <c r="A838" i="1"/>
  <c r="I837" i="1"/>
  <c r="E837" i="1"/>
  <c r="A837" i="1"/>
  <c r="I836" i="1"/>
  <c r="E836" i="1"/>
  <c r="A836" i="1"/>
  <c r="I835" i="1"/>
  <c r="E835" i="1"/>
  <c r="A835" i="1"/>
  <c r="I834" i="1"/>
  <c r="E834" i="1"/>
  <c r="A834" i="1"/>
  <c r="I833" i="1"/>
  <c r="E833" i="1"/>
  <c r="A833" i="1"/>
  <c r="I832" i="1"/>
  <c r="E832" i="1"/>
  <c r="A832" i="1"/>
  <c r="I831" i="1"/>
  <c r="E831" i="1"/>
  <c r="A831" i="1"/>
  <c r="I830" i="1"/>
  <c r="E830" i="1"/>
  <c r="A830" i="1"/>
  <c r="I829" i="1"/>
  <c r="E829" i="1"/>
  <c r="A829" i="1"/>
  <c r="I828" i="1"/>
  <c r="E828" i="1"/>
  <c r="G828" i="1" s="1"/>
  <c r="A828" i="1"/>
  <c r="I827" i="1"/>
  <c r="J827" i="1" s="1"/>
  <c r="E827" i="1"/>
  <c r="A827" i="1"/>
  <c r="I826" i="1"/>
  <c r="J826" i="1" s="1"/>
  <c r="E826" i="1"/>
  <c r="A826" i="1"/>
  <c r="I825" i="1"/>
  <c r="J825" i="1" s="1"/>
  <c r="E825" i="1"/>
  <c r="A825" i="1"/>
  <c r="I824" i="1"/>
  <c r="J824" i="1" s="1"/>
  <c r="E824" i="1"/>
  <c r="A824" i="1"/>
  <c r="J823" i="1"/>
  <c r="I823" i="1"/>
  <c r="E823" i="1"/>
  <c r="A823" i="1"/>
  <c r="I822" i="1"/>
  <c r="J822" i="1" s="1"/>
  <c r="E822" i="1"/>
  <c r="A822" i="1"/>
  <c r="I821" i="1"/>
  <c r="J821" i="1" s="1"/>
  <c r="E821" i="1"/>
  <c r="A821" i="1"/>
  <c r="I820" i="1"/>
  <c r="J820" i="1" s="1"/>
  <c r="E820" i="1"/>
  <c r="A820" i="1"/>
  <c r="I819" i="1"/>
  <c r="J819" i="1" s="1"/>
  <c r="E819" i="1"/>
  <c r="A819" i="1"/>
  <c r="J818" i="1"/>
  <c r="I818" i="1"/>
  <c r="E818" i="1"/>
  <c r="A818" i="1"/>
  <c r="I817" i="1"/>
  <c r="J817" i="1" s="1"/>
  <c r="E817" i="1"/>
  <c r="A817" i="1"/>
  <c r="I816" i="1"/>
  <c r="J816" i="1" s="1"/>
  <c r="E816" i="1"/>
  <c r="A816" i="1"/>
  <c r="I815" i="1"/>
  <c r="J815" i="1" s="1"/>
  <c r="E815" i="1"/>
  <c r="A815" i="1"/>
  <c r="I814" i="1"/>
  <c r="J814" i="1" s="1"/>
  <c r="E814" i="1"/>
  <c r="A814" i="1"/>
  <c r="I813" i="1"/>
  <c r="J813" i="1" s="1"/>
  <c r="E813" i="1"/>
  <c r="A813" i="1"/>
  <c r="I812" i="1"/>
  <c r="E812" i="1"/>
  <c r="A812" i="1"/>
  <c r="I811" i="1"/>
  <c r="E811" i="1"/>
  <c r="A811" i="1"/>
  <c r="I810" i="1"/>
  <c r="E810" i="1"/>
  <c r="A810" i="1"/>
  <c r="I809" i="1"/>
  <c r="E809" i="1"/>
  <c r="A809" i="1"/>
  <c r="I808" i="1"/>
  <c r="E808" i="1"/>
  <c r="A808" i="1"/>
  <c r="I807" i="1"/>
  <c r="E807" i="1"/>
  <c r="A807" i="1"/>
  <c r="I806" i="1"/>
  <c r="E806" i="1"/>
  <c r="A806" i="1"/>
  <c r="I805" i="1"/>
  <c r="E805" i="1"/>
  <c r="A805" i="1"/>
  <c r="I804" i="1"/>
  <c r="E804" i="1"/>
  <c r="A804" i="1"/>
  <c r="I803" i="1"/>
  <c r="E803" i="1"/>
  <c r="A803" i="1"/>
  <c r="I802" i="1"/>
  <c r="E802" i="1"/>
  <c r="A802" i="1"/>
  <c r="I801" i="1"/>
  <c r="E801" i="1"/>
  <c r="A801" i="1"/>
  <c r="I800" i="1"/>
  <c r="E800" i="1"/>
  <c r="A800" i="1"/>
  <c r="I799" i="1"/>
  <c r="E799" i="1"/>
  <c r="A799" i="1"/>
  <c r="I798" i="1"/>
  <c r="E798" i="1"/>
  <c r="A798" i="1"/>
  <c r="I797" i="1"/>
  <c r="E797" i="1"/>
  <c r="A797" i="1"/>
  <c r="I796" i="1"/>
  <c r="E796" i="1"/>
  <c r="A796" i="1"/>
  <c r="I795" i="1"/>
  <c r="E795" i="1"/>
  <c r="A795" i="1"/>
  <c r="I794" i="1"/>
  <c r="E794" i="1"/>
  <c r="A794" i="1"/>
  <c r="I793" i="1"/>
  <c r="E793" i="1"/>
  <c r="A793" i="1"/>
  <c r="I792" i="1"/>
  <c r="E792" i="1"/>
  <c r="A792" i="1"/>
  <c r="I791" i="1"/>
  <c r="E791" i="1"/>
  <c r="A791" i="1"/>
  <c r="I790" i="1"/>
  <c r="E790" i="1"/>
  <c r="A790" i="1"/>
  <c r="I789" i="1"/>
  <c r="E789" i="1"/>
  <c r="A789" i="1"/>
  <c r="I788" i="1"/>
  <c r="E788" i="1"/>
  <c r="A788" i="1"/>
  <c r="I787" i="1"/>
  <c r="E787" i="1"/>
  <c r="A787" i="1"/>
  <c r="I786" i="1"/>
  <c r="E786" i="1"/>
  <c r="A786" i="1"/>
  <c r="I785" i="1"/>
  <c r="E785" i="1"/>
  <c r="A785" i="1"/>
  <c r="I784" i="1"/>
  <c r="E784" i="1"/>
  <c r="A784" i="1"/>
  <c r="I783" i="1"/>
  <c r="E783" i="1"/>
  <c r="A783" i="1"/>
  <c r="I782" i="1"/>
  <c r="E782" i="1"/>
  <c r="A782" i="1"/>
  <c r="I781" i="1"/>
  <c r="E781" i="1"/>
  <c r="A781" i="1"/>
  <c r="I780" i="1"/>
  <c r="E780" i="1"/>
  <c r="A780" i="1"/>
  <c r="I779" i="1"/>
  <c r="E779" i="1"/>
  <c r="A779" i="1"/>
  <c r="I778" i="1"/>
  <c r="E778" i="1"/>
  <c r="A778" i="1"/>
  <c r="I777" i="1"/>
  <c r="E777" i="1"/>
  <c r="A777" i="1"/>
  <c r="I776" i="1"/>
  <c r="E776" i="1"/>
  <c r="A776" i="1"/>
  <c r="I775" i="1"/>
  <c r="E775" i="1"/>
  <c r="A775" i="1"/>
  <c r="I774" i="1"/>
  <c r="E774" i="1"/>
  <c r="A774" i="1"/>
  <c r="I773" i="1"/>
  <c r="E773" i="1"/>
  <c r="A773" i="1"/>
  <c r="I772" i="1"/>
  <c r="E772" i="1"/>
  <c r="A772" i="1"/>
  <c r="I771" i="1"/>
  <c r="E771" i="1"/>
  <c r="A771" i="1"/>
  <c r="I770" i="1"/>
  <c r="E770" i="1"/>
  <c r="A770" i="1"/>
  <c r="I769" i="1"/>
  <c r="E769" i="1"/>
  <c r="A769" i="1"/>
  <c r="I768" i="1"/>
  <c r="E768" i="1"/>
  <c r="A768" i="1"/>
  <c r="I767" i="1"/>
  <c r="E767" i="1"/>
  <c r="A767" i="1"/>
  <c r="I766" i="1"/>
  <c r="E766" i="1"/>
  <c r="A766" i="1"/>
  <c r="I765" i="1"/>
  <c r="E765" i="1"/>
  <c r="A765" i="1"/>
  <c r="I764" i="1"/>
  <c r="E764" i="1"/>
  <c r="A764" i="1"/>
  <c r="I763" i="1"/>
  <c r="E763" i="1"/>
  <c r="A763" i="1"/>
  <c r="I762" i="1"/>
  <c r="E762" i="1"/>
  <c r="A762" i="1"/>
  <c r="I761" i="1"/>
  <c r="E761" i="1"/>
  <c r="A761" i="1"/>
  <c r="I760" i="1"/>
  <c r="E760" i="1"/>
  <c r="A760" i="1"/>
  <c r="I759" i="1"/>
  <c r="E759" i="1"/>
  <c r="A759" i="1"/>
  <c r="I758" i="1"/>
  <c r="E758" i="1"/>
  <c r="A758" i="1"/>
  <c r="I757" i="1"/>
  <c r="E757" i="1"/>
  <c r="A757" i="1"/>
  <c r="I756" i="1"/>
  <c r="E756" i="1"/>
  <c r="A756" i="1"/>
  <c r="I755" i="1"/>
  <c r="E755" i="1"/>
  <c r="A755" i="1"/>
  <c r="I754" i="1"/>
  <c r="E754" i="1"/>
  <c r="G754" i="1" s="1"/>
  <c r="A754" i="1"/>
  <c r="I753" i="1"/>
  <c r="J753" i="1" s="1"/>
  <c r="E753" i="1"/>
  <c r="A753" i="1"/>
  <c r="I752" i="1"/>
  <c r="J752" i="1" s="1"/>
  <c r="E752" i="1"/>
  <c r="A752" i="1"/>
  <c r="I751" i="1"/>
  <c r="J751" i="1" s="1"/>
  <c r="E751" i="1"/>
  <c r="A751" i="1"/>
  <c r="I750" i="1"/>
  <c r="J750" i="1" s="1"/>
  <c r="E750" i="1"/>
  <c r="A750" i="1"/>
  <c r="I749" i="1"/>
  <c r="J749" i="1" s="1"/>
  <c r="E749" i="1"/>
  <c r="A749" i="1"/>
  <c r="I748" i="1"/>
  <c r="J748" i="1" s="1"/>
  <c r="E748" i="1"/>
  <c r="A748" i="1"/>
  <c r="I747" i="1"/>
  <c r="J747" i="1" s="1"/>
  <c r="E747" i="1"/>
  <c r="A747" i="1"/>
  <c r="I746" i="1"/>
  <c r="J746" i="1" s="1"/>
  <c r="E746" i="1"/>
  <c r="A746" i="1"/>
  <c r="I745" i="1"/>
  <c r="J745" i="1" s="1"/>
  <c r="E745" i="1"/>
  <c r="A745" i="1"/>
  <c r="I744" i="1"/>
  <c r="J744" i="1" s="1"/>
  <c r="E744" i="1"/>
  <c r="A744" i="1"/>
  <c r="I743" i="1"/>
  <c r="J743" i="1" s="1"/>
  <c r="E743" i="1"/>
  <c r="A743" i="1"/>
  <c r="I742" i="1"/>
  <c r="J742" i="1" s="1"/>
  <c r="E742" i="1"/>
  <c r="A742" i="1"/>
  <c r="I741" i="1"/>
  <c r="J741" i="1" s="1"/>
  <c r="E741" i="1"/>
  <c r="A741" i="1"/>
  <c r="I740" i="1"/>
  <c r="J740" i="1" s="1"/>
  <c r="E740" i="1"/>
  <c r="A740" i="1"/>
  <c r="I739" i="1"/>
  <c r="E739" i="1"/>
  <c r="A739" i="1"/>
  <c r="I738" i="1"/>
  <c r="E738" i="1"/>
  <c r="A738" i="1"/>
  <c r="I737" i="1"/>
  <c r="E737" i="1"/>
  <c r="A737" i="1"/>
  <c r="I736" i="1"/>
  <c r="E736" i="1"/>
  <c r="A736" i="1"/>
  <c r="I735" i="1"/>
  <c r="E735" i="1"/>
  <c r="A735" i="1"/>
  <c r="I734" i="1"/>
  <c r="E734" i="1"/>
  <c r="A734" i="1"/>
  <c r="I733" i="1"/>
  <c r="E733" i="1"/>
  <c r="A733" i="1"/>
  <c r="I732" i="1"/>
  <c r="E732" i="1"/>
  <c r="A732" i="1"/>
  <c r="I731" i="1"/>
  <c r="E731" i="1"/>
  <c r="A731" i="1"/>
  <c r="I730" i="1"/>
  <c r="E730" i="1"/>
  <c r="A730" i="1"/>
  <c r="I729" i="1"/>
  <c r="E729" i="1"/>
  <c r="A729" i="1"/>
  <c r="I728" i="1"/>
  <c r="E728" i="1"/>
  <c r="A728" i="1"/>
  <c r="I727" i="1"/>
  <c r="E727" i="1"/>
  <c r="A727" i="1"/>
  <c r="I726" i="1"/>
  <c r="E726" i="1"/>
  <c r="A726" i="1"/>
  <c r="I725" i="1"/>
  <c r="E725" i="1"/>
  <c r="A725" i="1"/>
  <c r="I724" i="1"/>
  <c r="E724" i="1"/>
  <c r="A724" i="1"/>
  <c r="I723" i="1"/>
  <c r="E723" i="1"/>
  <c r="A723" i="1"/>
  <c r="I722" i="1"/>
  <c r="E722" i="1"/>
  <c r="A722" i="1"/>
  <c r="I721" i="1"/>
  <c r="E721" i="1"/>
  <c r="A721" i="1"/>
  <c r="I720" i="1"/>
  <c r="E720" i="1"/>
  <c r="A720" i="1"/>
  <c r="I719" i="1"/>
  <c r="E719" i="1"/>
  <c r="A719" i="1"/>
  <c r="I718" i="1"/>
  <c r="E718" i="1"/>
  <c r="A718" i="1"/>
  <c r="I717" i="1"/>
  <c r="E717" i="1"/>
  <c r="A717" i="1"/>
  <c r="I716" i="1"/>
  <c r="E716" i="1"/>
  <c r="A716" i="1"/>
  <c r="I715" i="1"/>
  <c r="E715" i="1"/>
  <c r="A715" i="1"/>
  <c r="I714" i="1"/>
  <c r="E714" i="1"/>
  <c r="A714" i="1"/>
  <c r="I713" i="1"/>
  <c r="E713" i="1"/>
  <c r="A713" i="1"/>
  <c r="I712" i="1"/>
  <c r="E712" i="1"/>
  <c r="A712" i="1"/>
  <c r="I711" i="1"/>
  <c r="E711" i="1"/>
  <c r="A711" i="1"/>
  <c r="I710" i="1"/>
  <c r="E710" i="1"/>
  <c r="A710" i="1"/>
  <c r="I709" i="1"/>
  <c r="E709" i="1"/>
  <c r="A709" i="1"/>
  <c r="I708" i="1"/>
  <c r="E708" i="1"/>
  <c r="A708" i="1"/>
  <c r="I707" i="1"/>
  <c r="E707" i="1"/>
  <c r="A707" i="1"/>
  <c r="I706" i="1"/>
  <c r="E706" i="1"/>
  <c r="A706" i="1"/>
  <c r="I705" i="1"/>
  <c r="E705" i="1"/>
  <c r="A705" i="1"/>
  <c r="I704" i="1"/>
  <c r="E704" i="1"/>
  <c r="A704" i="1"/>
  <c r="I703" i="1"/>
  <c r="E703" i="1"/>
  <c r="A703" i="1"/>
  <c r="I702" i="1"/>
  <c r="E702" i="1"/>
  <c r="A702" i="1"/>
  <c r="I701" i="1"/>
  <c r="E701" i="1"/>
  <c r="A701" i="1"/>
  <c r="I700" i="1"/>
  <c r="E700" i="1"/>
  <c r="A700" i="1"/>
  <c r="I699" i="1"/>
  <c r="E699" i="1"/>
  <c r="A699" i="1"/>
  <c r="I698" i="1"/>
  <c r="E698" i="1"/>
  <c r="A698" i="1"/>
  <c r="I697" i="1"/>
  <c r="E697" i="1"/>
  <c r="A697" i="1"/>
  <c r="I696" i="1"/>
  <c r="E696" i="1"/>
  <c r="A696" i="1"/>
  <c r="I695" i="1"/>
  <c r="E695" i="1"/>
  <c r="A695" i="1"/>
  <c r="I694" i="1"/>
  <c r="E694" i="1"/>
  <c r="A694" i="1"/>
  <c r="I693" i="1"/>
  <c r="E693" i="1"/>
  <c r="A693" i="1"/>
  <c r="I692" i="1"/>
  <c r="E692" i="1"/>
  <c r="A692" i="1"/>
  <c r="I691" i="1"/>
  <c r="E691" i="1"/>
  <c r="A691" i="1"/>
  <c r="I690" i="1"/>
  <c r="E690" i="1"/>
  <c r="A690" i="1"/>
  <c r="I689" i="1"/>
  <c r="E689" i="1"/>
  <c r="A689" i="1"/>
  <c r="I688" i="1"/>
  <c r="E688" i="1"/>
  <c r="A688" i="1"/>
  <c r="I687" i="1"/>
  <c r="E687" i="1"/>
  <c r="A687" i="1"/>
  <c r="I686" i="1"/>
  <c r="E686" i="1"/>
  <c r="A686" i="1"/>
  <c r="I685" i="1"/>
  <c r="E685" i="1"/>
  <c r="A685" i="1"/>
  <c r="I684" i="1"/>
  <c r="E684" i="1"/>
  <c r="A684" i="1"/>
  <c r="I683" i="1"/>
  <c r="E683" i="1"/>
  <c r="A683" i="1"/>
  <c r="I682" i="1"/>
  <c r="E682" i="1"/>
  <c r="A682" i="1"/>
  <c r="I681" i="1"/>
  <c r="E681" i="1"/>
  <c r="A681" i="1"/>
  <c r="I680" i="1"/>
  <c r="E680" i="1"/>
  <c r="A680" i="1"/>
  <c r="I679" i="1"/>
  <c r="E679" i="1"/>
  <c r="A679" i="1"/>
  <c r="I678" i="1"/>
  <c r="E678" i="1"/>
  <c r="A678" i="1"/>
  <c r="I677" i="1"/>
  <c r="E677" i="1"/>
  <c r="G677" i="1" s="1"/>
  <c r="A677" i="1"/>
  <c r="C677" i="1" s="1"/>
  <c r="I676" i="1"/>
  <c r="J676" i="1" s="1"/>
  <c r="E676" i="1"/>
  <c r="A676" i="1"/>
  <c r="I675" i="1"/>
  <c r="J675" i="1" s="1"/>
  <c r="E675" i="1"/>
  <c r="A675" i="1"/>
  <c r="I674" i="1"/>
  <c r="J674" i="1" s="1"/>
  <c r="E674" i="1"/>
  <c r="A674" i="1"/>
  <c r="I673" i="1"/>
  <c r="J673" i="1" s="1"/>
  <c r="E673" i="1"/>
  <c r="A673" i="1"/>
  <c r="I672" i="1"/>
  <c r="J672" i="1" s="1"/>
  <c r="E672" i="1"/>
  <c r="A672" i="1"/>
  <c r="I671" i="1"/>
  <c r="J671" i="1" s="1"/>
  <c r="E671" i="1"/>
  <c r="A671" i="1"/>
  <c r="I670" i="1"/>
  <c r="J670" i="1" s="1"/>
  <c r="E670" i="1"/>
  <c r="A670" i="1"/>
  <c r="I669" i="1"/>
  <c r="J669" i="1" s="1"/>
  <c r="E669" i="1"/>
  <c r="A669" i="1"/>
  <c r="I668" i="1"/>
  <c r="J668" i="1" s="1"/>
  <c r="E668" i="1"/>
  <c r="A668" i="1"/>
  <c r="I667" i="1"/>
  <c r="J667" i="1" s="1"/>
  <c r="E667" i="1"/>
  <c r="A667" i="1"/>
  <c r="I666" i="1"/>
  <c r="J666" i="1" s="1"/>
  <c r="E666" i="1"/>
  <c r="A666" i="1"/>
  <c r="I665" i="1"/>
  <c r="J665" i="1" s="1"/>
  <c r="E665" i="1"/>
  <c r="A665" i="1"/>
  <c r="I664" i="1"/>
  <c r="J664" i="1" s="1"/>
  <c r="E664" i="1"/>
  <c r="A664" i="1"/>
  <c r="I663" i="1"/>
  <c r="E663" i="1"/>
  <c r="A663" i="1"/>
  <c r="I662" i="1"/>
  <c r="E662" i="1"/>
  <c r="G662" i="1" s="1"/>
  <c r="A662" i="1"/>
  <c r="C662" i="1" s="1"/>
  <c r="I661" i="1"/>
  <c r="J661" i="1" s="1"/>
  <c r="E661" i="1"/>
  <c r="A661" i="1"/>
  <c r="I660" i="1"/>
  <c r="J660" i="1" s="1"/>
  <c r="E660" i="1"/>
  <c r="A660" i="1"/>
  <c r="I659" i="1"/>
  <c r="J659" i="1" s="1"/>
  <c r="E659" i="1"/>
  <c r="A659" i="1"/>
  <c r="I658" i="1"/>
  <c r="J658" i="1" s="1"/>
  <c r="E658" i="1"/>
  <c r="A658" i="1"/>
  <c r="I657" i="1"/>
  <c r="J657" i="1" s="1"/>
  <c r="E657" i="1"/>
  <c r="A657" i="1"/>
  <c r="J656" i="1"/>
  <c r="I656" i="1"/>
  <c r="E656" i="1"/>
  <c r="A656" i="1"/>
  <c r="I655" i="1"/>
  <c r="J655" i="1" s="1"/>
  <c r="E655" i="1"/>
  <c r="A655" i="1"/>
  <c r="I654" i="1"/>
  <c r="J654" i="1" s="1"/>
  <c r="E654" i="1"/>
  <c r="A654" i="1"/>
  <c r="I653" i="1"/>
  <c r="J653" i="1" s="1"/>
  <c r="E653" i="1"/>
  <c r="A653" i="1"/>
  <c r="I652" i="1"/>
  <c r="J652" i="1" s="1"/>
  <c r="E652" i="1"/>
  <c r="A652" i="1"/>
  <c r="I651" i="1"/>
  <c r="J651" i="1" s="1"/>
  <c r="E651" i="1"/>
  <c r="A651" i="1"/>
  <c r="J650" i="1"/>
  <c r="I650" i="1"/>
  <c r="E650" i="1"/>
  <c r="A650" i="1"/>
  <c r="I649" i="1"/>
  <c r="J649" i="1" s="1"/>
  <c r="E649" i="1"/>
  <c r="A649" i="1"/>
  <c r="I648" i="1"/>
  <c r="J648" i="1" s="1"/>
  <c r="E648" i="1"/>
  <c r="A648" i="1"/>
  <c r="I647" i="1"/>
  <c r="E647" i="1"/>
  <c r="G647" i="1" s="1"/>
  <c r="A647" i="1"/>
  <c r="C647" i="1" s="1"/>
  <c r="I646" i="1"/>
  <c r="J646" i="1" s="1"/>
  <c r="E646" i="1"/>
  <c r="A646" i="1"/>
  <c r="I645" i="1"/>
  <c r="J645" i="1" s="1"/>
  <c r="E645" i="1"/>
  <c r="A645" i="1"/>
  <c r="I644" i="1"/>
  <c r="J644" i="1" s="1"/>
  <c r="E644" i="1"/>
  <c r="A644" i="1"/>
  <c r="I643" i="1"/>
  <c r="J643" i="1" s="1"/>
  <c r="E643" i="1"/>
  <c r="A643" i="1"/>
  <c r="I642" i="1"/>
  <c r="J642" i="1" s="1"/>
  <c r="E642" i="1"/>
  <c r="A642" i="1"/>
  <c r="J641" i="1"/>
  <c r="I641" i="1"/>
  <c r="E641" i="1"/>
  <c r="A641" i="1"/>
  <c r="I640" i="1"/>
  <c r="J640" i="1" s="1"/>
  <c r="E640" i="1"/>
  <c r="A640" i="1"/>
  <c r="I639" i="1"/>
  <c r="J639" i="1" s="1"/>
  <c r="E639" i="1"/>
  <c r="G639" i="1" s="1"/>
  <c r="A639" i="1"/>
  <c r="C639" i="1" s="1"/>
  <c r="I638" i="1"/>
  <c r="J638" i="1" s="1"/>
  <c r="E638" i="1"/>
  <c r="A638" i="1"/>
  <c r="I637" i="1"/>
  <c r="J637" i="1" s="1"/>
  <c r="E637" i="1"/>
  <c r="A637" i="1"/>
  <c r="I636" i="1"/>
  <c r="J636" i="1" s="1"/>
  <c r="E636" i="1"/>
  <c r="A636" i="1"/>
  <c r="J635" i="1"/>
  <c r="I635" i="1"/>
  <c r="E635" i="1"/>
  <c r="A635" i="1"/>
  <c r="I634" i="1"/>
  <c r="J634" i="1" s="1"/>
  <c r="E634" i="1"/>
  <c r="A634" i="1"/>
  <c r="I633" i="1"/>
  <c r="J633" i="1" s="1"/>
  <c r="E633" i="1"/>
  <c r="A633" i="1"/>
  <c r="I632" i="1"/>
  <c r="E632" i="1"/>
  <c r="A632" i="1"/>
  <c r="I631" i="1"/>
  <c r="E631" i="1"/>
  <c r="A631" i="1"/>
  <c r="I630" i="1"/>
  <c r="E630" i="1"/>
  <c r="A630" i="1"/>
  <c r="I629" i="1"/>
  <c r="E629" i="1"/>
  <c r="G629" i="1" s="1"/>
  <c r="A629" i="1"/>
  <c r="C629" i="1" s="1"/>
  <c r="I628" i="1"/>
  <c r="J628" i="1" s="1"/>
  <c r="E628" i="1"/>
  <c r="A628" i="1"/>
  <c r="I627" i="1"/>
  <c r="J627" i="1" s="1"/>
  <c r="E627" i="1"/>
  <c r="A627" i="1"/>
  <c r="J626" i="1"/>
  <c r="I626" i="1"/>
  <c r="E626" i="1"/>
  <c r="A626" i="1"/>
  <c r="I625" i="1"/>
  <c r="J625" i="1" s="1"/>
  <c r="E625" i="1"/>
  <c r="A625" i="1"/>
  <c r="I624" i="1"/>
  <c r="J624" i="1" s="1"/>
  <c r="E624" i="1"/>
  <c r="A624" i="1"/>
  <c r="I623" i="1"/>
  <c r="E623" i="1"/>
  <c r="A623" i="1"/>
  <c r="I622" i="1"/>
  <c r="E622" i="1"/>
  <c r="A622" i="1"/>
  <c r="I621" i="1"/>
  <c r="E621" i="1"/>
  <c r="A621" i="1"/>
  <c r="I620" i="1"/>
  <c r="E620" i="1"/>
  <c r="A620" i="1"/>
  <c r="I619" i="1"/>
  <c r="E619" i="1"/>
  <c r="A619" i="1"/>
  <c r="I618" i="1"/>
  <c r="E618" i="1"/>
  <c r="A618" i="1"/>
  <c r="I617" i="1"/>
  <c r="E617" i="1"/>
  <c r="A617" i="1"/>
  <c r="I616" i="1"/>
  <c r="E616" i="1"/>
  <c r="A616" i="1"/>
  <c r="I615" i="1"/>
  <c r="E615" i="1"/>
  <c r="A615" i="1"/>
  <c r="I614" i="1"/>
  <c r="E614" i="1"/>
  <c r="A614" i="1"/>
  <c r="I613" i="1"/>
  <c r="E613" i="1"/>
  <c r="A613" i="1"/>
  <c r="I612" i="1"/>
  <c r="E612" i="1"/>
  <c r="A612" i="1"/>
  <c r="I611" i="1"/>
  <c r="E611" i="1"/>
  <c r="G611" i="1" s="1"/>
  <c r="A611" i="1"/>
  <c r="I610" i="1"/>
  <c r="J610" i="1" s="1"/>
  <c r="E610" i="1"/>
  <c r="A610" i="1"/>
  <c r="J609" i="1"/>
  <c r="I609" i="1"/>
  <c r="E609" i="1"/>
  <c r="A609" i="1"/>
  <c r="I608" i="1"/>
  <c r="J608" i="1" s="1"/>
  <c r="E608" i="1"/>
  <c r="A608" i="1"/>
  <c r="I607" i="1"/>
  <c r="J607" i="1" s="1"/>
  <c r="E607" i="1"/>
  <c r="A607" i="1"/>
  <c r="I606" i="1"/>
  <c r="E606" i="1"/>
  <c r="A606" i="1"/>
  <c r="I605" i="1"/>
  <c r="J605" i="1" s="1"/>
  <c r="E605" i="1"/>
  <c r="A605" i="1"/>
  <c r="I604" i="1"/>
  <c r="J604" i="1" s="1"/>
  <c r="E604" i="1"/>
  <c r="A604" i="1"/>
  <c r="I603" i="1"/>
  <c r="J603" i="1" s="1"/>
  <c r="E603" i="1"/>
  <c r="A603" i="1"/>
  <c r="I602" i="1"/>
  <c r="J602" i="1" s="1"/>
  <c r="E602" i="1"/>
  <c r="A602" i="1"/>
  <c r="I601" i="1"/>
  <c r="J601" i="1" s="1"/>
  <c r="E601" i="1"/>
  <c r="A601" i="1"/>
  <c r="I600" i="1"/>
  <c r="J600" i="1" s="1"/>
  <c r="E600" i="1"/>
  <c r="A600" i="1"/>
  <c r="I599" i="1"/>
  <c r="J599" i="1" s="1"/>
  <c r="E599" i="1"/>
  <c r="A599" i="1"/>
  <c r="I598" i="1"/>
  <c r="E598" i="1"/>
  <c r="A598" i="1"/>
  <c r="I597" i="1"/>
  <c r="E597" i="1"/>
  <c r="A597" i="1"/>
  <c r="I596" i="1"/>
  <c r="J596" i="1" s="1"/>
  <c r="E596" i="1"/>
  <c r="A596" i="1"/>
  <c r="I595" i="1"/>
  <c r="J595" i="1" s="1"/>
  <c r="E595" i="1"/>
  <c r="A595" i="1"/>
  <c r="I594" i="1"/>
  <c r="J594" i="1" s="1"/>
  <c r="E594" i="1"/>
  <c r="A594" i="1"/>
  <c r="I593" i="1"/>
  <c r="J593" i="1" s="1"/>
  <c r="E593" i="1"/>
  <c r="A593" i="1"/>
  <c r="I592" i="1"/>
  <c r="J592" i="1" s="1"/>
  <c r="E592" i="1"/>
  <c r="A592" i="1"/>
  <c r="I591" i="1"/>
  <c r="J591" i="1" s="1"/>
  <c r="E591" i="1"/>
  <c r="A591" i="1"/>
  <c r="I590" i="1"/>
  <c r="J590" i="1" s="1"/>
  <c r="E590" i="1"/>
  <c r="A590" i="1"/>
  <c r="I589" i="1"/>
  <c r="E589" i="1"/>
  <c r="A589" i="1"/>
  <c r="I588" i="1"/>
  <c r="E588" i="1"/>
  <c r="A588" i="1"/>
  <c r="I587" i="1"/>
  <c r="J587" i="1" s="1"/>
  <c r="E587" i="1"/>
  <c r="A587" i="1"/>
  <c r="I586" i="1"/>
  <c r="J586" i="1" s="1"/>
  <c r="E586" i="1"/>
  <c r="A586" i="1"/>
  <c r="I585" i="1"/>
  <c r="J585" i="1" s="1"/>
  <c r="E585" i="1"/>
  <c r="A585" i="1"/>
  <c r="I584" i="1"/>
  <c r="J584" i="1" s="1"/>
  <c r="E584" i="1"/>
  <c r="A584" i="1"/>
  <c r="I583" i="1"/>
  <c r="J583" i="1" s="1"/>
  <c r="E583" i="1"/>
  <c r="A583" i="1"/>
  <c r="I582" i="1"/>
  <c r="J582" i="1" s="1"/>
  <c r="E582" i="1"/>
  <c r="A582" i="1"/>
  <c r="J581" i="1"/>
  <c r="I581" i="1"/>
  <c r="E581" i="1"/>
  <c r="A581" i="1"/>
  <c r="I580" i="1"/>
  <c r="E580" i="1"/>
  <c r="A580" i="1"/>
  <c r="I579" i="1"/>
  <c r="E579" i="1"/>
  <c r="A579" i="1"/>
  <c r="I578" i="1"/>
  <c r="J578" i="1" s="1"/>
  <c r="E578" i="1"/>
  <c r="A578" i="1"/>
  <c r="I577" i="1"/>
  <c r="J577" i="1" s="1"/>
  <c r="E577" i="1"/>
  <c r="A577" i="1"/>
  <c r="I576" i="1"/>
  <c r="J576" i="1" s="1"/>
  <c r="E576" i="1"/>
  <c r="A576" i="1"/>
  <c r="I575" i="1"/>
  <c r="J575" i="1" s="1"/>
  <c r="E575" i="1"/>
  <c r="A575" i="1"/>
  <c r="I574" i="1"/>
  <c r="J574" i="1" s="1"/>
  <c r="E574" i="1"/>
  <c r="A574" i="1"/>
  <c r="I573" i="1"/>
  <c r="J573" i="1" s="1"/>
  <c r="E573" i="1"/>
  <c r="A573" i="1"/>
  <c r="I572" i="1"/>
  <c r="J572" i="1" s="1"/>
  <c r="E572" i="1"/>
  <c r="A572" i="1"/>
  <c r="I571" i="1"/>
  <c r="E571" i="1"/>
  <c r="A571" i="1"/>
  <c r="I570" i="1"/>
  <c r="E570" i="1"/>
  <c r="A570" i="1"/>
  <c r="I569" i="1"/>
  <c r="E569" i="1"/>
  <c r="A569" i="1"/>
  <c r="I568" i="1"/>
  <c r="E568" i="1"/>
  <c r="A568" i="1"/>
  <c r="I567" i="1"/>
  <c r="E567" i="1"/>
  <c r="A567" i="1"/>
  <c r="I566" i="1"/>
  <c r="E566" i="1"/>
  <c r="A566" i="1"/>
  <c r="I565" i="1"/>
  <c r="E565" i="1"/>
  <c r="A565" i="1"/>
  <c r="I564" i="1"/>
  <c r="E564" i="1"/>
  <c r="A564" i="1"/>
  <c r="I563" i="1"/>
  <c r="E563" i="1"/>
  <c r="A563" i="1"/>
  <c r="I562" i="1"/>
  <c r="E562" i="1"/>
  <c r="G562" i="1" s="1"/>
  <c r="A562" i="1"/>
  <c r="C562" i="1" s="1"/>
  <c r="I561" i="1"/>
  <c r="J561" i="1" s="1"/>
  <c r="E561" i="1"/>
  <c r="A561" i="1"/>
  <c r="I560" i="1"/>
  <c r="J560" i="1" s="1"/>
  <c r="E560" i="1"/>
  <c r="A560" i="1"/>
  <c r="I559" i="1"/>
  <c r="J559" i="1" s="1"/>
  <c r="E559" i="1"/>
  <c r="A559" i="1"/>
  <c r="I558" i="1"/>
  <c r="J558" i="1" s="1"/>
  <c r="E558" i="1"/>
  <c r="A558" i="1"/>
  <c r="I557" i="1"/>
  <c r="J557" i="1" s="1"/>
  <c r="E557" i="1"/>
  <c r="A557" i="1"/>
  <c r="I556" i="1"/>
  <c r="J556" i="1" s="1"/>
  <c r="E556" i="1"/>
  <c r="A556" i="1"/>
  <c r="I555" i="1"/>
  <c r="J555" i="1" s="1"/>
  <c r="E555" i="1"/>
  <c r="A555" i="1"/>
  <c r="I554" i="1"/>
  <c r="J554" i="1" s="1"/>
  <c r="E554" i="1"/>
  <c r="A554" i="1"/>
  <c r="I553" i="1"/>
  <c r="J553" i="1" s="1"/>
  <c r="E553" i="1"/>
  <c r="A553" i="1"/>
  <c r="I552" i="1"/>
  <c r="J552" i="1" s="1"/>
  <c r="E552" i="1"/>
  <c r="A552" i="1"/>
  <c r="I551" i="1"/>
  <c r="J551" i="1" s="1"/>
  <c r="E551" i="1"/>
  <c r="A551" i="1"/>
  <c r="I550" i="1"/>
  <c r="J550" i="1" s="1"/>
  <c r="E550" i="1"/>
  <c r="A550" i="1"/>
  <c r="I549" i="1"/>
  <c r="J549" i="1" s="1"/>
  <c r="E549" i="1"/>
  <c r="A549" i="1"/>
  <c r="J548" i="1"/>
  <c r="I548" i="1"/>
  <c r="E548" i="1"/>
  <c r="A548" i="1"/>
  <c r="I547" i="1"/>
  <c r="J547" i="1" s="1"/>
  <c r="E547" i="1"/>
  <c r="A547" i="1"/>
  <c r="I546" i="1"/>
  <c r="E546" i="1"/>
  <c r="A546" i="1"/>
  <c r="I545" i="1"/>
  <c r="E545" i="1"/>
  <c r="A545" i="1"/>
  <c r="I544" i="1"/>
  <c r="E544" i="1"/>
  <c r="A544" i="1"/>
  <c r="I543" i="1"/>
  <c r="E543" i="1"/>
  <c r="A543" i="1"/>
  <c r="I542" i="1"/>
  <c r="E542" i="1"/>
  <c r="A542" i="1"/>
  <c r="I541" i="1"/>
  <c r="E541" i="1"/>
  <c r="A541" i="1"/>
  <c r="I540" i="1"/>
  <c r="E540" i="1"/>
  <c r="A540" i="1"/>
  <c r="I539" i="1"/>
  <c r="E539" i="1"/>
  <c r="A539" i="1"/>
  <c r="I538" i="1"/>
  <c r="E538" i="1"/>
  <c r="A538" i="1"/>
  <c r="I537" i="1"/>
  <c r="E537" i="1"/>
  <c r="A537" i="1"/>
  <c r="I536" i="1"/>
  <c r="E536" i="1"/>
  <c r="A536" i="1"/>
  <c r="I535" i="1"/>
  <c r="E535" i="1"/>
  <c r="A535" i="1"/>
  <c r="I534" i="1"/>
  <c r="E534" i="1"/>
  <c r="A534" i="1"/>
  <c r="I533" i="1"/>
  <c r="E533" i="1"/>
  <c r="A533" i="1"/>
  <c r="I532" i="1"/>
  <c r="E532" i="1"/>
  <c r="A532" i="1"/>
  <c r="I531" i="1"/>
  <c r="E531" i="1"/>
  <c r="A531" i="1"/>
  <c r="I530" i="1"/>
  <c r="E530" i="1"/>
  <c r="A530" i="1"/>
  <c r="I529" i="1"/>
  <c r="E529" i="1"/>
  <c r="A529" i="1"/>
  <c r="I528" i="1"/>
  <c r="E528" i="1"/>
  <c r="A528" i="1"/>
  <c r="I527" i="1"/>
  <c r="E527" i="1"/>
  <c r="A527" i="1"/>
  <c r="I526" i="1"/>
  <c r="E526" i="1"/>
  <c r="A526" i="1"/>
  <c r="I525" i="1"/>
  <c r="E525" i="1"/>
  <c r="A525" i="1"/>
  <c r="I524" i="1"/>
  <c r="E524" i="1"/>
  <c r="A524" i="1"/>
  <c r="I523" i="1"/>
  <c r="E523" i="1"/>
  <c r="A523" i="1"/>
  <c r="I522" i="1"/>
  <c r="E522" i="1"/>
  <c r="A522" i="1"/>
  <c r="I521" i="1"/>
  <c r="E521" i="1"/>
  <c r="A521" i="1"/>
  <c r="I520" i="1"/>
  <c r="E520" i="1"/>
  <c r="A520" i="1"/>
  <c r="I519" i="1"/>
  <c r="E519" i="1"/>
  <c r="A519" i="1"/>
  <c r="I518" i="1"/>
  <c r="E518" i="1"/>
  <c r="A518" i="1"/>
  <c r="I517" i="1"/>
  <c r="E517" i="1"/>
  <c r="A517" i="1"/>
  <c r="I516" i="1"/>
  <c r="E516" i="1"/>
  <c r="A516" i="1"/>
  <c r="I515" i="1"/>
  <c r="E515" i="1"/>
  <c r="A515" i="1"/>
  <c r="I514" i="1"/>
  <c r="E514" i="1"/>
  <c r="A514" i="1"/>
  <c r="I513" i="1"/>
  <c r="E513" i="1"/>
  <c r="A513" i="1"/>
  <c r="I512" i="1"/>
  <c r="E512" i="1"/>
  <c r="A512" i="1"/>
  <c r="I511" i="1"/>
  <c r="E511" i="1"/>
  <c r="A511" i="1"/>
  <c r="I510" i="1"/>
  <c r="E510" i="1"/>
  <c r="A510" i="1"/>
  <c r="I509" i="1"/>
  <c r="E509" i="1"/>
  <c r="A509" i="1"/>
  <c r="I508" i="1"/>
  <c r="E508" i="1"/>
  <c r="A508" i="1"/>
  <c r="I507" i="1"/>
  <c r="E507" i="1"/>
  <c r="A507" i="1"/>
  <c r="I506" i="1"/>
  <c r="E506" i="1"/>
  <c r="A506" i="1"/>
  <c r="I505" i="1"/>
  <c r="E505" i="1"/>
  <c r="A505" i="1"/>
  <c r="I504" i="1"/>
  <c r="E504" i="1"/>
  <c r="A504" i="1"/>
  <c r="I503" i="1"/>
  <c r="E503" i="1"/>
  <c r="A503" i="1"/>
  <c r="I502" i="1"/>
  <c r="E502" i="1"/>
  <c r="A502" i="1"/>
  <c r="I501" i="1"/>
  <c r="E501" i="1"/>
  <c r="A501" i="1"/>
  <c r="I500" i="1"/>
  <c r="E500" i="1"/>
  <c r="A500" i="1"/>
  <c r="I499" i="1"/>
  <c r="E499" i="1"/>
  <c r="A499" i="1"/>
  <c r="I498" i="1"/>
  <c r="E498" i="1"/>
  <c r="A498" i="1"/>
  <c r="I497" i="1"/>
  <c r="E497" i="1"/>
  <c r="A497" i="1"/>
  <c r="I496" i="1"/>
  <c r="E496" i="1"/>
  <c r="A496" i="1"/>
  <c r="I495" i="1"/>
  <c r="E495" i="1"/>
  <c r="A495" i="1"/>
  <c r="I494" i="1"/>
  <c r="E494" i="1"/>
  <c r="A494" i="1"/>
  <c r="I493" i="1"/>
  <c r="E493" i="1"/>
  <c r="A493" i="1"/>
  <c r="I492" i="1"/>
  <c r="E492" i="1"/>
  <c r="A492" i="1"/>
  <c r="I491" i="1"/>
  <c r="E491" i="1"/>
  <c r="A491" i="1"/>
  <c r="I490" i="1"/>
  <c r="E490" i="1"/>
  <c r="G490" i="1" s="1"/>
  <c r="A490" i="1"/>
  <c r="I489" i="1"/>
  <c r="J489" i="1" s="1"/>
  <c r="E489" i="1"/>
  <c r="A489" i="1"/>
  <c r="I488" i="1"/>
  <c r="J488" i="1" s="1"/>
  <c r="E488" i="1"/>
  <c r="A488" i="1"/>
  <c r="I487" i="1"/>
  <c r="J487" i="1" s="1"/>
  <c r="E487" i="1"/>
  <c r="A487" i="1"/>
  <c r="I486" i="1"/>
  <c r="J486" i="1" s="1"/>
  <c r="E486" i="1"/>
  <c r="A486" i="1"/>
  <c r="I485" i="1"/>
  <c r="J485" i="1" s="1"/>
  <c r="E485" i="1"/>
  <c r="A485" i="1"/>
  <c r="I484" i="1"/>
  <c r="J484" i="1" s="1"/>
  <c r="E484" i="1"/>
  <c r="A484" i="1"/>
  <c r="I483" i="1"/>
  <c r="J483" i="1" s="1"/>
  <c r="E483" i="1"/>
  <c r="A483" i="1"/>
  <c r="I482" i="1"/>
  <c r="J482" i="1" s="1"/>
  <c r="E482" i="1"/>
  <c r="A482" i="1"/>
  <c r="I481" i="1"/>
  <c r="J481" i="1" s="1"/>
  <c r="E481" i="1"/>
  <c r="A481" i="1"/>
  <c r="I480" i="1"/>
  <c r="J480" i="1" s="1"/>
  <c r="E480" i="1"/>
  <c r="A480" i="1"/>
  <c r="I479" i="1"/>
  <c r="J479" i="1" s="1"/>
  <c r="E479" i="1"/>
  <c r="A479" i="1"/>
  <c r="I478" i="1"/>
  <c r="J478" i="1" s="1"/>
  <c r="E478" i="1"/>
  <c r="A478" i="1"/>
  <c r="I477" i="1"/>
  <c r="J477" i="1" s="1"/>
  <c r="E477" i="1"/>
  <c r="A477" i="1"/>
  <c r="I476" i="1"/>
  <c r="E476" i="1"/>
  <c r="A476" i="1"/>
  <c r="I475" i="1"/>
  <c r="E475" i="1"/>
  <c r="A475" i="1"/>
  <c r="I474" i="1"/>
  <c r="E474" i="1"/>
  <c r="A474" i="1"/>
  <c r="I473" i="1"/>
  <c r="E473" i="1"/>
  <c r="A473" i="1"/>
  <c r="I472" i="1"/>
  <c r="E472" i="1"/>
  <c r="A472" i="1"/>
  <c r="I471" i="1"/>
  <c r="E471" i="1"/>
  <c r="A471" i="1"/>
  <c r="I470" i="1"/>
  <c r="E470" i="1"/>
  <c r="A470" i="1"/>
  <c r="I469" i="1"/>
  <c r="E469" i="1"/>
  <c r="A469" i="1"/>
  <c r="I468" i="1"/>
  <c r="E468" i="1"/>
  <c r="A468" i="1"/>
  <c r="I467" i="1"/>
  <c r="E467" i="1"/>
  <c r="A467" i="1"/>
  <c r="I466" i="1"/>
  <c r="E466" i="1"/>
  <c r="A466" i="1"/>
  <c r="I465" i="1"/>
  <c r="E465" i="1"/>
  <c r="A465" i="1"/>
  <c r="I464" i="1"/>
  <c r="E464" i="1"/>
  <c r="A464" i="1"/>
  <c r="I463" i="1"/>
  <c r="E463" i="1"/>
  <c r="A463" i="1"/>
  <c r="I462" i="1"/>
  <c r="E462" i="1"/>
  <c r="A462" i="1"/>
  <c r="I461" i="1"/>
  <c r="E461" i="1"/>
  <c r="A461" i="1"/>
  <c r="I460" i="1"/>
  <c r="E460" i="1"/>
  <c r="A460" i="1"/>
  <c r="I459" i="1"/>
  <c r="E459" i="1"/>
  <c r="A459" i="1"/>
  <c r="I458" i="1"/>
  <c r="E458" i="1"/>
  <c r="A458" i="1"/>
  <c r="I457" i="1"/>
  <c r="E457" i="1"/>
  <c r="A457" i="1"/>
  <c r="I456" i="1"/>
  <c r="E456" i="1"/>
  <c r="A456" i="1"/>
  <c r="I455" i="1"/>
  <c r="E455" i="1"/>
  <c r="A455" i="1"/>
  <c r="I454" i="1"/>
  <c r="E454" i="1"/>
  <c r="A454" i="1"/>
  <c r="I453" i="1"/>
  <c r="E453" i="1"/>
  <c r="A453" i="1"/>
  <c r="I452" i="1"/>
  <c r="E452" i="1"/>
  <c r="A452" i="1"/>
  <c r="I451" i="1"/>
  <c r="E451" i="1"/>
  <c r="A451" i="1"/>
  <c r="I450" i="1"/>
  <c r="E450" i="1"/>
  <c r="A450" i="1"/>
  <c r="I449" i="1"/>
  <c r="E449" i="1"/>
  <c r="A449" i="1"/>
  <c r="I448" i="1"/>
  <c r="E448" i="1"/>
  <c r="A448" i="1"/>
  <c r="I447" i="1"/>
  <c r="E447" i="1"/>
  <c r="A447" i="1"/>
  <c r="I446" i="1"/>
  <c r="E446" i="1"/>
  <c r="A446" i="1"/>
  <c r="I445" i="1"/>
  <c r="E445" i="1"/>
  <c r="A445" i="1"/>
  <c r="I444" i="1"/>
  <c r="E444" i="1"/>
  <c r="A444" i="1"/>
  <c r="I443" i="1"/>
  <c r="E443" i="1"/>
  <c r="A443" i="1"/>
  <c r="I442" i="1"/>
  <c r="E442" i="1"/>
  <c r="A442" i="1"/>
  <c r="I441" i="1"/>
  <c r="E441" i="1"/>
  <c r="A441" i="1"/>
  <c r="I440" i="1"/>
  <c r="E440" i="1"/>
  <c r="A440" i="1"/>
  <c r="I439" i="1"/>
  <c r="E439" i="1"/>
  <c r="A439" i="1"/>
  <c r="I438" i="1"/>
  <c r="E438" i="1"/>
  <c r="A438" i="1"/>
  <c r="I437" i="1"/>
  <c r="E437" i="1"/>
  <c r="A437" i="1"/>
  <c r="I436" i="1"/>
  <c r="E436" i="1"/>
  <c r="A436" i="1"/>
  <c r="I435" i="1"/>
  <c r="E435" i="1"/>
  <c r="A435" i="1"/>
  <c r="I434" i="1"/>
  <c r="E434" i="1"/>
  <c r="A434" i="1"/>
  <c r="I433" i="1"/>
  <c r="E433" i="1"/>
  <c r="A433" i="1"/>
  <c r="I432" i="1"/>
  <c r="E432" i="1"/>
  <c r="G432" i="1" s="1"/>
  <c r="A432" i="1"/>
  <c r="I431" i="1"/>
  <c r="J431" i="1" s="1"/>
  <c r="E431" i="1"/>
  <c r="A431" i="1"/>
  <c r="I430" i="1"/>
  <c r="J430" i="1" s="1"/>
  <c r="E430" i="1"/>
  <c r="A430" i="1"/>
  <c r="I429" i="1"/>
  <c r="J429" i="1" s="1"/>
  <c r="E429" i="1"/>
  <c r="A429" i="1"/>
  <c r="I428" i="1"/>
  <c r="J428" i="1" s="1"/>
  <c r="E428" i="1"/>
  <c r="A428" i="1"/>
  <c r="I427" i="1"/>
  <c r="J427" i="1" s="1"/>
  <c r="E427" i="1"/>
  <c r="A427" i="1"/>
  <c r="I426" i="1"/>
  <c r="J426" i="1" s="1"/>
  <c r="E426" i="1"/>
  <c r="A426" i="1"/>
  <c r="I425" i="1"/>
  <c r="J425" i="1" s="1"/>
  <c r="E425" i="1"/>
  <c r="A425" i="1"/>
  <c r="I424" i="1"/>
  <c r="J424" i="1" s="1"/>
  <c r="E424" i="1"/>
  <c r="A424" i="1"/>
  <c r="I423" i="1"/>
  <c r="J423" i="1" s="1"/>
  <c r="E423" i="1"/>
  <c r="A423" i="1"/>
  <c r="I422" i="1"/>
  <c r="J422" i="1" s="1"/>
  <c r="E422" i="1"/>
  <c r="A422" i="1"/>
  <c r="I421" i="1"/>
  <c r="J421" i="1" s="1"/>
  <c r="E421" i="1"/>
  <c r="A421" i="1"/>
  <c r="I420" i="1"/>
  <c r="J420" i="1" s="1"/>
  <c r="E420" i="1"/>
  <c r="A420" i="1"/>
  <c r="I419" i="1"/>
  <c r="J419" i="1" s="1"/>
  <c r="E419" i="1"/>
  <c r="A419" i="1"/>
  <c r="J418" i="1"/>
  <c r="I418" i="1"/>
  <c r="E418" i="1"/>
  <c r="A418" i="1"/>
  <c r="I417" i="1"/>
  <c r="J417" i="1" s="1"/>
  <c r="E417" i="1"/>
  <c r="A417" i="1"/>
  <c r="I416" i="1"/>
  <c r="E416" i="1"/>
  <c r="A416" i="1"/>
  <c r="I415" i="1"/>
  <c r="E415" i="1"/>
  <c r="A415" i="1"/>
  <c r="I414" i="1"/>
  <c r="E414" i="1"/>
  <c r="A414" i="1"/>
  <c r="I413" i="1"/>
  <c r="E413" i="1"/>
  <c r="A413" i="1"/>
  <c r="I412" i="1"/>
  <c r="E412" i="1"/>
  <c r="A412" i="1"/>
  <c r="I411" i="1"/>
  <c r="E411" i="1"/>
  <c r="A411" i="1"/>
  <c r="I410" i="1"/>
  <c r="E410" i="1"/>
  <c r="A410" i="1"/>
  <c r="I409" i="1"/>
  <c r="E409" i="1"/>
  <c r="A409" i="1"/>
  <c r="I408" i="1"/>
  <c r="E408" i="1"/>
  <c r="A408" i="1"/>
  <c r="I407" i="1"/>
  <c r="E407" i="1"/>
  <c r="A407" i="1"/>
  <c r="I406" i="1"/>
  <c r="E406" i="1"/>
  <c r="A406" i="1"/>
  <c r="I405" i="1"/>
  <c r="E405" i="1"/>
  <c r="A405" i="1"/>
  <c r="I404" i="1"/>
  <c r="E404" i="1"/>
  <c r="A404" i="1"/>
  <c r="I403" i="1"/>
  <c r="E403" i="1"/>
  <c r="A403" i="1"/>
  <c r="I402" i="1"/>
  <c r="E402" i="1"/>
  <c r="A402" i="1"/>
  <c r="I401" i="1"/>
  <c r="E401" i="1"/>
  <c r="A401" i="1"/>
  <c r="I400" i="1"/>
  <c r="E400" i="1"/>
  <c r="A400" i="1"/>
  <c r="I399" i="1"/>
  <c r="E399" i="1"/>
  <c r="A399" i="1"/>
  <c r="I398" i="1"/>
  <c r="E398" i="1"/>
  <c r="A398" i="1"/>
  <c r="I397" i="1"/>
  <c r="E397" i="1"/>
  <c r="A397" i="1"/>
  <c r="I396" i="1"/>
  <c r="E396" i="1"/>
  <c r="A396" i="1"/>
  <c r="I395" i="1"/>
  <c r="E395" i="1"/>
  <c r="A395" i="1"/>
  <c r="I394" i="1"/>
  <c r="E394" i="1"/>
  <c r="A394" i="1"/>
  <c r="I393" i="1"/>
  <c r="E393" i="1"/>
  <c r="A393" i="1"/>
  <c r="I392" i="1"/>
  <c r="E392" i="1"/>
  <c r="A392" i="1"/>
  <c r="I391" i="1"/>
  <c r="E391" i="1"/>
  <c r="A391" i="1"/>
  <c r="I390" i="1"/>
  <c r="E390" i="1"/>
  <c r="A390" i="1"/>
  <c r="I389" i="1"/>
  <c r="E389" i="1"/>
  <c r="A389" i="1"/>
  <c r="I388" i="1"/>
  <c r="E388" i="1"/>
  <c r="A388" i="1"/>
  <c r="I387" i="1"/>
  <c r="E387" i="1"/>
  <c r="A387" i="1"/>
  <c r="I386" i="1"/>
  <c r="E386" i="1"/>
  <c r="A386" i="1"/>
  <c r="I385" i="1"/>
  <c r="E385" i="1"/>
  <c r="A385" i="1"/>
  <c r="I384" i="1"/>
  <c r="E384" i="1"/>
  <c r="A384" i="1"/>
  <c r="I383" i="1"/>
  <c r="E383" i="1"/>
  <c r="A383" i="1"/>
  <c r="I382" i="1"/>
  <c r="E382" i="1"/>
  <c r="A382" i="1"/>
  <c r="I381" i="1"/>
  <c r="E381" i="1"/>
  <c r="A381" i="1"/>
  <c r="I380" i="1"/>
  <c r="E380" i="1"/>
  <c r="A380" i="1"/>
  <c r="I379" i="1"/>
  <c r="E379" i="1"/>
  <c r="A379" i="1"/>
  <c r="I378" i="1"/>
  <c r="E378" i="1"/>
  <c r="A378" i="1"/>
  <c r="I377" i="1"/>
  <c r="E377" i="1"/>
  <c r="A377" i="1"/>
  <c r="I376" i="1"/>
  <c r="E376" i="1"/>
  <c r="A376" i="1"/>
  <c r="I375" i="1"/>
  <c r="E375" i="1"/>
  <c r="A375" i="1"/>
  <c r="I374" i="1"/>
  <c r="E374" i="1"/>
  <c r="A374" i="1"/>
  <c r="I373" i="1"/>
  <c r="E373" i="1"/>
  <c r="A373" i="1"/>
  <c r="I372" i="1"/>
  <c r="E372" i="1"/>
  <c r="G372" i="1" s="1"/>
  <c r="A372" i="1"/>
  <c r="C372" i="1" s="1"/>
  <c r="D372" i="1" s="1"/>
  <c r="I371" i="1"/>
  <c r="J371" i="1" s="1"/>
  <c r="E371" i="1"/>
  <c r="A371" i="1"/>
  <c r="I370" i="1"/>
  <c r="J370" i="1" s="1"/>
  <c r="E370" i="1"/>
  <c r="A370" i="1"/>
  <c r="I369" i="1"/>
  <c r="J369" i="1" s="1"/>
  <c r="E369" i="1"/>
  <c r="A369" i="1"/>
  <c r="I368" i="1"/>
  <c r="J368" i="1" s="1"/>
  <c r="E368" i="1"/>
  <c r="A368" i="1"/>
  <c r="I367" i="1"/>
  <c r="J367" i="1" s="1"/>
  <c r="E367" i="1"/>
  <c r="A367" i="1"/>
  <c r="I366" i="1"/>
  <c r="J366" i="1" s="1"/>
  <c r="E366" i="1"/>
  <c r="G366" i="1" s="1"/>
  <c r="A366" i="1"/>
  <c r="C366" i="1" s="1"/>
  <c r="I365" i="1"/>
  <c r="J365" i="1" s="1"/>
  <c r="E365" i="1"/>
  <c r="A365" i="1"/>
  <c r="I364" i="1"/>
  <c r="J364" i="1" s="1"/>
  <c r="E364" i="1"/>
  <c r="A364" i="1"/>
  <c r="I363" i="1"/>
  <c r="J363" i="1" s="1"/>
  <c r="E363" i="1"/>
  <c r="A363" i="1"/>
  <c r="I362" i="1"/>
  <c r="J362" i="1" s="1"/>
  <c r="E362" i="1"/>
  <c r="A362" i="1"/>
  <c r="I361" i="1"/>
  <c r="J361" i="1" s="1"/>
  <c r="E361" i="1"/>
  <c r="A361" i="1"/>
  <c r="I360" i="1"/>
  <c r="J360" i="1" s="1"/>
  <c r="E360" i="1"/>
  <c r="A360" i="1"/>
  <c r="I359" i="1"/>
  <c r="J359" i="1" s="1"/>
  <c r="E359" i="1"/>
  <c r="A359" i="1"/>
  <c r="I358" i="1"/>
  <c r="J358" i="1" s="1"/>
  <c r="E358" i="1"/>
  <c r="A358" i="1"/>
  <c r="I357" i="1"/>
  <c r="J357" i="1" s="1"/>
  <c r="E357" i="1"/>
  <c r="A357" i="1"/>
  <c r="I356" i="1"/>
  <c r="J356" i="1" s="1"/>
  <c r="E356" i="1"/>
  <c r="A356" i="1"/>
  <c r="I355" i="1"/>
  <c r="J355" i="1" s="1"/>
  <c r="E355" i="1"/>
  <c r="A355" i="1"/>
  <c r="I354" i="1"/>
  <c r="J354" i="1" s="1"/>
  <c r="E354" i="1"/>
  <c r="A354" i="1"/>
  <c r="I353" i="1"/>
  <c r="J353" i="1" s="1"/>
  <c r="E353" i="1"/>
  <c r="A353" i="1"/>
  <c r="I352" i="1"/>
  <c r="J352" i="1" s="1"/>
  <c r="E352" i="1"/>
  <c r="A352" i="1"/>
  <c r="I351" i="1"/>
  <c r="J351" i="1" s="1"/>
  <c r="E351" i="1"/>
  <c r="A351" i="1"/>
  <c r="I350" i="1"/>
  <c r="J350" i="1" s="1"/>
  <c r="E350" i="1"/>
  <c r="A350" i="1"/>
  <c r="I349" i="1"/>
  <c r="E349" i="1"/>
  <c r="A349" i="1"/>
  <c r="I348" i="1"/>
  <c r="E348" i="1"/>
  <c r="A348" i="1"/>
  <c r="I347" i="1"/>
  <c r="E347" i="1"/>
  <c r="A347" i="1"/>
  <c r="I346" i="1"/>
  <c r="E346" i="1"/>
  <c r="G346" i="1" s="1"/>
  <c r="A346" i="1"/>
  <c r="I345" i="1"/>
  <c r="J345" i="1" s="1"/>
  <c r="E345" i="1"/>
  <c r="A345" i="1"/>
  <c r="I344" i="1"/>
  <c r="J344" i="1" s="1"/>
  <c r="E344" i="1"/>
  <c r="A344" i="1"/>
  <c r="I343" i="1"/>
  <c r="J343" i="1" s="1"/>
  <c r="E343" i="1"/>
  <c r="A343" i="1"/>
  <c r="I342" i="1"/>
  <c r="J342" i="1" s="1"/>
  <c r="E342" i="1"/>
  <c r="A342" i="1"/>
  <c r="I341" i="1"/>
  <c r="J341" i="1" s="1"/>
  <c r="E341" i="1"/>
  <c r="A341" i="1"/>
  <c r="I340" i="1"/>
  <c r="J340" i="1" s="1"/>
  <c r="E340" i="1"/>
  <c r="A340" i="1"/>
  <c r="I339" i="1"/>
  <c r="J339" i="1" s="1"/>
  <c r="E339" i="1"/>
  <c r="A339" i="1"/>
  <c r="I338" i="1"/>
  <c r="J338" i="1" s="1"/>
  <c r="E338" i="1"/>
  <c r="A338" i="1"/>
  <c r="I337" i="1"/>
  <c r="J337" i="1" s="1"/>
  <c r="E337" i="1"/>
  <c r="A337" i="1"/>
  <c r="I336" i="1"/>
  <c r="J336" i="1" s="1"/>
  <c r="E336" i="1"/>
  <c r="A336" i="1"/>
  <c r="I335" i="1"/>
  <c r="J335" i="1" s="1"/>
  <c r="E335" i="1"/>
  <c r="A335" i="1"/>
  <c r="I334" i="1"/>
  <c r="J334" i="1" s="1"/>
  <c r="E334" i="1"/>
  <c r="A334" i="1"/>
  <c r="I333" i="1"/>
  <c r="J333" i="1" s="1"/>
  <c r="E333" i="1"/>
  <c r="A333" i="1"/>
  <c r="I332" i="1"/>
  <c r="J332" i="1" s="1"/>
  <c r="E332" i="1"/>
  <c r="A332" i="1"/>
  <c r="I331" i="1"/>
  <c r="J331" i="1" s="1"/>
  <c r="E331" i="1"/>
  <c r="A331" i="1"/>
  <c r="I330" i="1"/>
  <c r="E330" i="1"/>
  <c r="A330" i="1"/>
  <c r="I329" i="1"/>
  <c r="E329" i="1"/>
  <c r="A329" i="1"/>
  <c r="I328" i="1"/>
  <c r="E328" i="1"/>
  <c r="A328" i="1"/>
  <c r="I327" i="1"/>
  <c r="E327" i="1"/>
  <c r="G327" i="1" s="1"/>
  <c r="A327" i="1"/>
  <c r="I326" i="1"/>
  <c r="J326" i="1" s="1"/>
  <c r="E326" i="1"/>
  <c r="A326" i="1"/>
  <c r="I325" i="1"/>
  <c r="J325" i="1" s="1"/>
  <c r="E325" i="1"/>
  <c r="A325" i="1"/>
  <c r="I324" i="1"/>
  <c r="J324" i="1" s="1"/>
  <c r="E324" i="1"/>
  <c r="A324" i="1"/>
  <c r="I323" i="1"/>
  <c r="J323" i="1" s="1"/>
  <c r="E323" i="1"/>
  <c r="A323" i="1"/>
  <c r="I322" i="1"/>
  <c r="J322" i="1" s="1"/>
  <c r="E322" i="1"/>
  <c r="A322" i="1"/>
  <c r="I321" i="1"/>
  <c r="J321" i="1" s="1"/>
  <c r="E321" i="1"/>
  <c r="A321" i="1"/>
  <c r="I320" i="1"/>
  <c r="J320" i="1" s="1"/>
  <c r="E320" i="1"/>
  <c r="A320" i="1"/>
  <c r="I319" i="1"/>
  <c r="J319" i="1" s="1"/>
  <c r="E319" i="1"/>
  <c r="A319" i="1"/>
  <c r="I318" i="1"/>
  <c r="J318" i="1" s="1"/>
  <c r="E318" i="1"/>
  <c r="A318" i="1"/>
  <c r="I317" i="1"/>
  <c r="J317" i="1" s="1"/>
  <c r="E317" i="1"/>
  <c r="A317" i="1"/>
  <c r="I316" i="1"/>
  <c r="J316" i="1" s="1"/>
  <c r="E316" i="1"/>
  <c r="A316" i="1"/>
  <c r="I315" i="1"/>
  <c r="J315" i="1" s="1"/>
  <c r="E315" i="1"/>
  <c r="A315" i="1"/>
  <c r="I314" i="1"/>
  <c r="J314" i="1" s="1"/>
  <c r="E314" i="1"/>
  <c r="A314" i="1"/>
  <c r="I313" i="1"/>
  <c r="J313" i="1" s="1"/>
  <c r="E313" i="1"/>
  <c r="A313" i="1"/>
  <c r="I312" i="1"/>
  <c r="J312" i="1" s="1"/>
  <c r="E312" i="1"/>
  <c r="A312" i="1"/>
  <c r="I311" i="1"/>
  <c r="J311" i="1" s="1"/>
  <c r="E311" i="1"/>
  <c r="A311" i="1"/>
  <c r="I310" i="1"/>
  <c r="J310" i="1" s="1"/>
  <c r="E310" i="1"/>
  <c r="A310" i="1"/>
  <c r="I309" i="1"/>
  <c r="J309" i="1" s="1"/>
  <c r="E309" i="1"/>
  <c r="A309" i="1"/>
  <c r="I308" i="1"/>
  <c r="J308" i="1" s="1"/>
  <c r="E308" i="1"/>
  <c r="A308" i="1"/>
  <c r="I307" i="1"/>
  <c r="E307" i="1"/>
  <c r="A307" i="1"/>
  <c r="I306" i="1"/>
  <c r="E306" i="1"/>
  <c r="A306" i="1"/>
  <c r="I305" i="1"/>
  <c r="E305" i="1"/>
  <c r="A305" i="1"/>
  <c r="I304" i="1"/>
  <c r="E304" i="1"/>
  <c r="G304" i="1" s="1"/>
  <c r="A304" i="1"/>
  <c r="I303" i="1"/>
  <c r="J303" i="1" s="1"/>
  <c r="E303" i="1"/>
  <c r="A303" i="1"/>
  <c r="I302" i="1"/>
  <c r="J302" i="1" s="1"/>
  <c r="E302" i="1"/>
  <c r="A302" i="1"/>
  <c r="I301" i="1"/>
  <c r="J301" i="1" s="1"/>
  <c r="E301" i="1"/>
  <c r="A301" i="1"/>
  <c r="I300" i="1"/>
  <c r="J300" i="1" s="1"/>
  <c r="E300" i="1"/>
  <c r="A300" i="1"/>
  <c r="I299" i="1"/>
  <c r="J299" i="1" s="1"/>
  <c r="E299" i="1"/>
  <c r="A299" i="1"/>
  <c r="I298" i="1"/>
  <c r="J298" i="1" s="1"/>
  <c r="E298" i="1"/>
  <c r="A298" i="1"/>
  <c r="I297" i="1"/>
  <c r="J297" i="1" s="1"/>
  <c r="E297" i="1"/>
  <c r="A297" i="1"/>
  <c r="I296" i="1"/>
  <c r="J296" i="1" s="1"/>
  <c r="E296" i="1"/>
  <c r="A296" i="1"/>
  <c r="I295" i="1"/>
  <c r="J295" i="1" s="1"/>
  <c r="E295" i="1"/>
  <c r="A295" i="1"/>
  <c r="I294" i="1"/>
  <c r="J294" i="1" s="1"/>
  <c r="E294" i="1"/>
  <c r="A294" i="1"/>
  <c r="J293" i="1"/>
  <c r="I293" i="1"/>
  <c r="E293" i="1"/>
  <c r="A293" i="1"/>
  <c r="I292" i="1"/>
  <c r="J292" i="1" s="1"/>
  <c r="E292" i="1"/>
  <c r="A292" i="1"/>
  <c r="I291" i="1"/>
  <c r="J291" i="1" s="1"/>
  <c r="E291" i="1"/>
  <c r="A291" i="1"/>
  <c r="I290" i="1"/>
  <c r="J290" i="1" s="1"/>
  <c r="E290" i="1"/>
  <c r="A290" i="1"/>
  <c r="I289" i="1"/>
  <c r="J289" i="1" s="1"/>
  <c r="E289" i="1"/>
  <c r="A289" i="1"/>
  <c r="I288" i="1"/>
  <c r="E288" i="1"/>
  <c r="A288" i="1"/>
  <c r="I287" i="1"/>
  <c r="E287" i="1"/>
  <c r="A287" i="1"/>
  <c r="I286" i="1"/>
  <c r="E286" i="1"/>
  <c r="A286" i="1"/>
  <c r="I285" i="1"/>
  <c r="E285" i="1"/>
  <c r="G285" i="1" s="1"/>
  <c r="A285" i="1"/>
  <c r="I284" i="1"/>
  <c r="J284" i="1" s="1"/>
  <c r="E284" i="1"/>
  <c r="A284" i="1"/>
  <c r="I283" i="1"/>
  <c r="J283" i="1" s="1"/>
  <c r="E283" i="1"/>
  <c r="A283" i="1"/>
  <c r="I282" i="1"/>
  <c r="J282" i="1" s="1"/>
  <c r="E282" i="1"/>
  <c r="A282" i="1"/>
  <c r="I281" i="1"/>
  <c r="J281" i="1" s="1"/>
  <c r="E281" i="1"/>
  <c r="A281" i="1"/>
  <c r="I280" i="1"/>
  <c r="J280" i="1" s="1"/>
  <c r="E280" i="1"/>
  <c r="A280" i="1"/>
  <c r="I279" i="1"/>
  <c r="J279" i="1" s="1"/>
  <c r="E279" i="1"/>
  <c r="A279" i="1"/>
  <c r="I278" i="1"/>
  <c r="J278" i="1" s="1"/>
  <c r="E278" i="1"/>
  <c r="A278" i="1"/>
  <c r="I277" i="1"/>
  <c r="J277" i="1" s="1"/>
  <c r="E277" i="1"/>
  <c r="A277" i="1"/>
  <c r="I276" i="1"/>
  <c r="J276" i="1" s="1"/>
  <c r="E276" i="1"/>
  <c r="A276" i="1"/>
  <c r="I275" i="1"/>
  <c r="J275" i="1" s="1"/>
  <c r="E275" i="1"/>
  <c r="A275" i="1"/>
  <c r="I274" i="1"/>
  <c r="J274" i="1" s="1"/>
  <c r="E274" i="1"/>
  <c r="A274" i="1"/>
  <c r="I273" i="1"/>
  <c r="J273" i="1" s="1"/>
  <c r="E273" i="1"/>
  <c r="A273" i="1"/>
  <c r="I272" i="1"/>
  <c r="J272" i="1" s="1"/>
  <c r="E272" i="1"/>
  <c r="A272" i="1"/>
  <c r="I271" i="1"/>
  <c r="J271" i="1" s="1"/>
  <c r="E271" i="1"/>
  <c r="A271" i="1"/>
  <c r="I270" i="1"/>
  <c r="J270" i="1" s="1"/>
  <c r="E270" i="1"/>
  <c r="A270" i="1"/>
  <c r="I269" i="1"/>
  <c r="J269" i="1" s="1"/>
  <c r="E269" i="1"/>
  <c r="A269" i="1"/>
  <c r="I268" i="1"/>
  <c r="J268" i="1" s="1"/>
  <c r="E268" i="1"/>
  <c r="A268" i="1"/>
  <c r="J267" i="1"/>
  <c r="I267" i="1"/>
  <c r="E267" i="1"/>
  <c r="A267" i="1"/>
  <c r="I266" i="1"/>
  <c r="E266" i="1"/>
  <c r="A266" i="1"/>
  <c r="I265" i="1"/>
  <c r="E265" i="1"/>
  <c r="A265" i="1"/>
  <c r="I264" i="1"/>
  <c r="E264" i="1"/>
  <c r="A264" i="1"/>
  <c r="I263" i="1"/>
  <c r="E263" i="1"/>
  <c r="G263" i="1" s="1"/>
  <c r="A263" i="1"/>
  <c r="C263" i="1" s="1"/>
  <c r="I262" i="1"/>
  <c r="J262" i="1" s="1"/>
  <c r="E262" i="1"/>
  <c r="A262" i="1"/>
  <c r="I261" i="1"/>
  <c r="J261" i="1" s="1"/>
  <c r="E261" i="1"/>
  <c r="A261" i="1"/>
  <c r="I260" i="1"/>
  <c r="J260" i="1" s="1"/>
  <c r="E260" i="1"/>
  <c r="A260" i="1"/>
  <c r="I259" i="1"/>
  <c r="J259" i="1" s="1"/>
  <c r="E259" i="1"/>
  <c r="A259" i="1"/>
  <c r="I258" i="1"/>
  <c r="J258" i="1" s="1"/>
  <c r="E258" i="1"/>
  <c r="A258" i="1"/>
  <c r="I257" i="1"/>
  <c r="J257" i="1" s="1"/>
  <c r="E257" i="1"/>
  <c r="A257" i="1"/>
  <c r="I256" i="1"/>
  <c r="J256" i="1" s="1"/>
  <c r="E256" i="1"/>
  <c r="A256" i="1"/>
  <c r="I255" i="1"/>
  <c r="J255" i="1" s="1"/>
  <c r="E255" i="1"/>
  <c r="A255" i="1"/>
  <c r="I254" i="1"/>
  <c r="J254" i="1" s="1"/>
  <c r="E254" i="1"/>
  <c r="A254" i="1"/>
  <c r="I253" i="1"/>
  <c r="J253" i="1" s="1"/>
  <c r="E253" i="1"/>
  <c r="A253" i="1"/>
  <c r="I252" i="1"/>
  <c r="J252" i="1" s="1"/>
  <c r="E252" i="1"/>
  <c r="A252" i="1"/>
  <c r="I251" i="1"/>
  <c r="E251" i="1"/>
  <c r="A251" i="1"/>
  <c r="I250" i="1"/>
  <c r="E250" i="1"/>
  <c r="A250" i="1"/>
  <c r="I249" i="1"/>
  <c r="E249" i="1"/>
  <c r="A249" i="1"/>
  <c r="I248" i="1"/>
  <c r="E248" i="1"/>
  <c r="A248" i="1"/>
  <c r="I247" i="1"/>
  <c r="E247" i="1"/>
  <c r="A247" i="1"/>
  <c r="I246" i="1"/>
  <c r="E246" i="1"/>
  <c r="A246" i="1"/>
  <c r="I245" i="1"/>
  <c r="E245" i="1"/>
  <c r="A245" i="1"/>
  <c r="I244" i="1"/>
  <c r="E244" i="1"/>
  <c r="A244" i="1"/>
  <c r="I243" i="1"/>
  <c r="E243" i="1"/>
  <c r="A243" i="1"/>
  <c r="I242" i="1"/>
  <c r="E242" i="1"/>
  <c r="A242" i="1"/>
  <c r="I241" i="1"/>
  <c r="E241" i="1"/>
  <c r="A241" i="1"/>
  <c r="I240" i="1"/>
  <c r="E240" i="1"/>
  <c r="A240" i="1"/>
  <c r="I239" i="1"/>
  <c r="E239" i="1"/>
  <c r="A239" i="1"/>
  <c r="I238" i="1"/>
  <c r="E238" i="1"/>
  <c r="A238" i="1"/>
  <c r="I237" i="1"/>
  <c r="E237" i="1"/>
  <c r="A237" i="1"/>
  <c r="I236" i="1"/>
  <c r="E236" i="1"/>
  <c r="A236" i="1"/>
  <c r="I235" i="1"/>
  <c r="E235" i="1"/>
  <c r="G235" i="1" s="1"/>
  <c r="A235" i="1"/>
  <c r="I234" i="1"/>
  <c r="J234" i="1" s="1"/>
  <c r="E234" i="1"/>
  <c r="A234" i="1"/>
  <c r="I233" i="1"/>
  <c r="J233" i="1" s="1"/>
  <c r="E233" i="1"/>
  <c r="A233" i="1"/>
  <c r="I232" i="1"/>
  <c r="J232" i="1" s="1"/>
  <c r="E232" i="1"/>
  <c r="A232" i="1"/>
  <c r="I231" i="1"/>
  <c r="J231" i="1" s="1"/>
  <c r="E231" i="1"/>
  <c r="A231" i="1"/>
  <c r="I230" i="1"/>
  <c r="J230" i="1" s="1"/>
  <c r="E230" i="1"/>
  <c r="A230" i="1"/>
  <c r="I229" i="1"/>
  <c r="J229" i="1" s="1"/>
  <c r="E229" i="1"/>
  <c r="A229" i="1"/>
  <c r="I228" i="1"/>
  <c r="J228" i="1" s="1"/>
  <c r="E228" i="1"/>
  <c r="A228" i="1"/>
  <c r="I227" i="1"/>
  <c r="J227" i="1" s="1"/>
  <c r="E227" i="1"/>
  <c r="A227" i="1"/>
  <c r="I226" i="1"/>
  <c r="J226" i="1" s="1"/>
  <c r="E226" i="1"/>
  <c r="A226" i="1"/>
  <c r="I225" i="1"/>
  <c r="J225" i="1" s="1"/>
  <c r="E225" i="1"/>
  <c r="A225" i="1"/>
  <c r="I224" i="1"/>
  <c r="J224" i="1" s="1"/>
  <c r="E224" i="1"/>
  <c r="A224" i="1"/>
  <c r="I223" i="1"/>
  <c r="J223" i="1" s="1"/>
  <c r="E223" i="1"/>
  <c r="A223" i="1"/>
  <c r="I222" i="1"/>
  <c r="E222" i="1"/>
  <c r="A222" i="1"/>
  <c r="I221" i="1"/>
  <c r="E221" i="1"/>
  <c r="G221" i="1" s="1"/>
  <c r="A221" i="1"/>
  <c r="C221" i="1" s="1"/>
  <c r="D221" i="1" s="1"/>
  <c r="I220" i="1"/>
  <c r="J220" i="1" s="1"/>
  <c r="E220" i="1"/>
  <c r="A220" i="1"/>
  <c r="I219" i="1"/>
  <c r="J219" i="1" s="1"/>
  <c r="E219" i="1"/>
  <c r="G219" i="1" s="1"/>
  <c r="A219" i="1"/>
  <c r="I218" i="1"/>
  <c r="J218" i="1" s="1"/>
  <c r="E218" i="1"/>
  <c r="A218" i="1"/>
  <c r="I217" i="1"/>
  <c r="J217" i="1" s="1"/>
  <c r="E217" i="1"/>
  <c r="G217" i="1" s="1"/>
  <c r="A217" i="1"/>
  <c r="C217" i="1" s="1"/>
  <c r="D217" i="1" s="1"/>
  <c r="I216" i="1"/>
  <c r="J216" i="1" s="1"/>
  <c r="E216" i="1"/>
  <c r="A216" i="1"/>
  <c r="I215" i="1"/>
  <c r="J215" i="1" s="1"/>
  <c r="E215" i="1"/>
  <c r="A215" i="1"/>
  <c r="I214" i="1"/>
  <c r="J214" i="1" s="1"/>
  <c r="E214" i="1"/>
  <c r="A214" i="1"/>
  <c r="I213" i="1"/>
  <c r="J213" i="1" s="1"/>
  <c r="E213" i="1"/>
  <c r="A213" i="1"/>
  <c r="I212" i="1"/>
  <c r="J212" i="1" s="1"/>
  <c r="E212" i="1"/>
  <c r="A212" i="1"/>
  <c r="I211" i="1"/>
  <c r="J211" i="1" s="1"/>
  <c r="E211" i="1"/>
  <c r="A211" i="1"/>
  <c r="I210" i="1"/>
  <c r="J210" i="1" s="1"/>
  <c r="E210" i="1"/>
  <c r="A210" i="1"/>
  <c r="I209" i="1"/>
  <c r="J209" i="1" s="1"/>
  <c r="E209" i="1"/>
  <c r="A209" i="1"/>
  <c r="I208" i="1"/>
  <c r="E208" i="1"/>
  <c r="A208" i="1"/>
  <c r="I207" i="1"/>
  <c r="E207" i="1"/>
  <c r="G207" i="1" s="1"/>
  <c r="A207" i="1"/>
  <c r="I206" i="1"/>
  <c r="E206" i="1"/>
  <c r="G206" i="1" s="1"/>
  <c r="A206" i="1"/>
  <c r="C206" i="1" s="1"/>
  <c r="I205" i="1"/>
  <c r="J205" i="1" s="1"/>
  <c r="E205" i="1"/>
  <c r="A205" i="1"/>
  <c r="I204" i="1"/>
  <c r="J204" i="1" s="1"/>
  <c r="E204" i="1"/>
  <c r="A204" i="1"/>
  <c r="I203" i="1"/>
  <c r="J203" i="1" s="1"/>
  <c r="E203" i="1"/>
  <c r="A203" i="1"/>
  <c r="I202" i="1"/>
  <c r="J202" i="1" s="1"/>
  <c r="E202" i="1"/>
  <c r="A202" i="1"/>
  <c r="I201" i="1"/>
  <c r="J201" i="1" s="1"/>
  <c r="E201" i="1"/>
  <c r="A201" i="1"/>
  <c r="I200" i="1"/>
  <c r="J200" i="1" s="1"/>
  <c r="E200" i="1"/>
  <c r="A200" i="1"/>
  <c r="I199" i="1"/>
  <c r="J199" i="1" s="1"/>
  <c r="E199" i="1"/>
  <c r="A199" i="1"/>
  <c r="I198" i="1"/>
  <c r="J198" i="1" s="1"/>
  <c r="E198" i="1"/>
  <c r="A198" i="1"/>
  <c r="I197" i="1"/>
  <c r="J197" i="1" s="1"/>
  <c r="E197" i="1"/>
  <c r="A197" i="1"/>
  <c r="I196" i="1"/>
  <c r="J196" i="1" s="1"/>
  <c r="E196" i="1"/>
  <c r="A196" i="1"/>
  <c r="I195" i="1"/>
  <c r="E195" i="1"/>
  <c r="A195" i="1"/>
  <c r="I194" i="1"/>
  <c r="E194" i="1"/>
  <c r="A194" i="1"/>
  <c r="I193" i="1"/>
  <c r="E193" i="1"/>
  <c r="A193" i="1"/>
  <c r="I192" i="1"/>
  <c r="E192" i="1"/>
  <c r="A192" i="1"/>
  <c r="I191" i="1"/>
  <c r="E191" i="1"/>
  <c r="A191" i="1"/>
  <c r="I190" i="1"/>
  <c r="E190" i="1"/>
  <c r="A190" i="1"/>
  <c r="I189" i="1"/>
  <c r="E189" i="1"/>
  <c r="A189" i="1"/>
  <c r="I188" i="1"/>
  <c r="E188" i="1"/>
  <c r="A188" i="1"/>
  <c r="I187" i="1"/>
  <c r="E187" i="1"/>
  <c r="A187" i="1"/>
  <c r="I186" i="1"/>
  <c r="E186" i="1"/>
  <c r="A186" i="1"/>
  <c r="I185" i="1"/>
  <c r="E185" i="1"/>
  <c r="A185" i="1"/>
  <c r="I184" i="1"/>
  <c r="E184" i="1"/>
  <c r="G184" i="1" s="1"/>
  <c r="A184" i="1"/>
  <c r="I183" i="1"/>
  <c r="J183" i="1" s="1"/>
  <c r="E183" i="1"/>
  <c r="A183" i="1"/>
  <c r="I182" i="1"/>
  <c r="J182" i="1" s="1"/>
  <c r="E182" i="1"/>
  <c r="A182" i="1"/>
  <c r="I181" i="1"/>
  <c r="J181" i="1" s="1"/>
  <c r="E181" i="1"/>
  <c r="A181" i="1"/>
  <c r="I180" i="1"/>
  <c r="J180" i="1" s="1"/>
  <c r="E180" i="1"/>
  <c r="A180" i="1"/>
  <c r="I179" i="1"/>
  <c r="J179" i="1" s="1"/>
  <c r="E179" i="1"/>
  <c r="A179" i="1"/>
  <c r="I178" i="1"/>
  <c r="J178" i="1" s="1"/>
  <c r="E178" i="1"/>
  <c r="A178" i="1"/>
  <c r="I177" i="1"/>
  <c r="J177" i="1" s="1"/>
  <c r="E177" i="1"/>
  <c r="A177" i="1"/>
  <c r="I176" i="1"/>
  <c r="J176" i="1" s="1"/>
  <c r="E176" i="1"/>
  <c r="A176" i="1"/>
  <c r="I175" i="1"/>
  <c r="J175" i="1" s="1"/>
  <c r="E175" i="1"/>
  <c r="A175" i="1"/>
  <c r="I174" i="1"/>
  <c r="J174" i="1" s="1"/>
  <c r="E174" i="1"/>
  <c r="A174" i="1"/>
  <c r="I173" i="1"/>
  <c r="J173" i="1" s="1"/>
  <c r="E173" i="1"/>
  <c r="A173" i="1"/>
  <c r="I172" i="1"/>
  <c r="E172" i="1"/>
  <c r="A172" i="1"/>
  <c r="I171" i="1"/>
  <c r="E171" i="1"/>
  <c r="A171" i="1"/>
  <c r="I170" i="1"/>
  <c r="E170" i="1"/>
  <c r="A170" i="1"/>
  <c r="I169" i="1"/>
  <c r="E169" i="1"/>
  <c r="A169" i="1"/>
  <c r="I168" i="1"/>
  <c r="E168" i="1"/>
  <c r="A168" i="1"/>
  <c r="I167" i="1"/>
  <c r="E167" i="1"/>
  <c r="A167" i="1"/>
  <c r="I166" i="1"/>
  <c r="E166" i="1"/>
  <c r="A166" i="1"/>
  <c r="I165" i="1"/>
  <c r="E165" i="1"/>
  <c r="A165" i="1"/>
  <c r="I164" i="1"/>
  <c r="E164" i="1"/>
  <c r="A164" i="1"/>
  <c r="I163" i="1"/>
  <c r="E163" i="1"/>
  <c r="A163" i="1"/>
  <c r="I162" i="1"/>
  <c r="E162" i="1"/>
  <c r="A162" i="1"/>
  <c r="I161" i="1"/>
  <c r="E161" i="1"/>
  <c r="G161" i="1" s="1"/>
  <c r="A161" i="1"/>
  <c r="I160" i="1"/>
  <c r="J160" i="1" s="1"/>
  <c r="E160" i="1"/>
  <c r="A160" i="1"/>
  <c r="I159" i="1"/>
  <c r="J159" i="1" s="1"/>
  <c r="E159" i="1"/>
  <c r="A159" i="1"/>
  <c r="I158" i="1"/>
  <c r="J158" i="1" s="1"/>
  <c r="E158" i="1"/>
  <c r="A158" i="1"/>
  <c r="I157" i="1"/>
  <c r="J157" i="1" s="1"/>
  <c r="E157" i="1"/>
  <c r="A157" i="1"/>
  <c r="I156" i="1"/>
  <c r="J156" i="1" s="1"/>
  <c r="E156" i="1"/>
  <c r="A156" i="1"/>
  <c r="I155" i="1"/>
  <c r="J155" i="1" s="1"/>
  <c r="E155" i="1"/>
  <c r="A155" i="1"/>
  <c r="I154" i="1"/>
  <c r="J154" i="1" s="1"/>
  <c r="E154" i="1"/>
  <c r="A154" i="1"/>
  <c r="I153" i="1"/>
  <c r="J153" i="1" s="1"/>
  <c r="E153" i="1"/>
  <c r="A153" i="1"/>
  <c r="I152" i="1"/>
  <c r="J152" i="1" s="1"/>
  <c r="E152" i="1"/>
  <c r="A152" i="1"/>
  <c r="I151" i="1"/>
  <c r="E151" i="1"/>
  <c r="A151" i="1"/>
  <c r="I150" i="1"/>
  <c r="E150" i="1"/>
  <c r="A150" i="1"/>
  <c r="I149" i="1"/>
  <c r="E149" i="1"/>
  <c r="A149" i="1"/>
  <c r="I148" i="1"/>
  <c r="E148" i="1"/>
  <c r="A148" i="1"/>
  <c r="I147" i="1"/>
  <c r="E147" i="1"/>
  <c r="A147" i="1"/>
  <c r="I146" i="1"/>
  <c r="E146" i="1"/>
  <c r="A146" i="1"/>
  <c r="I145" i="1"/>
  <c r="E145" i="1"/>
  <c r="A145" i="1"/>
  <c r="I144" i="1"/>
  <c r="E144" i="1"/>
  <c r="A144" i="1"/>
  <c r="I143" i="1"/>
  <c r="E143" i="1"/>
  <c r="A143" i="1"/>
  <c r="I142" i="1"/>
  <c r="E142" i="1"/>
  <c r="A142" i="1"/>
  <c r="I141" i="1"/>
  <c r="E141" i="1"/>
  <c r="A141" i="1"/>
  <c r="I140" i="1"/>
  <c r="E140" i="1"/>
  <c r="G140" i="1" s="1"/>
  <c r="A140" i="1"/>
  <c r="C140" i="1" s="1"/>
  <c r="I139" i="1"/>
  <c r="J139" i="1" s="1"/>
  <c r="E139" i="1"/>
  <c r="A139" i="1"/>
  <c r="J138" i="1"/>
  <c r="I138" i="1"/>
  <c r="E138" i="1"/>
  <c r="A138" i="1"/>
  <c r="I137" i="1"/>
  <c r="J137" i="1" s="1"/>
  <c r="E137" i="1"/>
  <c r="A137" i="1"/>
  <c r="I136" i="1"/>
  <c r="J136" i="1" s="1"/>
  <c r="E136" i="1"/>
  <c r="A136" i="1"/>
  <c r="I135" i="1"/>
  <c r="J135" i="1" s="1"/>
  <c r="E135" i="1"/>
  <c r="A135" i="1"/>
  <c r="I134" i="1"/>
  <c r="J134" i="1" s="1"/>
  <c r="E134" i="1"/>
  <c r="A134" i="1"/>
  <c r="I133" i="1"/>
  <c r="J133" i="1" s="1"/>
  <c r="E133" i="1"/>
  <c r="A133" i="1"/>
  <c r="I132" i="1"/>
  <c r="J132" i="1" s="1"/>
  <c r="E132" i="1"/>
  <c r="G132" i="1" s="1"/>
  <c r="A132" i="1"/>
  <c r="C132" i="1" s="1"/>
  <c r="I131" i="1"/>
  <c r="J131" i="1" s="1"/>
  <c r="E131" i="1"/>
  <c r="A131" i="1"/>
  <c r="I130" i="1"/>
  <c r="J130" i="1" s="1"/>
  <c r="E130" i="1"/>
  <c r="A130" i="1"/>
  <c r="I129" i="1"/>
  <c r="J129" i="1" s="1"/>
  <c r="E129" i="1"/>
  <c r="A129" i="1"/>
  <c r="I128" i="1"/>
  <c r="J128" i="1" s="1"/>
  <c r="E128" i="1"/>
  <c r="A128" i="1"/>
  <c r="I127" i="1"/>
  <c r="J127" i="1" s="1"/>
  <c r="E127" i="1"/>
  <c r="A127" i="1"/>
  <c r="I126" i="1"/>
  <c r="J126" i="1" s="1"/>
  <c r="E126" i="1"/>
  <c r="A126" i="1"/>
  <c r="I125" i="1"/>
  <c r="J125" i="1" s="1"/>
  <c r="E125" i="1"/>
  <c r="A125" i="1"/>
  <c r="I124" i="1"/>
  <c r="J124" i="1" s="1"/>
  <c r="E124" i="1"/>
  <c r="A124" i="1"/>
  <c r="I123" i="1"/>
  <c r="J123" i="1" s="1"/>
  <c r="E123" i="1"/>
  <c r="A123" i="1"/>
  <c r="I122" i="1"/>
  <c r="J122" i="1" s="1"/>
  <c r="E122" i="1"/>
  <c r="A122" i="1"/>
  <c r="I121" i="1"/>
  <c r="J121" i="1" s="1"/>
  <c r="E121" i="1"/>
  <c r="A121" i="1"/>
  <c r="I120" i="1"/>
  <c r="J120" i="1" s="1"/>
  <c r="E120" i="1"/>
  <c r="A120" i="1"/>
  <c r="I119" i="1"/>
  <c r="J119" i="1" s="1"/>
  <c r="E119" i="1"/>
  <c r="A119" i="1"/>
  <c r="I118" i="1"/>
  <c r="J118" i="1" s="1"/>
  <c r="E118" i="1"/>
  <c r="G118" i="1" s="1"/>
  <c r="A118" i="1"/>
  <c r="I117" i="1"/>
  <c r="E117" i="1"/>
  <c r="G117" i="1" s="1"/>
  <c r="A117" i="1"/>
  <c r="I116" i="1"/>
  <c r="J116" i="1" s="1"/>
  <c r="E116" i="1"/>
  <c r="A116" i="1"/>
  <c r="I115" i="1"/>
  <c r="J115" i="1" s="1"/>
  <c r="E115" i="1"/>
  <c r="A115" i="1"/>
  <c r="I114" i="1"/>
  <c r="J114" i="1" s="1"/>
  <c r="E114" i="1"/>
  <c r="A114" i="1"/>
  <c r="I113" i="1"/>
  <c r="J113" i="1" s="1"/>
  <c r="E113" i="1"/>
  <c r="A113" i="1"/>
  <c r="I112" i="1"/>
  <c r="J112" i="1" s="1"/>
  <c r="E112" i="1"/>
  <c r="A112" i="1"/>
  <c r="I111" i="1"/>
  <c r="J111" i="1" s="1"/>
  <c r="E111" i="1"/>
  <c r="A111" i="1"/>
  <c r="I110" i="1"/>
  <c r="J110" i="1" s="1"/>
  <c r="E110" i="1"/>
  <c r="A110" i="1"/>
  <c r="I109" i="1"/>
  <c r="J109" i="1" s="1"/>
  <c r="E109" i="1"/>
  <c r="A109" i="1"/>
  <c r="I108" i="1"/>
  <c r="J108" i="1" s="1"/>
  <c r="E108" i="1"/>
  <c r="A108" i="1"/>
  <c r="I107" i="1"/>
  <c r="J107" i="1" s="1"/>
  <c r="E107" i="1"/>
  <c r="A107" i="1"/>
  <c r="I106" i="1"/>
  <c r="J106" i="1" s="1"/>
  <c r="E106" i="1"/>
  <c r="A106" i="1"/>
  <c r="I105" i="1"/>
  <c r="J105" i="1" s="1"/>
  <c r="E105" i="1"/>
  <c r="A105" i="1"/>
  <c r="I104" i="1"/>
  <c r="J104" i="1" s="1"/>
  <c r="E104" i="1"/>
  <c r="A104" i="1"/>
  <c r="I103" i="1"/>
  <c r="J103" i="1" s="1"/>
  <c r="E103" i="1"/>
  <c r="A103" i="1"/>
  <c r="I102" i="1"/>
  <c r="J102" i="1" s="1"/>
  <c r="E102" i="1"/>
  <c r="G102" i="1" s="1"/>
  <c r="A102" i="1"/>
  <c r="I101" i="1"/>
  <c r="E101" i="1"/>
  <c r="G101" i="1" s="1"/>
  <c r="A101" i="1"/>
  <c r="C101" i="1" s="1"/>
  <c r="I100" i="1"/>
  <c r="J100" i="1" s="1"/>
  <c r="E100" i="1"/>
  <c r="A100" i="1"/>
  <c r="I99" i="1"/>
  <c r="J99" i="1" s="1"/>
  <c r="E99" i="1"/>
  <c r="A99" i="1"/>
  <c r="I98" i="1"/>
  <c r="J98" i="1" s="1"/>
  <c r="E98" i="1"/>
  <c r="A98" i="1"/>
  <c r="I97" i="1"/>
  <c r="J97" i="1" s="1"/>
  <c r="E97" i="1"/>
  <c r="G97" i="1" s="1"/>
  <c r="A97" i="1"/>
  <c r="C97" i="1" s="1"/>
  <c r="I96" i="1"/>
  <c r="J96" i="1" s="1"/>
  <c r="E96" i="1"/>
  <c r="A96" i="1"/>
  <c r="I95" i="1"/>
  <c r="J95" i="1" s="1"/>
  <c r="E95" i="1"/>
  <c r="A95" i="1"/>
  <c r="I94" i="1"/>
  <c r="J94" i="1" s="1"/>
  <c r="E94" i="1"/>
  <c r="A94" i="1"/>
  <c r="I93" i="1"/>
  <c r="J93" i="1" s="1"/>
  <c r="E93" i="1"/>
  <c r="A93" i="1"/>
  <c r="I92" i="1"/>
  <c r="J92" i="1" s="1"/>
  <c r="E92" i="1"/>
  <c r="A92" i="1"/>
  <c r="I91" i="1"/>
  <c r="J91" i="1" s="1"/>
  <c r="E91" i="1"/>
  <c r="G91" i="1" s="1"/>
  <c r="A91" i="1"/>
  <c r="C91" i="1" s="1"/>
  <c r="D91" i="1" s="1"/>
  <c r="I90" i="1"/>
  <c r="J90" i="1" s="1"/>
  <c r="E90" i="1"/>
  <c r="A90" i="1"/>
  <c r="I89" i="1"/>
  <c r="J89" i="1" s="1"/>
  <c r="E89" i="1"/>
  <c r="A89" i="1"/>
  <c r="I88" i="1"/>
  <c r="J88" i="1" s="1"/>
  <c r="E88" i="1"/>
  <c r="A88" i="1"/>
  <c r="I87" i="1"/>
  <c r="J87" i="1" s="1"/>
  <c r="E87" i="1"/>
  <c r="A87" i="1"/>
  <c r="I86" i="1"/>
  <c r="J86" i="1" s="1"/>
  <c r="E86" i="1"/>
  <c r="A86" i="1"/>
  <c r="I85" i="1"/>
  <c r="J85" i="1" s="1"/>
  <c r="E85" i="1"/>
  <c r="A85" i="1"/>
  <c r="I84" i="1"/>
  <c r="J84" i="1" s="1"/>
  <c r="E84" i="1"/>
  <c r="A84" i="1"/>
  <c r="I83" i="1"/>
  <c r="J83" i="1" s="1"/>
  <c r="E83" i="1"/>
  <c r="A83" i="1"/>
  <c r="I82" i="1"/>
  <c r="J82" i="1" s="1"/>
  <c r="E82" i="1"/>
  <c r="A82" i="1"/>
  <c r="I81" i="1"/>
  <c r="J81" i="1" s="1"/>
  <c r="E81" i="1"/>
  <c r="A81" i="1"/>
  <c r="I80" i="1"/>
  <c r="J80" i="1" s="1"/>
  <c r="E80" i="1"/>
  <c r="A80" i="1"/>
  <c r="I79" i="1"/>
  <c r="J79" i="1" s="1"/>
  <c r="E79" i="1"/>
  <c r="A79" i="1"/>
  <c r="I78" i="1"/>
  <c r="J78" i="1" s="1"/>
  <c r="E78" i="1"/>
  <c r="A78" i="1"/>
  <c r="I77" i="1"/>
  <c r="J77" i="1" s="1"/>
  <c r="E77" i="1"/>
  <c r="A77" i="1"/>
  <c r="I76" i="1"/>
  <c r="J76" i="1" s="1"/>
  <c r="E76" i="1"/>
  <c r="A76" i="1"/>
  <c r="I75" i="1"/>
  <c r="J75" i="1" s="1"/>
  <c r="E75" i="1"/>
  <c r="G75" i="1" s="1"/>
  <c r="A75" i="1"/>
  <c r="C75" i="1" s="1"/>
  <c r="D75" i="1" s="1"/>
  <c r="I74" i="1"/>
  <c r="J74" i="1" s="1"/>
  <c r="E74" i="1"/>
  <c r="A74" i="1"/>
  <c r="I73" i="1"/>
  <c r="J73" i="1" s="1"/>
  <c r="E73" i="1"/>
  <c r="A73" i="1"/>
  <c r="I72" i="1"/>
  <c r="J72" i="1" s="1"/>
  <c r="E72" i="1"/>
  <c r="A72" i="1"/>
  <c r="I71" i="1"/>
  <c r="J71" i="1" s="1"/>
  <c r="E71" i="1"/>
  <c r="A71" i="1"/>
  <c r="I70" i="1"/>
  <c r="J70" i="1" s="1"/>
  <c r="E70" i="1"/>
  <c r="A70" i="1"/>
  <c r="I69" i="1"/>
  <c r="J69" i="1" s="1"/>
  <c r="E69" i="1"/>
  <c r="A69" i="1"/>
  <c r="I68" i="1"/>
  <c r="J68" i="1" s="1"/>
  <c r="E68" i="1"/>
  <c r="A68" i="1"/>
  <c r="I67" i="1"/>
  <c r="J67" i="1" s="1"/>
  <c r="E67" i="1"/>
  <c r="A67" i="1"/>
  <c r="I66" i="1"/>
  <c r="J66" i="1" s="1"/>
  <c r="E66" i="1"/>
  <c r="A66" i="1"/>
  <c r="I65" i="1"/>
  <c r="J65" i="1" s="1"/>
  <c r="E65" i="1"/>
  <c r="A65" i="1"/>
  <c r="I64" i="1"/>
  <c r="J64" i="1" s="1"/>
  <c r="E64" i="1"/>
  <c r="A64" i="1"/>
  <c r="I63" i="1"/>
  <c r="J63" i="1" s="1"/>
  <c r="E63" i="1"/>
  <c r="A63" i="1"/>
  <c r="I62" i="1"/>
  <c r="E62" i="1"/>
  <c r="A62" i="1"/>
  <c r="I61" i="1"/>
  <c r="E61" i="1"/>
  <c r="A61" i="1"/>
  <c r="I60" i="1"/>
  <c r="E60" i="1"/>
  <c r="A60" i="1"/>
  <c r="I59" i="1"/>
  <c r="E59" i="1"/>
  <c r="A59" i="1"/>
  <c r="I58" i="1"/>
  <c r="E58" i="1"/>
  <c r="A58" i="1"/>
  <c r="I57" i="1"/>
  <c r="E57" i="1"/>
  <c r="A57" i="1"/>
  <c r="I56" i="1"/>
  <c r="E56" i="1"/>
  <c r="G56" i="1" s="1"/>
  <c r="A56" i="1"/>
  <c r="C56" i="1" s="1"/>
  <c r="I55" i="1"/>
  <c r="J55" i="1" s="1"/>
  <c r="E55" i="1"/>
  <c r="A55" i="1"/>
  <c r="I54" i="1"/>
  <c r="J54" i="1" s="1"/>
  <c r="E54" i="1"/>
  <c r="A54" i="1"/>
  <c r="I53" i="1"/>
  <c r="J53" i="1" s="1"/>
  <c r="E53" i="1"/>
  <c r="A53" i="1"/>
  <c r="J52" i="1"/>
  <c r="I52" i="1"/>
  <c r="E52" i="1"/>
  <c r="A52" i="1"/>
  <c r="I51" i="1"/>
  <c r="J51" i="1" s="1"/>
  <c r="E51" i="1"/>
  <c r="A51" i="1"/>
  <c r="I50" i="1"/>
  <c r="J50" i="1" s="1"/>
  <c r="E50" i="1"/>
  <c r="A50" i="1"/>
  <c r="I49" i="1"/>
  <c r="E49" i="1"/>
  <c r="A49" i="1"/>
  <c r="I48" i="1"/>
  <c r="E48" i="1"/>
  <c r="A48" i="1"/>
  <c r="I47" i="1"/>
  <c r="E47" i="1"/>
  <c r="A47" i="1"/>
  <c r="I46" i="1"/>
  <c r="E46" i="1"/>
  <c r="A46" i="1"/>
  <c r="I45" i="1"/>
  <c r="E45" i="1"/>
  <c r="A45" i="1"/>
  <c r="I44" i="1"/>
  <c r="E44" i="1"/>
  <c r="A44" i="1"/>
  <c r="I43" i="1"/>
  <c r="E43" i="1"/>
  <c r="A43" i="1"/>
  <c r="I42" i="1"/>
  <c r="E42" i="1"/>
  <c r="G42" i="1" s="1"/>
  <c r="A42" i="1"/>
  <c r="C42" i="1" s="1"/>
  <c r="I41" i="1"/>
  <c r="J41" i="1" s="1"/>
  <c r="E41" i="1"/>
  <c r="A41" i="1"/>
  <c r="I40" i="1"/>
  <c r="J40" i="1" s="1"/>
  <c r="E40" i="1"/>
  <c r="A40" i="1"/>
  <c r="I39" i="1"/>
  <c r="J39" i="1" s="1"/>
  <c r="E39" i="1"/>
  <c r="A39" i="1"/>
  <c r="I38" i="1"/>
  <c r="J38" i="1" s="1"/>
  <c r="E38" i="1"/>
  <c r="A38" i="1"/>
  <c r="I37" i="1"/>
  <c r="J37" i="1" s="1"/>
  <c r="E37" i="1"/>
  <c r="A37" i="1"/>
  <c r="I36" i="1"/>
  <c r="J36" i="1" s="1"/>
  <c r="E36" i="1"/>
  <c r="A36" i="1"/>
  <c r="I35" i="1"/>
  <c r="J35" i="1" s="1"/>
  <c r="E35" i="1"/>
  <c r="A35" i="1"/>
  <c r="I34" i="1"/>
  <c r="J34" i="1" s="1"/>
  <c r="E34" i="1"/>
  <c r="A34" i="1"/>
  <c r="I33" i="1"/>
  <c r="J33" i="1" s="1"/>
  <c r="E33" i="1"/>
  <c r="A33" i="1"/>
  <c r="I32" i="1"/>
  <c r="J32" i="1" s="1"/>
  <c r="E32" i="1"/>
  <c r="G32" i="1" s="1"/>
  <c r="A32" i="1"/>
  <c r="C32" i="1" s="1"/>
  <c r="I31" i="1"/>
  <c r="J31" i="1" s="1"/>
  <c r="E31" i="1"/>
  <c r="A31" i="1"/>
  <c r="I30" i="1"/>
  <c r="J30" i="1" s="1"/>
  <c r="E30" i="1"/>
  <c r="A30" i="1"/>
  <c r="I29" i="1"/>
  <c r="J29" i="1" s="1"/>
  <c r="E29" i="1"/>
  <c r="A29" i="1"/>
  <c r="I28" i="1"/>
  <c r="J28" i="1" s="1"/>
  <c r="E28" i="1"/>
  <c r="A28" i="1"/>
  <c r="I27" i="1"/>
  <c r="J27" i="1" s="1"/>
  <c r="E27" i="1"/>
  <c r="A27" i="1"/>
  <c r="I26" i="1"/>
  <c r="J26" i="1" s="1"/>
  <c r="E26" i="1"/>
  <c r="A26" i="1"/>
  <c r="I25" i="1"/>
  <c r="J25" i="1" s="1"/>
  <c r="E25" i="1"/>
  <c r="A25" i="1"/>
  <c r="I24" i="1"/>
  <c r="J24" i="1" s="1"/>
  <c r="E24" i="1"/>
  <c r="A24" i="1"/>
  <c r="I23" i="1"/>
  <c r="E23" i="1"/>
  <c r="G23" i="1" s="1"/>
  <c r="A23" i="1"/>
  <c r="C23" i="1" s="1"/>
  <c r="I22" i="1"/>
  <c r="J22" i="1" s="1"/>
  <c r="E22" i="1"/>
  <c r="A22" i="1"/>
  <c r="I21" i="1"/>
  <c r="J21" i="1" s="1"/>
  <c r="E21" i="1"/>
  <c r="A21" i="1"/>
  <c r="I20" i="1"/>
  <c r="J20" i="1" s="1"/>
  <c r="E20" i="1"/>
  <c r="A20" i="1"/>
  <c r="I19" i="1"/>
  <c r="J19" i="1" s="1"/>
  <c r="E19" i="1"/>
  <c r="A19" i="1"/>
  <c r="I18" i="1"/>
  <c r="J18" i="1" s="1"/>
  <c r="E18" i="1"/>
  <c r="A18" i="1"/>
  <c r="I17" i="1"/>
  <c r="J17" i="1" s="1"/>
  <c r="E17" i="1"/>
  <c r="A17" i="1"/>
  <c r="I16" i="1"/>
  <c r="J16" i="1" s="1"/>
  <c r="E16" i="1"/>
  <c r="A16" i="1"/>
  <c r="I15" i="1"/>
  <c r="J15" i="1" s="1"/>
  <c r="E15" i="1"/>
  <c r="A15" i="1"/>
  <c r="I14" i="1"/>
  <c r="J14" i="1" s="1"/>
  <c r="E14" i="1"/>
  <c r="A14" i="1"/>
  <c r="I13" i="1"/>
  <c r="J13" i="1" s="1"/>
  <c r="E13" i="1"/>
  <c r="A13" i="1"/>
  <c r="I12" i="1"/>
  <c r="E12" i="1"/>
  <c r="A12" i="1"/>
  <c r="I11" i="1"/>
  <c r="E11" i="1"/>
  <c r="A11" i="1"/>
  <c r="I10" i="1"/>
  <c r="E10" i="1"/>
  <c r="A10" i="1"/>
  <c r="I9" i="1"/>
  <c r="E9" i="1"/>
  <c r="A9" i="1"/>
  <c r="I8" i="1"/>
  <c r="E8" i="1"/>
  <c r="A8" i="1"/>
  <c r="I7" i="1"/>
  <c r="E7" i="1"/>
  <c r="A7" i="1"/>
  <c r="I6" i="1"/>
  <c r="E6" i="1"/>
  <c r="G6" i="1" s="1"/>
  <c r="A6" i="1"/>
  <c r="C6" i="1" s="1"/>
  <c r="D6" i="1" s="1"/>
  <c r="I5" i="1"/>
  <c r="J5" i="1" s="1"/>
  <c r="E5" i="1"/>
  <c r="A5" i="1"/>
  <c r="I4" i="1"/>
  <c r="J4" i="1" s="1"/>
  <c r="E4" i="1"/>
  <c r="A4" i="1"/>
  <c r="I3" i="1"/>
  <c r="J3" i="1" s="1"/>
  <c r="E3" i="1"/>
  <c r="A3" i="1"/>
  <c r="I2" i="1"/>
  <c r="E2" i="1"/>
  <c r="A2" i="1"/>
  <c r="B2" i="1" s="1"/>
  <c r="G208" i="1" l="1"/>
  <c r="G141" i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C98" i="1"/>
  <c r="H98" i="1" s="1"/>
  <c r="G33" i="1"/>
  <c r="G34" i="1" s="1"/>
  <c r="G612" i="1"/>
  <c r="C222" i="1"/>
  <c r="C57" i="1"/>
  <c r="G640" i="1"/>
  <c r="G641" i="1" s="1"/>
  <c r="B117" i="1"/>
  <c r="F7" i="1"/>
  <c r="G24" i="1"/>
  <c r="G305" i="1"/>
  <c r="G306" i="1" s="1"/>
  <c r="G307" i="1" s="1"/>
  <c r="G133" i="1"/>
  <c r="G134" i="1" s="1"/>
  <c r="G135" i="1" s="1"/>
  <c r="G286" i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C33" i="1"/>
  <c r="C34" i="1" s="1"/>
  <c r="D34" i="1" s="1"/>
  <c r="J6" i="1"/>
  <c r="J10" i="1"/>
  <c r="C373" i="1"/>
  <c r="D373" i="1" s="1"/>
  <c r="G7" i="1"/>
  <c r="G8" i="1" s="1"/>
  <c r="G9" i="1" s="1"/>
  <c r="H23" i="1"/>
  <c r="C24" i="1"/>
  <c r="C25" i="1" s="1"/>
  <c r="G57" i="1"/>
  <c r="G58" i="1" s="1"/>
  <c r="H647" i="1"/>
  <c r="D647" i="1"/>
  <c r="H891" i="1"/>
  <c r="C892" i="1"/>
  <c r="H677" i="1"/>
  <c r="J61" i="1"/>
  <c r="G119" i="1"/>
  <c r="G162" i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B14" i="1"/>
  <c r="C58" i="1"/>
  <c r="C92" i="1"/>
  <c r="D92" i="1" s="1"/>
  <c r="G185" i="1"/>
  <c r="C218" i="1"/>
  <c r="G663" i="1"/>
  <c r="C630" i="1"/>
  <c r="F127" i="1"/>
  <c r="G630" i="1"/>
  <c r="G631" i="1" s="1"/>
  <c r="G632" i="1" s="1"/>
  <c r="G633" i="1" s="1"/>
  <c r="G634" i="1" s="1"/>
  <c r="G635" i="1" s="1"/>
  <c r="G636" i="1" s="1"/>
  <c r="G637" i="1" s="1"/>
  <c r="G638" i="1" s="1"/>
  <c r="H221" i="1"/>
  <c r="G491" i="1"/>
  <c r="G186" i="1"/>
  <c r="G678" i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563" i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H32" i="1"/>
  <c r="G76" i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328" i="1"/>
  <c r="G329" i="1" s="1"/>
  <c r="G330" i="1" s="1"/>
  <c r="G331" i="1" s="1"/>
  <c r="G367" i="1"/>
  <c r="B19" i="1"/>
  <c r="H56" i="1"/>
  <c r="G209" i="1"/>
  <c r="G98" i="1"/>
  <c r="G99" i="1" s="1"/>
  <c r="G218" i="1"/>
  <c r="J8" i="1"/>
  <c r="G103" i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220" i="1"/>
  <c r="F3" i="1"/>
  <c r="G222" i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64" i="1"/>
  <c r="J11" i="1"/>
  <c r="J9" i="1"/>
  <c r="G236" i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H662" i="1"/>
  <c r="F41" i="1"/>
  <c r="G347" i="1"/>
  <c r="G92" i="1"/>
  <c r="G93" i="1" s="1"/>
  <c r="G94" i="1" s="1"/>
  <c r="H91" i="1"/>
  <c r="H101" i="1"/>
  <c r="C102" i="1"/>
  <c r="D101" i="1"/>
  <c r="H132" i="1"/>
  <c r="D132" i="1"/>
  <c r="J7" i="1"/>
  <c r="F17" i="1"/>
  <c r="F44" i="1"/>
  <c r="J149" i="1"/>
  <c r="F6" i="1"/>
  <c r="B11" i="1"/>
  <c r="B23" i="1"/>
  <c r="F29" i="1"/>
  <c r="C43" i="1"/>
  <c r="H42" i="1"/>
  <c r="J44" i="1"/>
  <c r="F53" i="1"/>
  <c r="F146" i="1"/>
  <c r="J185" i="1"/>
  <c r="B892" i="1"/>
  <c r="B880" i="1"/>
  <c r="B868" i="1"/>
  <c r="B856" i="1"/>
  <c r="B844" i="1"/>
  <c r="B832" i="1"/>
  <c r="B820" i="1"/>
  <c r="B808" i="1"/>
  <c r="B796" i="1"/>
  <c r="B784" i="1"/>
  <c r="B893" i="1"/>
  <c r="B881" i="1"/>
  <c r="B869" i="1"/>
  <c r="B857" i="1"/>
  <c r="B894" i="1"/>
  <c r="B882" i="1"/>
  <c r="B870" i="1"/>
  <c r="B858" i="1"/>
  <c r="B846" i="1"/>
  <c r="B834" i="1"/>
  <c r="B822" i="1"/>
  <c r="B810" i="1"/>
  <c r="B798" i="1"/>
  <c r="B895" i="1"/>
  <c r="B883" i="1"/>
  <c r="B871" i="1"/>
  <c r="B859" i="1"/>
  <c r="B847" i="1"/>
  <c r="B835" i="1"/>
  <c r="B823" i="1"/>
  <c r="B811" i="1"/>
  <c r="B799" i="1"/>
  <c r="B787" i="1"/>
  <c r="B896" i="1"/>
  <c r="B884" i="1"/>
  <c r="B872" i="1"/>
  <c r="B860" i="1"/>
  <c r="B848" i="1"/>
  <c r="B836" i="1"/>
  <c r="B824" i="1"/>
  <c r="B812" i="1"/>
  <c r="B800" i="1"/>
  <c r="B788" i="1"/>
  <c r="B897" i="1"/>
  <c r="B885" i="1"/>
  <c r="B873" i="1"/>
  <c r="B861" i="1"/>
  <c r="B849" i="1"/>
  <c r="B898" i="1"/>
  <c r="B886" i="1"/>
  <c r="B874" i="1"/>
  <c r="B862" i="1"/>
  <c r="B850" i="1"/>
  <c r="B838" i="1"/>
  <c r="B826" i="1"/>
  <c r="B814" i="1"/>
  <c r="B802" i="1"/>
  <c r="B899" i="1"/>
  <c r="B887" i="1"/>
  <c r="B875" i="1"/>
  <c r="B863" i="1"/>
  <c r="B851" i="1"/>
  <c r="B839" i="1"/>
  <c r="B900" i="1"/>
  <c r="B888" i="1"/>
  <c r="B876" i="1"/>
  <c r="B864" i="1"/>
  <c r="B852" i="1"/>
  <c r="B889" i="1"/>
  <c r="B877" i="1"/>
  <c r="B865" i="1"/>
  <c r="B853" i="1"/>
  <c r="B841" i="1"/>
  <c r="B890" i="1"/>
  <c r="B878" i="1"/>
  <c r="B866" i="1"/>
  <c r="B854" i="1"/>
  <c r="B891" i="1"/>
  <c r="B879" i="1"/>
  <c r="B827" i="1"/>
  <c r="B818" i="1"/>
  <c r="B807" i="1"/>
  <c r="B793" i="1"/>
  <c r="B790" i="1"/>
  <c r="B786" i="1"/>
  <c r="B781" i="1"/>
  <c r="B813" i="1"/>
  <c r="B840" i="1"/>
  <c r="B830" i="1"/>
  <c r="B816" i="1"/>
  <c r="B776" i="1"/>
  <c r="B765" i="1"/>
  <c r="B753" i="1"/>
  <c r="B741" i="1"/>
  <c r="B729" i="1"/>
  <c r="B717" i="1"/>
  <c r="B833" i="1"/>
  <c r="B825" i="1"/>
  <c r="B819" i="1"/>
  <c r="B782" i="1"/>
  <c r="B766" i="1"/>
  <c r="B754" i="1"/>
  <c r="B742" i="1"/>
  <c r="B730" i="1"/>
  <c r="B855" i="1"/>
  <c r="B842" i="1"/>
  <c r="B828" i="1"/>
  <c r="B805" i="1"/>
  <c r="B794" i="1"/>
  <c r="B791" i="1"/>
  <c r="B777" i="1"/>
  <c r="B767" i="1"/>
  <c r="B755" i="1"/>
  <c r="B743" i="1"/>
  <c r="B731" i="1"/>
  <c r="B797" i="1"/>
  <c r="B783" i="1"/>
  <c r="B768" i="1"/>
  <c r="B831" i="1"/>
  <c r="B803" i="1"/>
  <c r="B778" i="1"/>
  <c r="B769" i="1"/>
  <c r="B757" i="1"/>
  <c r="B792" i="1"/>
  <c r="B770" i="1"/>
  <c r="B758" i="1"/>
  <c r="B746" i="1"/>
  <c r="B734" i="1"/>
  <c r="B722" i="1"/>
  <c r="B867" i="1"/>
  <c r="B817" i="1"/>
  <c r="B806" i="1"/>
  <c r="B809" i="1"/>
  <c r="B801" i="1"/>
  <c r="B785" i="1"/>
  <c r="B780" i="1"/>
  <c r="B843" i="1"/>
  <c r="B837" i="1"/>
  <c r="B829" i="1"/>
  <c r="B815" i="1"/>
  <c r="B804" i="1"/>
  <c r="B845" i="1"/>
  <c r="B821" i="1"/>
  <c r="B761" i="1"/>
  <c r="B750" i="1"/>
  <c r="B737" i="1"/>
  <c r="B723" i="1"/>
  <c r="B712" i="1"/>
  <c r="B700" i="1"/>
  <c r="B688" i="1"/>
  <c r="B795" i="1"/>
  <c r="B779" i="1"/>
  <c r="B738" i="1"/>
  <c r="B735" i="1"/>
  <c r="B703" i="1"/>
  <c r="B691" i="1"/>
  <c r="B679" i="1"/>
  <c r="B667" i="1"/>
  <c r="B655" i="1"/>
  <c r="B775" i="1"/>
  <c r="B771" i="1"/>
  <c r="B764" i="1"/>
  <c r="B748" i="1"/>
  <c r="B745" i="1"/>
  <c r="B728" i="1"/>
  <c r="B724" i="1"/>
  <c r="B704" i="1"/>
  <c r="B692" i="1"/>
  <c r="B680" i="1"/>
  <c r="B668" i="1"/>
  <c r="B773" i="1"/>
  <c r="B762" i="1"/>
  <c r="B721" i="1"/>
  <c r="B706" i="1"/>
  <c r="B760" i="1"/>
  <c r="B739" i="1"/>
  <c r="B725" i="1"/>
  <c r="B716" i="1"/>
  <c r="B707" i="1"/>
  <c r="B695" i="1"/>
  <c r="B683" i="1"/>
  <c r="B671" i="1"/>
  <c r="B659" i="1"/>
  <c r="B647" i="1"/>
  <c r="B749" i="1"/>
  <c r="B736" i="1"/>
  <c r="B733" i="1"/>
  <c r="B708" i="1"/>
  <c r="B696" i="1"/>
  <c r="B789" i="1"/>
  <c r="B774" i="1"/>
  <c r="B752" i="1"/>
  <c r="B710" i="1"/>
  <c r="B698" i="1"/>
  <c r="B686" i="1"/>
  <c r="B674" i="1"/>
  <c r="B772" i="1"/>
  <c r="B763" i="1"/>
  <c r="B747" i="1"/>
  <c r="B740" i="1"/>
  <c r="B718" i="1"/>
  <c r="B711" i="1"/>
  <c r="B699" i="1"/>
  <c r="B714" i="1"/>
  <c r="B697" i="1"/>
  <c r="B676" i="1"/>
  <c r="B654" i="1"/>
  <c r="B649" i="1"/>
  <c r="B643" i="1"/>
  <c r="B631" i="1"/>
  <c r="B619" i="1"/>
  <c r="B607" i="1"/>
  <c r="B595" i="1"/>
  <c r="B583" i="1"/>
  <c r="B732" i="1"/>
  <c r="B673" i="1"/>
  <c r="B669" i="1"/>
  <c r="B660" i="1"/>
  <c r="B644" i="1"/>
  <c r="B632" i="1"/>
  <c r="B620" i="1"/>
  <c r="B608" i="1"/>
  <c r="B596" i="1"/>
  <c r="B584" i="1"/>
  <c r="B744" i="1"/>
  <c r="B727" i="1"/>
  <c r="B701" i="1"/>
  <c r="B693" i="1"/>
  <c r="B665" i="1"/>
  <c r="B633" i="1"/>
  <c r="B621" i="1"/>
  <c r="B609" i="1"/>
  <c r="B597" i="1"/>
  <c r="B585" i="1"/>
  <c r="B720" i="1"/>
  <c r="B705" i="1"/>
  <c r="B650" i="1"/>
  <c r="B645" i="1"/>
  <c r="B634" i="1"/>
  <c r="B622" i="1"/>
  <c r="B610" i="1"/>
  <c r="B598" i="1"/>
  <c r="B586" i="1"/>
  <c r="B574" i="1"/>
  <c r="B709" i="1"/>
  <c r="B689" i="1"/>
  <c r="B670" i="1"/>
  <c r="B661" i="1"/>
  <c r="B656" i="1"/>
  <c r="B651" i="1"/>
  <c r="B635" i="1"/>
  <c r="B623" i="1"/>
  <c r="B611" i="1"/>
  <c r="B599" i="1"/>
  <c r="B715" i="1"/>
  <c r="B713" i="1"/>
  <c r="B637" i="1"/>
  <c r="B625" i="1"/>
  <c r="B613" i="1"/>
  <c r="B601" i="1"/>
  <c r="B726" i="1"/>
  <c r="B681" i="1"/>
  <c r="B662" i="1"/>
  <c r="B657" i="1"/>
  <c r="B652" i="1"/>
  <c r="B638" i="1"/>
  <c r="B626" i="1"/>
  <c r="B614" i="1"/>
  <c r="B602" i="1"/>
  <c r="B751" i="1"/>
  <c r="B702" i="1"/>
  <c r="B694" i="1"/>
  <c r="B678" i="1"/>
  <c r="B675" i="1"/>
  <c r="B663" i="1"/>
  <c r="B639" i="1"/>
  <c r="B627" i="1"/>
  <c r="B615" i="1"/>
  <c r="B603" i="1"/>
  <c r="B591" i="1"/>
  <c r="B719" i="1"/>
  <c r="B690" i="1"/>
  <c r="B685" i="1"/>
  <c r="B672" i="1"/>
  <c r="B658" i="1"/>
  <c r="B648" i="1"/>
  <c r="B640" i="1"/>
  <c r="B628" i="1"/>
  <c r="B616" i="1"/>
  <c r="B604" i="1"/>
  <c r="B592" i="1"/>
  <c r="B759" i="1"/>
  <c r="B756" i="1"/>
  <c r="B682" i="1"/>
  <c r="B653" i="1"/>
  <c r="B641" i="1"/>
  <c r="B629" i="1"/>
  <c r="B617" i="1"/>
  <c r="B605" i="1"/>
  <c r="B593" i="1"/>
  <c r="B664" i="1"/>
  <c r="B642" i="1"/>
  <c r="B630" i="1"/>
  <c r="B618" i="1"/>
  <c r="B606" i="1"/>
  <c r="B594" i="1"/>
  <c r="B589" i="1"/>
  <c r="B565" i="1"/>
  <c r="B553" i="1"/>
  <c r="B541" i="1"/>
  <c r="B529" i="1"/>
  <c r="B517" i="1"/>
  <c r="B505" i="1"/>
  <c r="B493" i="1"/>
  <c r="B481" i="1"/>
  <c r="B469" i="1"/>
  <c r="B684" i="1"/>
  <c r="B587" i="1"/>
  <c r="B580" i="1"/>
  <c r="B576" i="1"/>
  <c r="B566" i="1"/>
  <c r="B554" i="1"/>
  <c r="B542" i="1"/>
  <c r="B530" i="1"/>
  <c r="B518" i="1"/>
  <c r="B506" i="1"/>
  <c r="B567" i="1"/>
  <c r="B687" i="1"/>
  <c r="B677" i="1"/>
  <c r="B646" i="1"/>
  <c r="B577" i="1"/>
  <c r="B568" i="1"/>
  <c r="B556" i="1"/>
  <c r="B544" i="1"/>
  <c r="B532" i="1"/>
  <c r="B520" i="1"/>
  <c r="B508" i="1"/>
  <c r="B496" i="1"/>
  <c r="B581" i="1"/>
  <c r="B569" i="1"/>
  <c r="B557" i="1"/>
  <c r="B545" i="1"/>
  <c r="B533" i="1"/>
  <c r="B521" i="1"/>
  <c r="B590" i="1"/>
  <c r="B582" i="1"/>
  <c r="B570" i="1"/>
  <c r="B558" i="1"/>
  <c r="B546" i="1"/>
  <c r="B534" i="1"/>
  <c r="B578" i="1"/>
  <c r="B571" i="1"/>
  <c r="B559" i="1"/>
  <c r="B547" i="1"/>
  <c r="B535" i="1"/>
  <c r="B523" i="1"/>
  <c r="B511" i="1"/>
  <c r="B499" i="1"/>
  <c r="B487" i="1"/>
  <c r="B475" i="1"/>
  <c r="B612" i="1"/>
  <c r="B588" i="1"/>
  <c r="B572" i="1"/>
  <c r="B560" i="1"/>
  <c r="B548" i="1"/>
  <c r="B573" i="1"/>
  <c r="B561" i="1"/>
  <c r="B549" i="1"/>
  <c r="B537" i="1"/>
  <c r="B600" i="1"/>
  <c r="B579" i="1"/>
  <c r="B562" i="1"/>
  <c r="B550" i="1"/>
  <c r="B538" i="1"/>
  <c r="B526" i="1"/>
  <c r="B514" i="1"/>
  <c r="B502" i="1"/>
  <c r="B490" i="1"/>
  <c r="B564" i="1"/>
  <c r="B555" i="1"/>
  <c r="B524" i="1"/>
  <c r="B522" i="1"/>
  <c r="B512" i="1"/>
  <c r="B501" i="1"/>
  <c r="B467" i="1"/>
  <c r="B460" i="1"/>
  <c r="B666" i="1"/>
  <c r="B507" i="1"/>
  <c r="B504" i="1"/>
  <c r="B485" i="1"/>
  <c r="B480" i="1"/>
  <c r="B468" i="1"/>
  <c r="B461" i="1"/>
  <c r="B449" i="1"/>
  <c r="B437" i="1"/>
  <c r="B636" i="1"/>
  <c r="B539" i="1"/>
  <c r="B531" i="1"/>
  <c r="B510" i="1"/>
  <c r="B450" i="1"/>
  <c r="B543" i="1"/>
  <c r="B515" i="1"/>
  <c r="B486" i="1"/>
  <c r="B552" i="1"/>
  <c r="B527" i="1"/>
  <c r="B525" i="1"/>
  <c r="B513" i="1"/>
  <c r="B476" i="1"/>
  <c r="B470" i="1"/>
  <c r="B452" i="1"/>
  <c r="B440" i="1"/>
  <c r="B428" i="1"/>
  <c r="B416" i="1"/>
  <c r="B563" i="1"/>
  <c r="B463" i="1"/>
  <c r="B453" i="1"/>
  <c r="B494" i="1"/>
  <c r="B482" i="1"/>
  <c r="B477" i="1"/>
  <c r="B471" i="1"/>
  <c r="B454" i="1"/>
  <c r="B536" i="1"/>
  <c r="B516" i="1"/>
  <c r="B500" i="1"/>
  <c r="B488" i="1"/>
  <c r="B483" i="1"/>
  <c r="B472" i="1"/>
  <c r="B465" i="1"/>
  <c r="B456" i="1"/>
  <c r="B444" i="1"/>
  <c r="B624" i="1"/>
  <c r="B551" i="1"/>
  <c r="B540" i="1"/>
  <c r="B503" i="1"/>
  <c r="B495" i="1"/>
  <c r="B528" i="1"/>
  <c r="B421" i="1"/>
  <c r="B395" i="1"/>
  <c r="B383" i="1"/>
  <c r="B371" i="1"/>
  <c r="B509" i="1"/>
  <c r="B497" i="1"/>
  <c r="B489" i="1"/>
  <c r="B439" i="1"/>
  <c r="B429" i="1"/>
  <c r="B414" i="1"/>
  <c r="B407" i="1"/>
  <c r="B396" i="1"/>
  <c r="B384" i="1"/>
  <c r="B372" i="1"/>
  <c r="B360" i="1"/>
  <c r="B348" i="1"/>
  <c r="B336" i="1"/>
  <c r="B459" i="1"/>
  <c r="B457" i="1"/>
  <c r="B434" i="1"/>
  <c r="B422" i="1"/>
  <c r="B415" i="1"/>
  <c r="B408" i="1"/>
  <c r="B491" i="1"/>
  <c r="B447" i="1"/>
  <c r="B398" i="1"/>
  <c r="B386" i="1"/>
  <c r="B484" i="1"/>
  <c r="B478" i="1"/>
  <c r="B455" i="1"/>
  <c r="B445" i="1"/>
  <c r="B430" i="1"/>
  <c r="B423" i="1"/>
  <c r="B409" i="1"/>
  <c r="B399" i="1"/>
  <c r="B387" i="1"/>
  <c r="B375" i="1"/>
  <c r="B363" i="1"/>
  <c r="B351" i="1"/>
  <c r="B339" i="1"/>
  <c r="B474" i="1"/>
  <c r="B466" i="1"/>
  <c r="B464" i="1"/>
  <c r="B441" i="1"/>
  <c r="B435" i="1"/>
  <c r="B424" i="1"/>
  <c r="B417" i="1"/>
  <c r="B400" i="1"/>
  <c r="B388" i="1"/>
  <c r="B376" i="1"/>
  <c r="B462" i="1"/>
  <c r="B448" i="1"/>
  <c r="B436" i="1"/>
  <c r="B410" i="1"/>
  <c r="B401" i="1"/>
  <c r="B389" i="1"/>
  <c r="B458" i="1"/>
  <c r="B431" i="1"/>
  <c r="B425" i="1"/>
  <c r="B418" i="1"/>
  <c r="B402" i="1"/>
  <c r="B390" i="1"/>
  <c r="B378" i="1"/>
  <c r="B366" i="1"/>
  <c r="B519" i="1"/>
  <c r="B442" i="1"/>
  <c r="B498" i="1"/>
  <c r="B451" i="1"/>
  <c r="B446" i="1"/>
  <c r="B432" i="1"/>
  <c r="B426" i="1"/>
  <c r="B419" i="1"/>
  <c r="B412" i="1"/>
  <c r="B397" i="1"/>
  <c r="B361" i="1"/>
  <c r="B357" i="1"/>
  <c r="B342" i="1"/>
  <c r="B337" i="1"/>
  <c r="B326" i="1"/>
  <c r="B314" i="1"/>
  <c r="B302" i="1"/>
  <c r="B438" i="1"/>
  <c r="B427" i="1"/>
  <c r="B405" i="1"/>
  <c r="B391" i="1"/>
  <c r="B382" i="1"/>
  <c r="B365" i="1"/>
  <c r="B353" i="1"/>
  <c r="B327" i="1"/>
  <c r="B315" i="1"/>
  <c r="B303" i="1"/>
  <c r="B291" i="1"/>
  <c r="B393" i="1"/>
  <c r="B380" i="1"/>
  <c r="B362" i="1"/>
  <c r="B343" i="1"/>
  <c r="B338" i="1"/>
  <c r="B328" i="1"/>
  <c r="B316" i="1"/>
  <c r="B304" i="1"/>
  <c r="B292" i="1"/>
  <c r="B280" i="1"/>
  <c r="B268" i="1"/>
  <c r="B256" i="1"/>
  <c r="B443" i="1"/>
  <c r="B358" i="1"/>
  <c r="B329" i="1"/>
  <c r="B317" i="1"/>
  <c r="B305" i="1"/>
  <c r="B293" i="1"/>
  <c r="B385" i="1"/>
  <c r="B369" i="1"/>
  <c r="B354" i="1"/>
  <c r="B349" i="1"/>
  <c r="B344" i="1"/>
  <c r="B330" i="1"/>
  <c r="B318" i="1"/>
  <c r="B306" i="1"/>
  <c r="B294" i="1"/>
  <c r="B282" i="1"/>
  <c r="B270" i="1"/>
  <c r="B258" i="1"/>
  <c r="B473" i="1"/>
  <c r="B359" i="1"/>
  <c r="B331" i="1"/>
  <c r="B319" i="1"/>
  <c r="B307" i="1"/>
  <c r="B295" i="1"/>
  <c r="B283" i="1"/>
  <c r="B411" i="1"/>
  <c r="B404" i="1"/>
  <c r="B355" i="1"/>
  <c r="B350" i="1"/>
  <c r="B340" i="1"/>
  <c r="B332" i="1"/>
  <c r="B320" i="1"/>
  <c r="B308" i="1"/>
  <c r="B296" i="1"/>
  <c r="B284" i="1"/>
  <c r="B406" i="1"/>
  <c r="B394" i="1"/>
  <c r="B392" i="1"/>
  <c r="B373" i="1"/>
  <c r="B370" i="1"/>
  <c r="B345" i="1"/>
  <c r="B333" i="1"/>
  <c r="B321" i="1"/>
  <c r="B479" i="1"/>
  <c r="B367" i="1"/>
  <c r="B356" i="1"/>
  <c r="B334" i="1"/>
  <c r="B322" i="1"/>
  <c r="B310" i="1"/>
  <c r="B298" i="1"/>
  <c r="B286" i="1"/>
  <c r="B274" i="1"/>
  <c r="B492" i="1"/>
  <c r="B433" i="1"/>
  <c r="B413" i="1"/>
  <c r="B381" i="1"/>
  <c r="B379" i="1"/>
  <c r="B364" i="1"/>
  <c r="B341" i="1"/>
  <c r="B335" i="1"/>
  <c r="B347" i="1"/>
  <c r="B247" i="1"/>
  <c r="B235" i="1"/>
  <c r="B223" i="1"/>
  <c r="B211" i="1"/>
  <c r="B377" i="1"/>
  <c r="B273" i="1"/>
  <c r="B248" i="1"/>
  <c r="B236" i="1"/>
  <c r="B224" i="1"/>
  <c r="B212" i="1"/>
  <c r="B374" i="1"/>
  <c r="B352" i="1"/>
  <c r="B300" i="1"/>
  <c r="B281" i="1"/>
  <c r="B277" i="1"/>
  <c r="B263" i="1"/>
  <c r="B249" i="1"/>
  <c r="B237" i="1"/>
  <c r="B225" i="1"/>
  <c r="B312" i="1"/>
  <c r="B289" i="1"/>
  <c r="B269" i="1"/>
  <c r="B368" i="1"/>
  <c r="B346" i="1"/>
  <c r="B323" i="1"/>
  <c r="B287" i="1"/>
  <c r="B278" i="1"/>
  <c r="B264" i="1"/>
  <c r="B259" i="1"/>
  <c r="B251" i="1"/>
  <c r="B239" i="1"/>
  <c r="B285" i="1"/>
  <c r="B325" i="1"/>
  <c r="B260" i="1"/>
  <c r="B253" i="1"/>
  <c r="B241" i="1"/>
  <c r="B229" i="1"/>
  <c r="B290" i="1"/>
  <c r="B279" i="1"/>
  <c r="B275" i="1"/>
  <c r="B265" i="1"/>
  <c r="B254" i="1"/>
  <c r="B242" i="1"/>
  <c r="B230" i="1"/>
  <c r="B218" i="1"/>
  <c r="B403" i="1"/>
  <c r="B271" i="1"/>
  <c r="B255" i="1"/>
  <c r="B243" i="1"/>
  <c r="B231" i="1"/>
  <c r="B311" i="1"/>
  <c r="B309" i="1"/>
  <c r="B301" i="1"/>
  <c r="B299" i="1"/>
  <c r="B297" i="1"/>
  <c r="B288" i="1"/>
  <c r="B266" i="1"/>
  <c r="B261" i="1"/>
  <c r="B244" i="1"/>
  <c r="B232" i="1"/>
  <c r="B220" i="1"/>
  <c r="B208" i="1"/>
  <c r="B196" i="1"/>
  <c r="B324" i="1"/>
  <c r="B227" i="1"/>
  <c r="B222" i="1"/>
  <c r="B215" i="1"/>
  <c r="B207" i="1"/>
  <c r="B203" i="1"/>
  <c r="B186" i="1"/>
  <c r="B174" i="1"/>
  <c r="B162" i="1"/>
  <c r="B150" i="1"/>
  <c r="B138" i="1"/>
  <c r="B126" i="1"/>
  <c r="B114" i="1"/>
  <c r="B102" i="1"/>
  <c r="B90" i="1"/>
  <c r="B276" i="1"/>
  <c r="B234" i="1"/>
  <c r="B219" i="1"/>
  <c r="B197" i="1"/>
  <c r="B187" i="1"/>
  <c r="B175" i="1"/>
  <c r="B163" i="1"/>
  <c r="B151" i="1"/>
  <c r="B139" i="1"/>
  <c r="B127" i="1"/>
  <c r="B115" i="1"/>
  <c r="B103" i="1"/>
  <c r="B91" i="1"/>
  <c r="B257" i="1"/>
  <c r="B246" i="1"/>
  <c r="B216" i="1"/>
  <c r="B204" i="1"/>
  <c r="B188" i="1"/>
  <c r="B176" i="1"/>
  <c r="B164" i="1"/>
  <c r="B152" i="1"/>
  <c r="B140" i="1"/>
  <c r="B252" i="1"/>
  <c r="B250" i="1"/>
  <c r="B198" i="1"/>
  <c r="B189" i="1"/>
  <c r="B177" i="1"/>
  <c r="B165" i="1"/>
  <c r="B153" i="1"/>
  <c r="B228" i="1"/>
  <c r="B190" i="1"/>
  <c r="B178" i="1"/>
  <c r="B420" i="1"/>
  <c r="B262" i="1"/>
  <c r="B213" i="1"/>
  <c r="B199" i="1"/>
  <c r="B191" i="1"/>
  <c r="B179" i="1"/>
  <c r="B167" i="1"/>
  <c r="B155" i="1"/>
  <c r="B143" i="1"/>
  <c r="B131" i="1"/>
  <c r="B119" i="1"/>
  <c r="B107" i="1"/>
  <c r="B95" i="1"/>
  <c r="B83" i="1"/>
  <c r="B226" i="1"/>
  <c r="B217" i="1"/>
  <c r="B209" i="1"/>
  <c r="B205" i="1"/>
  <c r="B200" i="1"/>
  <c r="B192" i="1"/>
  <c r="B180" i="1"/>
  <c r="B168" i="1"/>
  <c r="B156" i="1"/>
  <c r="B144" i="1"/>
  <c r="B132" i="1"/>
  <c r="B120" i="1"/>
  <c r="B108" i="1"/>
  <c r="B96" i="1"/>
  <c r="B272" i="1"/>
  <c r="B245" i="1"/>
  <c r="B233" i="1"/>
  <c r="B193" i="1"/>
  <c r="B181" i="1"/>
  <c r="B169" i="1"/>
  <c r="B157" i="1"/>
  <c r="B313" i="1"/>
  <c r="B267" i="1"/>
  <c r="B221" i="1"/>
  <c r="B201" i="1"/>
  <c r="B182" i="1"/>
  <c r="B170" i="1"/>
  <c r="B158" i="1"/>
  <c r="B146" i="1"/>
  <c r="B214" i="1"/>
  <c r="B210" i="1"/>
  <c r="B194" i="1"/>
  <c r="B183" i="1"/>
  <c r="B171" i="1"/>
  <c r="B159" i="1"/>
  <c r="B575" i="1"/>
  <c r="B206" i="1"/>
  <c r="B202" i="1"/>
  <c r="B195" i="1"/>
  <c r="B184" i="1"/>
  <c r="B172" i="1"/>
  <c r="B160" i="1"/>
  <c r="B148" i="1"/>
  <c r="B136" i="1"/>
  <c r="B124" i="1"/>
  <c r="B173" i="1"/>
  <c r="B135" i="1"/>
  <c r="B111" i="1"/>
  <c r="B101" i="1"/>
  <c r="B74" i="1"/>
  <c r="B62" i="1"/>
  <c r="B50" i="1"/>
  <c r="B38" i="1"/>
  <c r="B26" i="1"/>
  <c r="B185" i="1"/>
  <c r="B161" i="1"/>
  <c r="B121" i="1"/>
  <c r="B98" i="1"/>
  <c r="B87" i="1"/>
  <c r="B75" i="1"/>
  <c r="B63" i="1"/>
  <c r="B51" i="1"/>
  <c r="B39" i="1"/>
  <c r="B27" i="1"/>
  <c r="B15" i="1"/>
  <c r="B142" i="1"/>
  <c r="B118" i="1"/>
  <c r="B76" i="1"/>
  <c r="B64" i="1"/>
  <c r="B52" i="1"/>
  <c r="B238" i="1"/>
  <c r="B130" i="1"/>
  <c r="B105" i="1"/>
  <c r="B77" i="1"/>
  <c r="B65" i="1"/>
  <c r="B53" i="1"/>
  <c r="B41" i="1"/>
  <c r="B29" i="1"/>
  <c r="B17" i="1"/>
  <c r="B5" i="1"/>
  <c r="B166" i="1"/>
  <c r="B133" i="1"/>
  <c r="B112" i="1"/>
  <c r="B99" i="1"/>
  <c r="B92" i="1"/>
  <c r="B84" i="1"/>
  <c r="B78" i="1"/>
  <c r="B66" i="1"/>
  <c r="B54" i="1"/>
  <c r="B42" i="1"/>
  <c r="B30" i="1"/>
  <c r="B18" i="1"/>
  <c r="B6" i="1"/>
  <c r="B128" i="1"/>
  <c r="B125" i="1"/>
  <c r="B122" i="1"/>
  <c r="B109" i="1"/>
  <c r="B88" i="1"/>
  <c r="B79" i="1"/>
  <c r="B67" i="1"/>
  <c r="B55" i="1"/>
  <c r="B43" i="1"/>
  <c r="B31" i="1"/>
  <c r="B149" i="1"/>
  <c r="B147" i="1"/>
  <c r="B116" i="1"/>
  <c r="B106" i="1"/>
  <c r="B68" i="1"/>
  <c r="B56" i="1"/>
  <c r="B44" i="1"/>
  <c r="B32" i="1"/>
  <c r="B20" i="1"/>
  <c r="B8" i="1"/>
  <c r="B145" i="1"/>
  <c r="B80" i="1"/>
  <c r="B69" i="1"/>
  <c r="B57" i="1"/>
  <c r="B45" i="1"/>
  <c r="B33" i="1"/>
  <c r="B21" i="1"/>
  <c r="B9" i="1"/>
  <c r="B240" i="1"/>
  <c r="B123" i="1"/>
  <c r="B113" i="1"/>
  <c r="B100" i="1"/>
  <c r="B93" i="1"/>
  <c r="B89" i="1"/>
  <c r="B85" i="1"/>
  <c r="B70" i="1"/>
  <c r="B58" i="1"/>
  <c r="B46" i="1"/>
  <c r="B34" i="1"/>
  <c r="B22" i="1"/>
  <c r="B141" i="1"/>
  <c r="B134" i="1"/>
  <c r="B110" i="1"/>
  <c r="B97" i="1"/>
  <c r="B81" i="1"/>
  <c r="B71" i="1"/>
  <c r="B59" i="1"/>
  <c r="B47" i="1"/>
  <c r="B35" i="1"/>
  <c r="B137" i="1"/>
  <c r="B104" i="1"/>
  <c r="B94" i="1"/>
  <c r="B82" i="1"/>
  <c r="B72" i="1"/>
  <c r="B60" i="1"/>
  <c r="B48" i="1"/>
  <c r="B36" i="1"/>
  <c r="B24" i="1"/>
  <c r="B12" i="1"/>
  <c r="J12" i="1"/>
  <c r="B16" i="1"/>
  <c r="B25" i="1"/>
  <c r="B37" i="1"/>
  <c r="D42" i="1"/>
  <c r="J47" i="1"/>
  <c r="C99" i="1"/>
  <c r="C100" i="1" s="1"/>
  <c r="J117" i="1"/>
  <c r="F208" i="1"/>
  <c r="F14" i="1"/>
  <c r="J62" i="1"/>
  <c r="F65" i="1"/>
  <c r="C2" i="1"/>
  <c r="F11" i="1"/>
  <c r="F23" i="1"/>
  <c r="G25" i="1"/>
  <c r="G26" i="1" s="1"/>
  <c r="G27" i="1" s="1"/>
  <c r="G28" i="1" s="1"/>
  <c r="G29" i="1" s="1"/>
  <c r="G30" i="1" s="1"/>
  <c r="G31" i="1" s="1"/>
  <c r="F32" i="1"/>
  <c r="B40" i="1"/>
  <c r="J56" i="1"/>
  <c r="J59" i="1"/>
  <c r="B86" i="1"/>
  <c r="F121" i="1"/>
  <c r="D98" i="1"/>
  <c r="F896" i="1"/>
  <c r="F884" i="1"/>
  <c r="F872" i="1"/>
  <c r="F860" i="1"/>
  <c r="F848" i="1"/>
  <c r="F836" i="1"/>
  <c r="F824" i="1"/>
  <c r="F812" i="1"/>
  <c r="F800" i="1"/>
  <c r="F788" i="1"/>
  <c r="F776" i="1"/>
  <c r="F897" i="1"/>
  <c r="F885" i="1"/>
  <c r="F873" i="1"/>
  <c r="F861" i="1"/>
  <c r="F849" i="1"/>
  <c r="F898" i="1"/>
  <c r="F886" i="1"/>
  <c r="F874" i="1"/>
  <c r="F862" i="1"/>
  <c r="F850" i="1"/>
  <c r="F838" i="1"/>
  <c r="F826" i="1"/>
  <c r="F814" i="1"/>
  <c r="F802" i="1"/>
  <c r="F790" i="1"/>
  <c r="F899" i="1"/>
  <c r="F887" i="1"/>
  <c r="F875" i="1"/>
  <c r="F863" i="1"/>
  <c r="F851" i="1"/>
  <c r="F839" i="1"/>
  <c r="F827" i="1"/>
  <c r="F815" i="1"/>
  <c r="F803" i="1"/>
  <c r="F791" i="1"/>
  <c r="F900" i="1"/>
  <c r="F888" i="1"/>
  <c r="F876" i="1"/>
  <c r="F864" i="1"/>
  <c r="F852" i="1"/>
  <c r="F840" i="1"/>
  <c r="F828" i="1"/>
  <c r="F816" i="1"/>
  <c r="F804" i="1"/>
  <c r="F792" i="1"/>
  <c r="F780" i="1"/>
  <c r="F889" i="1"/>
  <c r="F877" i="1"/>
  <c r="F865" i="1"/>
  <c r="F853" i="1"/>
  <c r="F841" i="1"/>
  <c r="F890" i="1"/>
  <c r="F878" i="1"/>
  <c r="F866" i="1"/>
  <c r="F854" i="1"/>
  <c r="F842" i="1"/>
  <c r="F830" i="1"/>
  <c r="F818" i="1"/>
  <c r="F806" i="1"/>
  <c r="F794" i="1"/>
  <c r="F891" i="1"/>
  <c r="F879" i="1"/>
  <c r="F867" i="1"/>
  <c r="F855" i="1"/>
  <c r="F843" i="1"/>
  <c r="F892" i="1"/>
  <c r="F880" i="1"/>
  <c r="F868" i="1"/>
  <c r="F856" i="1"/>
  <c r="F893" i="1"/>
  <c r="F881" i="1"/>
  <c r="F869" i="1"/>
  <c r="F857" i="1"/>
  <c r="F845" i="1"/>
  <c r="F833" i="1"/>
  <c r="F894" i="1"/>
  <c r="F882" i="1"/>
  <c r="F870" i="1"/>
  <c r="F858" i="1"/>
  <c r="F846" i="1"/>
  <c r="F859" i="1"/>
  <c r="F822" i="1"/>
  <c r="F805" i="1"/>
  <c r="F777" i="1"/>
  <c r="F767" i="1"/>
  <c r="F825" i="1"/>
  <c r="F808" i="1"/>
  <c r="F783" i="1"/>
  <c r="F844" i="1"/>
  <c r="F831" i="1"/>
  <c r="F811" i="1"/>
  <c r="F797" i="1"/>
  <c r="F778" i="1"/>
  <c r="F769" i="1"/>
  <c r="F757" i="1"/>
  <c r="F745" i="1"/>
  <c r="F733" i="1"/>
  <c r="F721" i="1"/>
  <c r="F820" i="1"/>
  <c r="F784" i="1"/>
  <c r="F770" i="1"/>
  <c r="F758" i="1"/>
  <c r="F746" i="1"/>
  <c r="F734" i="1"/>
  <c r="F722" i="1"/>
  <c r="F871" i="1"/>
  <c r="F823" i="1"/>
  <c r="F817" i="1"/>
  <c r="F795" i="1"/>
  <c r="F779" i="1"/>
  <c r="F771" i="1"/>
  <c r="F759" i="1"/>
  <c r="F747" i="1"/>
  <c r="F735" i="1"/>
  <c r="F834" i="1"/>
  <c r="F772" i="1"/>
  <c r="F760" i="1"/>
  <c r="F829" i="1"/>
  <c r="F809" i="1"/>
  <c r="F798" i="1"/>
  <c r="F789" i="1"/>
  <c r="F785" i="1"/>
  <c r="F773" i="1"/>
  <c r="F761" i="1"/>
  <c r="F749" i="1"/>
  <c r="F895" i="1"/>
  <c r="F883" i="1"/>
  <c r="F832" i="1"/>
  <c r="F801" i="1"/>
  <c r="F762" i="1"/>
  <c r="F750" i="1"/>
  <c r="F738" i="1"/>
  <c r="F726" i="1"/>
  <c r="F714" i="1"/>
  <c r="F837" i="1"/>
  <c r="F821" i="1"/>
  <c r="F807" i="1"/>
  <c r="F796" i="1"/>
  <c r="F786" i="1"/>
  <c r="F847" i="1"/>
  <c r="F835" i="1"/>
  <c r="F810" i="1"/>
  <c r="F799" i="1"/>
  <c r="F819" i="1"/>
  <c r="F813" i="1"/>
  <c r="F787" i="1"/>
  <c r="F782" i="1"/>
  <c r="F764" i="1"/>
  <c r="F728" i="1"/>
  <c r="F704" i="1"/>
  <c r="F692" i="1"/>
  <c r="F775" i="1"/>
  <c r="F739" i="1"/>
  <c r="F732" i="1"/>
  <c r="F729" i="1"/>
  <c r="F725" i="1"/>
  <c r="F716" i="1"/>
  <c r="F707" i="1"/>
  <c r="F695" i="1"/>
  <c r="F683" i="1"/>
  <c r="F671" i="1"/>
  <c r="F659" i="1"/>
  <c r="F647" i="1"/>
  <c r="F781" i="1"/>
  <c r="F708" i="1"/>
  <c r="F696" i="1"/>
  <c r="F684" i="1"/>
  <c r="F672" i="1"/>
  <c r="F765" i="1"/>
  <c r="F752" i="1"/>
  <c r="F730" i="1"/>
  <c r="F717" i="1"/>
  <c r="F710" i="1"/>
  <c r="F698" i="1"/>
  <c r="F774" i="1"/>
  <c r="F763" i="1"/>
  <c r="F755" i="1"/>
  <c r="F743" i="1"/>
  <c r="F740" i="1"/>
  <c r="F711" i="1"/>
  <c r="F699" i="1"/>
  <c r="F687" i="1"/>
  <c r="F675" i="1"/>
  <c r="F663" i="1"/>
  <c r="F651" i="1"/>
  <c r="F793" i="1"/>
  <c r="F737" i="1"/>
  <c r="F718" i="1"/>
  <c r="F712" i="1"/>
  <c r="F700" i="1"/>
  <c r="F688" i="1"/>
  <c r="F768" i="1"/>
  <c r="F766" i="1"/>
  <c r="F753" i="1"/>
  <c r="F702" i="1"/>
  <c r="F690" i="1"/>
  <c r="F678" i="1"/>
  <c r="F756" i="1"/>
  <c r="F744" i="1"/>
  <c r="F741" i="1"/>
  <c r="F731" i="1"/>
  <c r="F719" i="1"/>
  <c r="F703" i="1"/>
  <c r="F691" i="1"/>
  <c r="F727" i="1"/>
  <c r="F701" i="1"/>
  <c r="F693" i="1"/>
  <c r="F680" i="1"/>
  <c r="F645" i="1"/>
  <c r="F635" i="1"/>
  <c r="F623" i="1"/>
  <c r="F611" i="1"/>
  <c r="F599" i="1"/>
  <c r="F587" i="1"/>
  <c r="F720" i="1"/>
  <c r="F705" i="1"/>
  <c r="F689" i="1"/>
  <c r="F677" i="1"/>
  <c r="F670" i="1"/>
  <c r="F666" i="1"/>
  <c r="F661" i="1"/>
  <c r="F656" i="1"/>
  <c r="F646" i="1"/>
  <c r="F636" i="1"/>
  <c r="F624" i="1"/>
  <c r="F612" i="1"/>
  <c r="F600" i="1"/>
  <c r="F588" i="1"/>
  <c r="F709" i="1"/>
  <c r="F674" i="1"/>
  <c r="F637" i="1"/>
  <c r="F625" i="1"/>
  <c r="F613" i="1"/>
  <c r="F601" i="1"/>
  <c r="F589" i="1"/>
  <c r="F577" i="1"/>
  <c r="F667" i="1"/>
  <c r="F662" i="1"/>
  <c r="F652" i="1"/>
  <c r="F638" i="1"/>
  <c r="F626" i="1"/>
  <c r="F614" i="1"/>
  <c r="F602" i="1"/>
  <c r="F590" i="1"/>
  <c r="F578" i="1"/>
  <c r="F754" i="1"/>
  <c r="F736" i="1"/>
  <c r="F715" i="1"/>
  <c r="F713" i="1"/>
  <c r="F657" i="1"/>
  <c r="F639" i="1"/>
  <c r="F627" i="1"/>
  <c r="F615" i="1"/>
  <c r="F603" i="1"/>
  <c r="F591" i="1"/>
  <c r="F724" i="1"/>
  <c r="F694" i="1"/>
  <c r="F751" i="1"/>
  <c r="F685" i="1"/>
  <c r="F653" i="1"/>
  <c r="F648" i="1"/>
  <c r="F641" i="1"/>
  <c r="F629" i="1"/>
  <c r="F617" i="1"/>
  <c r="F605" i="1"/>
  <c r="F593" i="1"/>
  <c r="F748" i="1"/>
  <c r="F706" i="1"/>
  <c r="F682" i="1"/>
  <c r="F679" i="1"/>
  <c r="F668" i="1"/>
  <c r="F664" i="1"/>
  <c r="F642" i="1"/>
  <c r="F630" i="1"/>
  <c r="F618" i="1"/>
  <c r="F606" i="1"/>
  <c r="F594" i="1"/>
  <c r="F654" i="1"/>
  <c r="F643" i="1"/>
  <c r="F631" i="1"/>
  <c r="F619" i="1"/>
  <c r="F607" i="1"/>
  <c r="F595" i="1"/>
  <c r="F723" i="1"/>
  <c r="F676" i="1"/>
  <c r="F649" i="1"/>
  <c r="F632" i="1"/>
  <c r="F620" i="1"/>
  <c r="F608" i="1"/>
  <c r="F596" i="1"/>
  <c r="F742" i="1"/>
  <c r="F697" i="1"/>
  <c r="F673" i="1"/>
  <c r="F665" i="1"/>
  <c r="F660" i="1"/>
  <c r="F655" i="1"/>
  <c r="F644" i="1"/>
  <c r="F633" i="1"/>
  <c r="F621" i="1"/>
  <c r="F609" i="1"/>
  <c r="F597" i="1"/>
  <c r="F585" i="1"/>
  <c r="F686" i="1"/>
  <c r="F669" i="1"/>
  <c r="F650" i="1"/>
  <c r="F634" i="1"/>
  <c r="F622" i="1"/>
  <c r="F610" i="1"/>
  <c r="F598" i="1"/>
  <c r="F586" i="1"/>
  <c r="F658" i="1"/>
  <c r="F581" i="1"/>
  <c r="F569" i="1"/>
  <c r="F557" i="1"/>
  <c r="F545" i="1"/>
  <c r="F533" i="1"/>
  <c r="F521" i="1"/>
  <c r="F509" i="1"/>
  <c r="F497" i="1"/>
  <c r="F485" i="1"/>
  <c r="F473" i="1"/>
  <c r="F461" i="1"/>
  <c r="F582" i="1"/>
  <c r="F570" i="1"/>
  <c r="F558" i="1"/>
  <c r="F546" i="1"/>
  <c r="F534" i="1"/>
  <c r="F522" i="1"/>
  <c r="F510" i="1"/>
  <c r="F498" i="1"/>
  <c r="F604" i="1"/>
  <c r="F571" i="1"/>
  <c r="F640" i="1"/>
  <c r="F616" i="1"/>
  <c r="F592" i="1"/>
  <c r="F572" i="1"/>
  <c r="F560" i="1"/>
  <c r="F548" i="1"/>
  <c r="F536" i="1"/>
  <c r="F524" i="1"/>
  <c r="F512" i="1"/>
  <c r="F500" i="1"/>
  <c r="F488" i="1"/>
  <c r="F628" i="1"/>
  <c r="F573" i="1"/>
  <c r="F561" i="1"/>
  <c r="F549" i="1"/>
  <c r="F537" i="1"/>
  <c r="F525" i="1"/>
  <c r="F513" i="1"/>
  <c r="F583" i="1"/>
  <c r="F579" i="1"/>
  <c r="F562" i="1"/>
  <c r="F550" i="1"/>
  <c r="F538" i="1"/>
  <c r="F526" i="1"/>
  <c r="F574" i="1"/>
  <c r="F563" i="1"/>
  <c r="F551" i="1"/>
  <c r="F539" i="1"/>
  <c r="F527" i="1"/>
  <c r="F515" i="1"/>
  <c r="F503" i="1"/>
  <c r="F491" i="1"/>
  <c r="F479" i="1"/>
  <c r="F564" i="1"/>
  <c r="F552" i="1"/>
  <c r="F575" i="1"/>
  <c r="F565" i="1"/>
  <c r="F553" i="1"/>
  <c r="F541" i="1"/>
  <c r="F584" i="1"/>
  <c r="F580" i="1"/>
  <c r="F566" i="1"/>
  <c r="F554" i="1"/>
  <c r="F542" i="1"/>
  <c r="F530" i="1"/>
  <c r="F518" i="1"/>
  <c r="F506" i="1"/>
  <c r="F494" i="1"/>
  <c r="F559" i="1"/>
  <c r="F531" i="1"/>
  <c r="F529" i="1"/>
  <c r="F499" i="1"/>
  <c r="F496" i="1"/>
  <c r="F490" i="1"/>
  <c r="F481" i="1"/>
  <c r="F543" i="1"/>
  <c r="F520" i="1"/>
  <c r="F502" i="1"/>
  <c r="F476" i="1"/>
  <c r="F470" i="1"/>
  <c r="F463" i="1"/>
  <c r="F453" i="1"/>
  <c r="F441" i="1"/>
  <c r="F429" i="1"/>
  <c r="F505" i="1"/>
  <c r="F487" i="1"/>
  <c r="F454" i="1"/>
  <c r="F547" i="1"/>
  <c r="F576" i="1"/>
  <c r="F568" i="1"/>
  <c r="F523" i="1"/>
  <c r="F511" i="1"/>
  <c r="F508" i="1"/>
  <c r="F472" i="1"/>
  <c r="F465" i="1"/>
  <c r="F456" i="1"/>
  <c r="F444" i="1"/>
  <c r="F432" i="1"/>
  <c r="F420" i="1"/>
  <c r="F408" i="1"/>
  <c r="F556" i="1"/>
  <c r="F516" i="1"/>
  <c r="F483" i="1"/>
  <c r="F478" i="1"/>
  <c r="F457" i="1"/>
  <c r="F445" i="1"/>
  <c r="F540" i="1"/>
  <c r="F532" i="1"/>
  <c r="F514" i="1"/>
  <c r="F466" i="1"/>
  <c r="F458" i="1"/>
  <c r="F446" i="1"/>
  <c r="F528" i="1"/>
  <c r="F681" i="1"/>
  <c r="F567" i="1"/>
  <c r="F544" i="1"/>
  <c r="F519" i="1"/>
  <c r="F489" i="1"/>
  <c r="F467" i="1"/>
  <c r="F460" i="1"/>
  <c r="F448" i="1"/>
  <c r="F517" i="1"/>
  <c r="F501" i="1"/>
  <c r="F480" i="1"/>
  <c r="F440" i="1"/>
  <c r="F423" i="1"/>
  <c r="F416" i="1"/>
  <c r="F409" i="1"/>
  <c r="F399" i="1"/>
  <c r="F387" i="1"/>
  <c r="F375" i="1"/>
  <c r="F363" i="1"/>
  <c r="F484" i="1"/>
  <c r="F474" i="1"/>
  <c r="F450" i="1"/>
  <c r="F435" i="1"/>
  <c r="F430" i="1"/>
  <c r="F424" i="1"/>
  <c r="F400" i="1"/>
  <c r="F388" i="1"/>
  <c r="F376" i="1"/>
  <c r="F364" i="1"/>
  <c r="F352" i="1"/>
  <c r="F340" i="1"/>
  <c r="F482" i="1"/>
  <c r="F455" i="1"/>
  <c r="F436" i="1"/>
  <c r="F417" i="1"/>
  <c r="F410" i="1"/>
  <c r="F401" i="1"/>
  <c r="F468" i="1"/>
  <c r="F464" i="1"/>
  <c r="F431" i="1"/>
  <c r="F425" i="1"/>
  <c r="F402" i="1"/>
  <c r="F390" i="1"/>
  <c r="F378" i="1"/>
  <c r="F486" i="1"/>
  <c r="F462" i="1"/>
  <c r="F418" i="1"/>
  <c r="F411" i="1"/>
  <c r="F403" i="1"/>
  <c r="F391" i="1"/>
  <c r="F379" i="1"/>
  <c r="F367" i="1"/>
  <c r="F355" i="1"/>
  <c r="F343" i="1"/>
  <c r="F493" i="1"/>
  <c r="F442" i="1"/>
  <c r="F437" i="1"/>
  <c r="F426" i="1"/>
  <c r="F419" i="1"/>
  <c r="F412" i="1"/>
  <c r="F404" i="1"/>
  <c r="F392" i="1"/>
  <c r="F380" i="1"/>
  <c r="F427" i="1"/>
  <c r="F405" i="1"/>
  <c r="F393" i="1"/>
  <c r="F451" i="1"/>
  <c r="F449" i="1"/>
  <c r="F443" i="1"/>
  <c r="F433" i="1"/>
  <c r="F413" i="1"/>
  <c r="F394" i="1"/>
  <c r="F382" i="1"/>
  <c r="F370" i="1"/>
  <c r="F358" i="1"/>
  <c r="F507" i="1"/>
  <c r="F495" i="1"/>
  <c r="F477" i="1"/>
  <c r="F475" i="1"/>
  <c r="F438" i="1"/>
  <c r="F535" i="1"/>
  <c r="F504" i="1"/>
  <c r="F492" i="1"/>
  <c r="F471" i="1"/>
  <c r="F414" i="1"/>
  <c r="F407" i="1"/>
  <c r="F389" i="1"/>
  <c r="F369" i="1"/>
  <c r="F354" i="1"/>
  <c r="F344" i="1"/>
  <c r="F330" i="1"/>
  <c r="F318" i="1"/>
  <c r="F306" i="1"/>
  <c r="F359" i="1"/>
  <c r="F349" i="1"/>
  <c r="F339" i="1"/>
  <c r="F331" i="1"/>
  <c r="F319" i="1"/>
  <c r="F307" i="1"/>
  <c r="F295" i="1"/>
  <c r="F421" i="1"/>
  <c r="F385" i="1"/>
  <c r="F383" i="1"/>
  <c r="F366" i="1"/>
  <c r="F332" i="1"/>
  <c r="F320" i="1"/>
  <c r="F308" i="1"/>
  <c r="F296" i="1"/>
  <c r="F284" i="1"/>
  <c r="F272" i="1"/>
  <c r="F260" i="1"/>
  <c r="F434" i="1"/>
  <c r="F398" i="1"/>
  <c r="F350" i="1"/>
  <c r="F345" i="1"/>
  <c r="F333" i="1"/>
  <c r="F321" i="1"/>
  <c r="F309" i="1"/>
  <c r="F297" i="1"/>
  <c r="F285" i="1"/>
  <c r="F555" i="1"/>
  <c r="F459" i="1"/>
  <c r="F428" i="1"/>
  <c r="F406" i="1"/>
  <c r="F396" i="1"/>
  <c r="F334" i="1"/>
  <c r="F322" i="1"/>
  <c r="F310" i="1"/>
  <c r="F298" i="1"/>
  <c r="F286" i="1"/>
  <c r="F274" i="1"/>
  <c r="F262" i="1"/>
  <c r="F469" i="1"/>
  <c r="F452" i="1"/>
  <c r="F381" i="1"/>
  <c r="F373" i="1"/>
  <c r="F360" i="1"/>
  <c r="F356" i="1"/>
  <c r="F351" i="1"/>
  <c r="F335" i="1"/>
  <c r="F323" i="1"/>
  <c r="F311" i="1"/>
  <c r="F299" i="1"/>
  <c r="F287" i="1"/>
  <c r="F371" i="1"/>
  <c r="F346" i="1"/>
  <c r="F341" i="1"/>
  <c r="F324" i="1"/>
  <c r="F312" i="1"/>
  <c r="F300" i="1"/>
  <c r="F288" i="1"/>
  <c r="F439" i="1"/>
  <c r="F386" i="1"/>
  <c r="F347" i="1"/>
  <c r="F336" i="1"/>
  <c r="F325" i="1"/>
  <c r="F313" i="1"/>
  <c r="F384" i="1"/>
  <c r="F374" i="1"/>
  <c r="F368" i="1"/>
  <c r="F357" i="1"/>
  <c r="F342" i="1"/>
  <c r="F326" i="1"/>
  <c r="F314" i="1"/>
  <c r="F302" i="1"/>
  <c r="F290" i="1"/>
  <c r="F278" i="1"/>
  <c r="F395" i="1"/>
  <c r="F377" i="1"/>
  <c r="F361" i="1"/>
  <c r="F337" i="1"/>
  <c r="F327" i="1"/>
  <c r="F304" i="1"/>
  <c r="F269" i="1"/>
  <c r="F264" i="1"/>
  <c r="F251" i="1"/>
  <c r="F239" i="1"/>
  <c r="F227" i="1"/>
  <c r="F215" i="1"/>
  <c r="F203" i="1"/>
  <c r="F422" i="1"/>
  <c r="F328" i="1"/>
  <c r="F259" i="1"/>
  <c r="F252" i="1"/>
  <c r="F240" i="1"/>
  <c r="F228" i="1"/>
  <c r="F216" i="1"/>
  <c r="F204" i="1"/>
  <c r="F282" i="1"/>
  <c r="F253" i="1"/>
  <c r="F241" i="1"/>
  <c r="F229" i="1"/>
  <c r="F447" i="1"/>
  <c r="F294" i="1"/>
  <c r="F292" i="1"/>
  <c r="F279" i="1"/>
  <c r="F270" i="1"/>
  <c r="F265" i="1"/>
  <c r="F254" i="1"/>
  <c r="F415" i="1"/>
  <c r="F397" i="1"/>
  <c r="F338" i="1"/>
  <c r="F316" i="1"/>
  <c r="F275" i="1"/>
  <c r="F255" i="1"/>
  <c r="F243" i="1"/>
  <c r="F365" i="1"/>
  <c r="F362" i="1"/>
  <c r="F303" i="1"/>
  <c r="F301" i="1"/>
  <c r="F271" i="1"/>
  <c r="F266" i="1"/>
  <c r="F261" i="1"/>
  <c r="F348" i="1"/>
  <c r="F283" i="1"/>
  <c r="F256" i="1"/>
  <c r="F245" i="1"/>
  <c r="F233" i="1"/>
  <c r="F221" i="1"/>
  <c r="F305" i="1"/>
  <c r="F280" i="1"/>
  <c r="F276" i="1"/>
  <c r="F267" i="1"/>
  <c r="F246" i="1"/>
  <c r="F234" i="1"/>
  <c r="F222" i="1"/>
  <c r="F315" i="1"/>
  <c r="F257" i="1"/>
  <c r="F247" i="1"/>
  <c r="F235" i="1"/>
  <c r="F372" i="1"/>
  <c r="F353" i="1"/>
  <c r="F329" i="1"/>
  <c r="F291" i="1"/>
  <c r="F273" i="1"/>
  <c r="F248" i="1"/>
  <c r="F236" i="1"/>
  <c r="F224" i="1"/>
  <c r="F212" i="1"/>
  <c r="F200" i="1"/>
  <c r="F232" i="1"/>
  <c r="F225" i="1"/>
  <c r="F198" i="1"/>
  <c r="F190" i="1"/>
  <c r="F178" i="1"/>
  <c r="F166" i="1"/>
  <c r="F154" i="1"/>
  <c r="F142" i="1"/>
  <c r="F130" i="1"/>
  <c r="F118" i="1"/>
  <c r="F106" i="1"/>
  <c r="F94" i="1"/>
  <c r="F82" i="1"/>
  <c r="F268" i="1"/>
  <c r="F250" i="1"/>
  <c r="F230" i="1"/>
  <c r="F223" i="1"/>
  <c r="F220" i="1"/>
  <c r="F199" i="1"/>
  <c r="F191" i="1"/>
  <c r="F179" i="1"/>
  <c r="F167" i="1"/>
  <c r="F155" i="1"/>
  <c r="F143" i="1"/>
  <c r="F131" i="1"/>
  <c r="F119" i="1"/>
  <c r="F107" i="1"/>
  <c r="F95" i="1"/>
  <c r="F83" i="1"/>
  <c r="F293" i="1"/>
  <c r="F281" i="1"/>
  <c r="F217" i="1"/>
  <c r="F205" i="1"/>
  <c r="F192" i="1"/>
  <c r="F180" i="1"/>
  <c r="F168" i="1"/>
  <c r="F156" i="1"/>
  <c r="F144" i="1"/>
  <c r="F237" i="1"/>
  <c r="F213" i="1"/>
  <c r="F209" i="1"/>
  <c r="F193" i="1"/>
  <c r="F181" i="1"/>
  <c r="F169" i="1"/>
  <c r="F157" i="1"/>
  <c r="F317" i="1"/>
  <c r="F226" i="1"/>
  <c r="F201" i="1"/>
  <c r="F182" i="1"/>
  <c r="F170" i="1"/>
  <c r="F289" i="1"/>
  <c r="F194" i="1"/>
  <c r="F183" i="1"/>
  <c r="F171" i="1"/>
  <c r="F159" i="1"/>
  <c r="F147" i="1"/>
  <c r="F135" i="1"/>
  <c r="F123" i="1"/>
  <c r="F111" i="1"/>
  <c r="F99" i="1"/>
  <c r="F87" i="1"/>
  <c r="F214" i="1"/>
  <c r="F210" i="1"/>
  <c r="F206" i="1"/>
  <c r="F202" i="1"/>
  <c r="F195" i="1"/>
  <c r="F184" i="1"/>
  <c r="F172" i="1"/>
  <c r="F160" i="1"/>
  <c r="F148" i="1"/>
  <c r="F136" i="1"/>
  <c r="F124" i="1"/>
  <c r="F112" i="1"/>
  <c r="F100" i="1"/>
  <c r="F249" i="1"/>
  <c r="F231" i="1"/>
  <c r="F218" i="1"/>
  <c r="F185" i="1"/>
  <c r="F173" i="1"/>
  <c r="F161" i="1"/>
  <c r="F277" i="1"/>
  <c r="F258" i="1"/>
  <c r="F211" i="1"/>
  <c r="F207" i="1"/>
  <c r="F196" i="1"/>
  <c r="F186" i="1"/>
  <c r="F174" i="1"/>
  <c r="F162" i="1"/>
  <c r="F150" i="1"/>
  <c r="F138" i="1"/>
  <c r="F238" i="1"/>
  <c r="F187" i="1"/>
  <c r="F175" i="1"/>
  <c r="F163" i="1"/>
  <c r="F263" i="1"/>
  <c r="F242" i="1"/>
  <c r="F219" i="1"/>
  <c r="F197" i="1"/>
  <c r="F188" i="1"/>
  <c r="F176" i="1"/>
  <c r="F164" i="1"/>
  <c r="F152" i="1"/>
  <c r="F140" i="1"/>
  <c r="F128" i="1"/>
  <c r="F115" i="1"/>
  <c r="F105" i="1"/>
  <c r="F102" i="1"/>
  <c r="F78" i="1"/>
  <c r="F66" i="1"/>
  <c r="F54" i="1"/>
  <c r="F42" i="1"/>
  <c r="F30" i="1"/>
  <c r="F158" i="1"/>
  <c r="F88" i="1"/>
  <c r="F84" i="1"/>
  <c r="F79" i="1"/>
  <c r="F67" i="1"/>
  <c r="F55" i="1"/>
  <c r="F43" i="1"/>
  <c r="F31" i="1"/>
  <c r="F19" i="1"/>
  <c r="F151" i="1"/>
  <c r="F133" i="1"/>
  <c r="F125" i="1"/>
  <c r="F122" i="1"/>
  <c r="F96" i="1"/>
  <c r="F92" i="1"/>
  <c r="F68" i="1"/>
  <c r="F56" i="1"/>
  <c r="F149" i="1"/>
  <c r="F109" i="1"/>
  <c r="F80" i="1"/>
  <c r="F69" i="1"/>
  <c r="F57" i="1"/>
  <c r="F45" i="1"/>
  <c r="F33" i="1"/>
  <c r="F21" i="1"/>
  <c r="F9" i="1"/>
  <c r="F153" i="1"/>
  <c r="F116" i="1"/>
  <c r="F113" i="1"/>
  <c r="F103" i="1"/>
  <c r="F89" i="1"/>
  <c r="F70" i="1"/>
  <c r="F58" i="1"/>
  <c r="F46" i="1"/>
  <c r="F34" i="1"/>
  <c r="F22" i="1"/>
  <c r="F10" i="1"/>
  <c r="F145" i="1"/>
  <c r="F93" i="1"/>
  <c r="F85" i="1"/>
  <c r="F81" i="1"/>
  <c r="F71" i="1"/>
  <c r="F59" i="1"/>
  <c r="F47" i="1"/>
  <c r="F35" i="1"/>
  <c r="F244" i="1"/>
  <c r="F139" i="1"/>
  <c r="F134" i="1"/>
  <c r="F120" i="1"/>
  <c r="F110" i="1"/>
  <c r="F72" i="1"/>
  <c r="F60" i="1"/>
  <c r="F48" i="1"/>
  <c r="F36" i="1"/>
  <c r="F24" i="1"/>
  <c r="F12" i="1"/>
  <c r="F177" i="1"/>
  <c r="F165" i="1"/>
  <c r="F141" i="1"/>
  <c r="F137" i="1"/>
  <c r="F126" i="1"/>
  <c r="F97" i="1"/>
  <c r="F90" i="1"/>
  <c r="F86" i="1"/>
  <c r="F73" i="1"/>
  <c r="F61" i="1"/>
  <c r="F49" i="1"/>
  <c r="F37" i="1"/>
  <c r="F25" i="1"/>
  <c r="F13" i="1"/>
  <c r="G2" i="1"/>
  <c r="G3" i="1" s="1"/>
  <c r="G4" i="1" s="1"/>
  <c r="G5" i="1" s="1"/>
  <c r="F132" i="1"/>
  <c r="F129" i="1"/>
  <c r="F117" i="1"/>
  <c r="F114" i="1"/>
  <c r="F104" i="1"/>
  <c r="F101" i="1"/>
  <c r="F74" i="1"/>
  <c r="F62" i="1"/>
  <c r="F50" i="1"/>
  <c r="F38" i="1"/>
  <c r="F26" i="1"/>
  <c r="F189" i="1"/>
  <c r="F75" i="1"/>
  <c r="F63" i="1"/>
  <c r="F51" i="1"/>
  <c r="F39" i="1"/>
  <c r="F27" i="1"/>
  <c r="F108" i="1"/>
  <c r="F98" i="1"/>
  <c r="F91" i="1"/>
  <c r="F76" i="1"/>
  <c r="F64" i="1"/>
  <c r="F52" i="1"/>
  <c r="F40" i="1"/>
  <c r="F28" i="1"/>
  <c r="F16" i="1"/>
  <c r="F4" i="1"/>
  <c r="F8" i="1"/>
  <c r="B13" i="1"/>
  <c r="J42" i="1"/>
  <c r="H57" i="1"/>
  <c r="D57" i="1"/>
  <c r="C76" i="1"/>
  <c r="H75" i="1"/>
  <c r="F77" i="1"/>
  <c r="B154" i="1"/>
  <c r="F2" i="1"/>
  <c r="B7" i="1"/>
  <c r="B10" i="1"/>
  <c r="F18" i="1"/>
  <c r="J23" i="1"/>
  <c r="B28" i="1"/>
  <c r="J45" i="1"/>
  <c r="J140" i="1"/>
  <c r="J235" i="1"/>
  <c r="B4" i="1"/>
  <c r="J877" i="1"/>
  <c r="J865" i="1"/>
  <c r="J853" i="1"/>
  <c r="J878" i="1"/>
  <c r="J854" i="1"/>
  <c r="J842" i="1"/>
  <c r="J830" i="1"/>
  <c r="J806" i="1"/>
  <c r="J794" i="1"/>
  <c r="J867" i="1"/>
  <c r="J855" i="1"/>
  <c r="J843" i="1"/>
  <c r="J831" i="1"/>
  <c r="J807" i="1"/>
  <c r="J795" i="1"/>
  <c r="J892" i="1"/>
  <c r="J870" i="1"/>
  <c r="J858" i="1"/>
  <c r="J846" i="1"/>
  <c r="J896" i="1"/>
  <c r="J872" i="1"/>
  <c r="J860" i="1"/>
  <c r="J875" i="1"/>
  <c r="J800" i="1"/>
  <c r="J779" i="1"/>
  <c r="J836" i="1"/>
  <c r="J803" i="1"/>
  <c r="J809" i="1"/>
  <c r="J851" i="1"/>
  <c r="J848" i="1"/>
  <c r="J829" i="1"/>
  <c r="J812" i="1"/>
  <c r="J839" i="1"/>
  <c r="J786" i="1"/>
  <c r="J781" i="1"/>
  <c r="J775" i="1"/>
  <c r="J764" i="1"/>
  <c r="J841" i="1"/>
  <c r="J799" i="1"/>
  <c r="J793" i="1"/>
  <c r="J765" i="1"/>
  <c r="J863" i="1"/>
  <c r="J833" i="1"/>
  <c r="J802" i="1"/>
  <c r="J783" i="1"/>
  <c r="J805" i="1"/>
  <c r="J797" i="1"/>
  <c r="J791" i="1"/>
  <c r="J838" i="1"/>
  <c r="J788" i="1"/>
  <c r="J769" i="1"/>
  <c r="J767" i="1"/>
  <c r="J760" i="1"/>
  <c r="J736" i="1"/>
  <c r="J758" i="1"/>
  <c r="J778" i="1"/>
  <c r="J734" i="1"/>
  <c r="J727" i="1"/>
  <c r="J702" i="1"/>
  <c r="J772" i="1"/>
  <c r="J770" i="1"/>
  <c r="J782" i="1"/>
  <c r="J724" i="1"/>
  <c r="J757" i="1"/>
  <c r="J735" i="1"/>
  <c r="J732" i="1"/>
  <c r="J729" i="1"/>
  <c r="J707" i="1"/>
  <c r="J695" i="1"/>
  <c r="J709" i="1"/>
  <c r="J684" i="1"/>
  <c r="J647" i="1"/>
  <c r="J615" i="1"/>
  <c r="J681" i="1"/>
  <c r="J678" i="1"/>
  <c r="J713" i="1"/>
  <c r="J698" i="1"/>
  <c r="J629" i="1"/>
  <c r="J617" i="1"/>
  <c r="J717" i="1"/>
  <c r="J733" i="1"/>
  <c r="J690" i="1"/>
  <c r="J728" i="1"/>
  <c r="J710" i="1"/>
  <c r="J621" i="1"/>
  <c r="J597" i="1"/>
  <c r="J598" i="1"/>
  <c r="J697" i="1"/>
  <c r="J686" i="1"/>
  <c r="J623" i="1"/>
  <c r="J611" i="1"/>
  <c r="J612" i="1"/>
  <c r="J701" i="1"/>
  <c r="J693" i="1"/>
  <c r="J589" i="1"/>
  <c r="J720" i="1"/>
  <c r="J705" i="1"/>
  <c r="J689" i="1"/>
  <c r="J662" i="1"/>
  <c r="J614" i="1"/>
  <c r="J632" i="1"/>
  <c r="J588" i="1"/>
  <c r="J566" i="1"/>
  <c r="J542" i="1"/>
  <c r="J530" i="1"/>
  <c r="J580" i="1"/>
  <c r="J568" i="1"/>
  <c r="J569" i="1"/>
  <c r="J545" i="1"/>
  <c r="J527" i="1"/>
  <c r="J518" i="1"/>
  <c r="J494" i="1"/>
  <c r="J472" i="1"/>
  <c r="J497" i="1"/>
  <c r="J491" i="1"/>
  <c r="J563" i="1"/>
  <c r="J536" i="1"/>
  <c r="J532" i="1"/>
  <c r="J521" i="1"/>
  <c r="J503" i="1"/>
  <c r="J500" i="1"/>
  <c r="J506" i="1"/>
  <c r="J544" i="1"/>
  <c r="J509" i="1"/>
  <c r="J524" i="1"/>
  <c r="J620" i="1"/>
  <c r="J533" i="1"/>
  <c r="J470" i="1"/>
  <c r="J455" i="1"/>
  <c r="J453" i="1"/>
  <c r="J411" i="1"/>
  <c r="J403" i="1"/>
  <c r="J391" i="1"/>
  <c r="J379" i="1"/>
  <c r="J464" i="1"/>
  <c r="J520" i="1"/>
  <c r="J499" i="1"/>
  <c r="J442" i="1"/>
  <c r="J432" i="1"/>
  <c r="J405" i="1"/>
  <c r="J505" i="1"/>
  <c r="J451" i="1"/>
  <c r="J413" i="1"/>
  <c r="J394" i="1"/>
  <c r="J382" i="1"/>
  <c r="J475" i="1"/>
  <c r="J456" i="1"/>
  <c r="J446" i="1"/>
  <c r="J539" i="1"/>
  <c r="J469" i="1"/>
  <c r="J439" i="1"/>
  <c r="J415" i="1"/>
  <c r="J397" i="1"/>
  <c r="J385" i="1"/>
  <c r="J471" i="1"/>
  <c r="J444" i="1"/>
  <c r="J512" i="1"/>
  <c r="J463" i="1"/>
  <c r="J459" i="1"/>
  <c r="J440" i="1"/>
  <c r="J515" i="1"/>
  <c r="J447" i="1"/>
  <c r="J435" i="1"/>
  <c r="J400" i="1"/>
  <c r="J378" i="1"/>
  <c r="J373" i="1"/>
  <c r="J416" i="1"/>
  <c r="J402" i="1"/>
  <c r="J346" i="1"/>
  <c r="J381" i="1"/>
  <c r="J476" i="1"/>
  <c r="J390" i="1"/>
  <c r="J388" i="1"/>
  <c r="J401" i="1"/>
  <c r="J377" i="1"/>
  <c r="J329" i="1"/>
  <c r="J441" i="1"/>
  <c r="J410" i="1"/>
  <c r="J393" i="1"/>
  <c r="J287" i="1"/>
  <c r="J207" i="1"/>
  <c r="J305" i="1"/>
  <c r="J389" i="1"/>
  <c r="J249" i="1"/>
  <c r="J237" i="1"/>
  <c r="J286" i="1"/>
  <c r="J263" i="1"/>
  <c r="J251" i="1"/>
  <c r="J239" i="1"/>
  <c r="J265" i="1"/>
  <c r="J221" i="1"/>
  <c r="J206" i="1"/>
  <c r="J186" i="1"/>
  <c r="J236" i="1"/>
  <c r="J189" i="1"/>
  <c r="J165" i="1"/>
  <c r="J242" i="1"/>
  <c r="J246" i="1"/>
  <c r="J191" i="1"/>
  <c r="J167" i="1"/>
  <c r="J248" i="1"/>
  <c r="J169" i="1"/>
  <c r="J58" i="1"/>
  <c r="J46" i="1"/>
  <c r="J143" i="1"/>
  <c r="J60" i="1"/>
  <c r="J48" i="1"/>
  <c r="J145" i="1"/>
  <c r="J141" i="1"/>
  <c r="J2" i="1"/>
  <c r="J193" i="1"/>
  <c r="J162" i="1"/>
  <c r="J101" i="1"/>
  <c r="J150" i="1"/>
  <c r="J43" i="1"/>
  <c r="F5" i="1"/>
  <c r="G10" i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H33" i="1"/>
  <c r="D33" i="1"/>
  <c r="G43" i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B49" i="1"/>
  <c r="J195" i="1"/>
  <c r="F20" i="1"/>
  <c r="H24" i="1"/>
  <c r="D24" i="1"/>
  <c r="J161" i="1"/>
  <c r="B3" i="1"/>
  <c r="F15" i="1"/>
  <c r="J49" i="1"/>
  <c r="J57" i="1"/>
  <c r="B61" i="1"/>
  <c r="C3" i="1"/>
  <c r="C7" i="1"/>
  <c r="H6" i="1"/>
  <c r="D58" i="1"/>
  <c r="C59" i="1"/>
  <c r="B73" i="1"/>
  <c r="B129" i="1"/>
  <c r="G95" i="1"/>
  <c r="G96" i="1" s="1"/>
  <c r="H97" i="1"/>
  <c r="D97" i="1"/>
  <c r="C141" i="1"/>
  <c r="J142" i="1"/>
  <c r="J144" i="1"/>
  <c r="J164" i="1"/>
  <c r="J250" i="1"/>
  <c r="J571" i="1"/>
  <c r="J146" i="1"/>
  <c r="J170" i="1"/>
  <c r="J192" i="1"/>
  <c r="J148" i="1"/>
  <c r="H206" i="1"/>
  <c r="D206" i="1"/>
  <c r="H218" i="1"/>
  <c r="C219" i="1"/>
  <c r="C220" i="1" s="1"/>
  <c r="D218" i="1"/>
  <c r="D23" i="1"/>
  <c r="C103" i="1"/>
  <c r="C104" i="1" s="1"/>
  <c r="G120" i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00" i="1"/>
  <c r="C133" i="1"/>
  <c r="J171" i="1"/>
  <c r="D32" i="1"/>
  <c r="D56" i="1"/>
  <c r="J168" i="1"/>
  <c r="G187" i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J190" i="1"/>
  <c r="C207" i="1"/>
  <c r="G210" i="1"/>
  <c r="G211" i="1" s="1"/>
  <c r="G212" i="1" s="1"/>
  <c r="G213" i="1" s="1"/>
  <c r="G214" i="1" s="1"/>
  <c r="G215" i="1" s="1"/>
  <c r="G216" i="1" s="1"/>
  <c r="J184" i="1"/>
  <c r="J187" i="1"/>
  <c r="J241" i="1"/>
  <c r="G136" i="1"/>
  <c r="G137" i="1" s="1"/>
  <c r="G138" i="1" s="1"/>
  <c r="G139" i="1" s="1"/>
  <c r="D140" i="1"/>
  <c r="H140" i="1"/>
  <c r="J163" i="1"/>
  <c r="J172" i="1"/>
  <c r="J194" i="1"/>
  <c r="D222" i="1"/>
  <c r="C223" i="1"/>
  <c r="H222" i="1"/>
  <c r="J147" i="1"/>
  <c r="J166" i="1"/>
  <c r="H92" i="1"/>
  <c r="J151" i="1"/>
  <c r="J188" i="1"/>
  <c r="J222" i="1"/>
  <c r="J306" i="1"/>
  <c r="C224" i="1"/>
  <c r="J244" i="1"/>
  <c r="J208" i="1"/>
  <c r="J238" i="1"/>
  <c r="J240" i="1"/>
  <c r="J285" i="1"/>
  <c r="J307" i="1"/>
  <c r="H217" i="1"/>
  <c r="J264" i="1"/>
  <c r="J304" i="1"/>
  <c r="J245" i="1"/>
  <c r="J247" i="1"/>
  <c r="J243" i="1"/>
  <c r="G265" i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D263" i="1"/>
  <c r="C264" i="1"/>
  <c r="H263" i="1"/>
  <c r="G332" i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J399" i="1"/>
  <c r="G348" i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J457" i="1"/>
  <c r="J288" i="1"/>
  <c r="J375" i="1"/>
  <c r="J438" i="1"/>
  <c r="J348" i="1"/>
  <c r="G373" i="1"/>
  <c r="J450" i="1"/>
  <c r="J327" i="1"/>
  <c r="J407" i="1"/>
  <c r="H366" i="1"/>
  <c r="D366" i="1"/>
  <c r="J376" i="1"/>
  <c r="J266" i="1"/>
  <c r="G308" i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J330" i="1"/>
  <c r="J349" i="1"/>
  <c r="J380" i="1"/>
  <c r="J387" i="1"/>
  <c r="J328" i="1"/>
  <c r="C367" i="1"/>
  <c r="G368" i="1"/>
  <c r="G369" i="1" s="1"/>
  <c r="G370" i="1" s="1"/>
  <c r="G371" i="1" s="1"/>
  <c r="J372" i="1"/>
  <c r="J454" i="1"/>
  <c r="J395" i="1"/>
  <c r="J436" i="1"/>
  <c r="J531" i="1"/>
  <c r="J384" i="1"/>
  <c r="J408" i="1"/>
  <c r="J374" i="1"/>
  <c r="J347" i="1"/>
  <c r="J386" i="1"/>
  <c r="J392" i="1"/>
  <c r="J404" i="1"/>
  <c r="J406" i="1"/>
  <c r="J437" i="1"/>
  <c r="H372" i="1"/>
  <c r="J396" i="1"/>
  <c r="J409" i="1"/>
  <c r="J434" i="1"/>
  <c r="J414" i="1"/>
  <c r="J541" i="1"/>
  <c r="J383" i="1"/>
  <c r="J398" i="1"/>
  <c r="J443" i="1"/>
  <c r="G433" i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J452" i="1"/>
  <c r="J461" i="1"/>
  <c r="J467" i="1"/>
  <c r="J535" i="1"/>
  <c r="H562" i="1"/>
  <c r="D562" i="1"/>
  <c r="J473" i="1"/>
  <c r="D630" i="1"/>
  <c r="C631" i="1"/>
  <c r="H630" i="1"/>
  <c r="J501" i="1"/>
  <c r="J529" i="1"/>
  <c r="J433" i="1"/>
  <c r="J449" i="1"/>
  <c r="J490" i="1"/>
  <c r="J510" i="1"/>
  <c r="J458" i="1"/>
  <c r="J523" i="1"/>
  <c r="J493" i="1"/>
  <c r="J496" i="1"/>
  <c r="J502" i="1"/>
  <c r="J508" i="1"/>
  <c r="J412" i="1"/>
  <c r="J460" i="1"/>
  <c r="J462" i="1"/>
  <c r="J466" i="1"/>
  <c r="J448" i="1"/>
  <c r="J468" i="1"/>
  <c r="J511" i="1"/>
  <c r="J445" i="1"/>
  <c r="J474" i="1"/>
  <c r="J507" i="1"/>
  <c r="J522" i="1"/>
  <c r="J537" i="1"/>
  <c r="J564" i="1"/>
  <c r="G492" i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J504" i="1"/>
  <c r="J677" i="1"/>
  <c r="J517" i="1"/>
  <c r="J562" i="1"/>
  <c r="J567" i="1"/>
  <c r="J498" i="1"/>
  <c r="J519" i="1"/>
  <c r="J526" i="1"/>
  <c r="J528" i="1"/>
  <c r="J546" i="1"/>
  <c r="C563" i="1"/>
  <c r="J492" i="1"/>
  <c r="J495" i="1"/>
  <c r="J514" i="1"/>
  <c r="J540" i="1"/>
  <c r="J570" i="1"/>
  <c r="J538" i="1"/>
  <c r="J516" i="1"/>
  <c r="J534" i="1"/>
  <c r="J565" i="1"/>
  <c r="J465" i="1"/>
  <c r="J513" i="1"/>
  <c r="J525" i="1"/>
  <c r="J543" i="1"/>
  <c r="H639" i="1"/>
  <c r="D639" i="1"/>
  <c r="C640" i="1"/>
  <c r="C641" i="1" s="1"/>
  <c r="C663" i="1"/>
  <c r="C664" i="1" s="1"/>
  <c r="C665" i="1" s="1"/>
  <c r="J685" i="1"/>
  <c r="G615" i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J630" i="1"/>
  <c r="G642" i="1"/>
  <c r="G643" i="1" s="1"/>
  <c r="G644" i="1" s="1"/>
  <c r="G645" i="1" s="1"/>
  <c r="G646" i="1" s="1"/>
  <c r="J618" i="1"/>
  <c r="J679" i="1"/>
  <c r="J579" i="1"/>
  <c r="J606" i="1"/>
  <c r="J622" i="1"/>
  <c r="J631" i="1"/>
  <c r="J619" i="1"/>
  <c r="J683" i="1"/>
  <c r="G613" i="1"/>
  <c r="G614" i="1" s="1"/>
  <c r="J616" i="1"/>
  <c r="H629" i="1"/>
  <c r="D629" i="1"/>
  <c r="J680" i="1"/>
  <c r="J613" i="1"/>
  <c r="D662" i="1"/>
  <c r="J718" i="1"/>
  <c r="C648" i="1"/>
  <c r="J691" i="1"/>
  <c r="J703" i="1"/>
  <c r="J716" i="1"/>
  <c r="G664" i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J699" i="1"/>
  <c r="J712" i="1"/>
  <c r="J714" i="1"/>
  <c r="J723" i="1"/>
  <c r="J756" i="1"/>
  <c r="J759" i="1"/>
  <c r="G648" i="1"/>
  <c r="G649" i="1" s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C678" i="1"/>
  <c r="J688" i="1"/>
  <c r="J708" i="1"/>
  <c r="J704" i="1"/>
  <c r="J706" i="1"/>
  <c r="J719" i="1"/>
  <c r="J721" i="1"/>
  <c r="J738" i="1"/>
  <c r="J768" i="1"/>
  <c r="J682" i="1"/>
  <c r="J692" i="1"/>
  <c r="J700" i="1"/>
  <c r="D677" i="1"/>
  <c r="J694" i="1"/>
  <c r="J715" i="1"/>
  <c r="J731" i="1"/>
  <c r="J663" i="1"/>
  <c r="J696" i="1"/>
  <c r="J777" i="1"/>
  <c r="J722" i="1"/>
  <c r="G755" i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5" i="1" s="1"/>
  <c r="G826" i="1" s="1"/>
  <c r="G827" i="1" s="1"/>
  <c r="J687" i="1"/>
  <c r="J711" i="1"/>
  <c r="J739" i="1"/>
  <c r="J755" i="1"/>
  <c r="J835" i="1"/>
  <c r="J754" i="1"/>
  <c r="J785" i="1"/>
  <c r="J761" i="1"/>
  <c r="J789" i="1"/>
  <c r="J811" i="1"/>
  <c r="J766" i="1"/>
  <c r="J737" i="1"/>
  <c r="J763" i="1"/>
  <c r="J774" i="1"/>
  <c r="J776" i="1"/>
  <c r="J790" i="1"/>
  <c r="J726" i="1"/>
  <c r="J730" i="1"/>
  <c r="J787" i="1"/>
  <c r="J801" i="1"/>
  <c r="J771" i="1"/>
  <c r="J762" i="1"/>
  <c r="J773" i="1"/>
  <c r="J725" i="1"/>
  <c r="J808" i="1"/>
  <c r="J859" i="1"/>
  <c r="J856" i="1"/>
  <c r="J866" i="1"/>
  <c r="J869" i="1"/>
  <c r="J894" i="1"/>
  <c r="J897" i="1"/>
  <c r="J847" i="1"/>
  <c r="J876" i="1"/>
  <c r="J891" i="1"/>
  <c r="J850" i="1"/>
  <c r="J796" i="1"/>
  <c r="J804" i="1"/>
  <c r="J810" i="1"/>
  <c r="G829" i="1"/>
  <c r="G830" i="1" s="1"/>
  <c r="G831" i="1" s="1"/>
  <c r="G832" i="1" s="1"/>
  <c r="G833" i="1" s="1"/>
  <c r="G834" i="1" s="1"/>
  <c r="G835" i="1" s="1"/>
  <c r="G836" i="1" s="1"/>
  <c r="G837" i="1" s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67" i="1" s="1"/>
  <c r="G868" i="1" s="1"/>
  <c r="G869" i="1" s="1"/>
  <c r="G870" i="1" s="1"/>
  <c r="G871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J845" i="1"/>
  <c r="J873" i="1"/>
  <c r="D892" i="1"/>
  <c r="J898" i="1"/>
  <c r="J837" i="1"/>
  <c r="J857" i="1"/>
  <c r="G892" i="1"/>
  <c r="H892" i="1" s="1"/>
  <c r="J895" i="1"/>
  <c r="J832" i="1"/>
  <c r="J864" i="1"/>
  <c r="J874" i="1"/>
  <c r="C893" i="1"/>
  <c r="J780" i="1"/>
  <c r="J792" i="1"/>
  <c r="J798" i="1"/>
  <c r="J834" i="1"/>
  <c r="J861" i="1"/>
  <c r="J871" i="1"/>
  <c r="J868" i="1"/>
  <c r="J828" i="1"/>
  <c r="J844" i="1"/>
  <c r="J852" i="1"/>
  <c r="J893" i="1"/>
  <c r="J784" i="1"/>
  <c r="J840" i="1"/>
  <c r="J849" i="1"/>
  <c r="J862" i="1"/>
  <c r="D891" i="1"/>
  <c r="G893" i="1" l="1"/>
  <c r="G894" i="1" s="1"/>
  <c r="G895" i="1" s="1"/>
  <c r="G896" i="1" s="1"/>
  <c r="G897" i="1" s="1"/>
  <c r="G898" i="1" s="1"/>
  <c r="G899" i="1" s="1"/>
  <c r="G900" i="1" s="1"/>
  <c r="G59" i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H58" i="1"/>
  <c r="C93" i="1"/>
  <c r="C374" i="1"/>
  <c r="C35" i="1"/>
  <c r="C36" i="1" s="1"/>
  <c r="H665" i="1"/>
  <c r="D665" i="1"/>
  <c r="C666" i="1"/>
  <c r="H641" i="1"/>
  <c r="D641" i="1"/>
  <c r="C642" i="1"/>
  <c r="H678" i="1"/>
  <c r="D678" i="1"/>
  <c r="C679" i="1"/>
  <c r="H59" i="1"/>
  <c r="D59" i="1"/>
  <c r="C60" i="1"/>
  <c r="H133" i="1"/>
  <c r="D133" i="1"/>
  <c r="C134" i="1"/>
  <c r="H664" i="1"/>
  <c r="D664" i="1"/>
  <c r="H640" i="1"/>
  <c r="D640" i="1"/>
  <c r="H663" i="1"/>
  <c r="D663" i="1"/>
  <c r="D104" i="1"/>
  <c r="C105" i="1"/>
  <c r="H104" i="1"/>
  <c r="H563" i="1"/>
  <c r="D563" i="1"/>
  <c r="C564" i="1"/>
  <c r="C894" i="1"/>
  <c r="H893" i="1"/>
  <c r="D893" i="1"/>
  <c r="H2" i="1"/>
  <c r="D2" i="1"/>
  <c r="H367" i="1"/>
  <c r="D367" i="1"/>
  <c r="C368" i="1"/>
  <c r="H223" i="1"/>
  <c r="D223" i="1"/>
  <c r="H373" i="1"/>
  <c r="G374" i="1"/>
  <c r="D36" i="1"/>
  <c r="H100" i="1"/>
  <c r="D100" i="1"/>
  <c r="D43" i="1"/>
  <c r="C44" i="1"/>
  <c r="H43" i="1"/>
  <c r="D141" i="1"/>
  <c r="C142" i="1"/>
  <c r="H141" i="1"/>
  <c r="D7" i="1"/>
  <c r="H7" i="1"/>
  <c r="C8" i="1"/>
  <c r="K900" i="1"/>
  <c r="K889" i="1"/>
  <c r="K877" i="1"/>
  <c r="K865" i="1"/>
  <c r="K853" i="1"/>
  <c r="K841" i="1"/>
  <c r="K829" i="1"/>
  <c r="K817" i="1"/>
  <c r="K805" i="1"/>
  <c r="K793" i="1"/>
  <c r="K781" i="1"/>
  <c r="K890" i="1"/>
  <c r="K878" i="1"/>
  <c r="K866" i="1"/>
  <c r="K854" i="1"/>
  <c r="K891" i="1"/>
  <c r="K879" i="1"/>
  <c r="K867" i="1"/>
  <c r="K855" i="1"/>
  <c r="K843" i="1"/>
  <c r="K831" i="1"/>
  <c r="K819" i="1"/>
  <c r="K807" i="1"/>
  <c r="K795" i="1"/>
  <c r="K892" i="1"/>
  <c r="K880" i="1"/>
  <c r="K868" i="1"/>
  <c r="K856" i="1"/>
  <c r="K844" i="1"/>
  <c r="K832" i="1"/>
  <c r="K820" i="1"/>
  <c r="K808" i="1"/>
  <c r="K796" i="1"/>
  <c r="K893" i="1"/>
  <c r="K881" i="1"/>
  <c r="K869" i="1"/>
  <c r="K857" i="1"/>
  <c r="K845" i="1"/>
  <c r="K833" i="1"/>
  <c r="K821" i="1"/>
  <c r="K809" i="1"/>
  <c r="K797" i="1"/>
  <c r="K785" i="1"/>
  <c r="K894" i="1"/>
  <c r="K882" i="1"/>
  <c r="K870" i="1"/>
  <c r="K858" i="1"/>
  <c r="K846" i="1"/>
  <c r="K895" i="1"/>
  <c r="K883" i="1"/>
  <c r="K871" i="1"/>
  <c r="K859" i="1"/>
  <c r="K847" i="1"/>
  <c r="K835" i="1"/>
  <c r="K823" i="1"/>
  <c r="K811" i="1"/>
  <c r="K799" i="1"/>
  <c r="K896" i="1"/>
  <c r="K884" i="1"/>
  <c r="K872" i="1"/>
  <c r="K860" i="1"/>
  <c r="K848" i="1"/>
  <c r="K897" i="1"/>
  <c r="K885" i="1"/>
  <c r="K873" i="1"/>
  <c r="K861" i="1"/>
  <c r="K898" i="1"/>
  <c r="K886" i="1"/>
  <c r="K874" i="1"/>
  <c r="K862" i="1"/>
  <c r="K850" i="1"/>
  <c r="K838" i="1"/>
  <c r="K899" i="1"/>
  <c r="K887" i="1"/>
  <c r="K875" i="1"/>
  <c r="K863" i="1"/>
  <c r="K851" i="1"/>
  <c r="K852" i="1"/>
  <c r="K842" i="1"/>
  <c r="K836" i="1"/>
  <c r="K828" i="1"/>
  <c r="K814" i="1"/>
  <c r="K803" i="1"/>
  <c r="K772" i="1"/>
  <c r="K834" i="1"/>
  <c r="K826" i="1"/>
  <c r="K806" i="1"/>
  <c r="K798" i="1"/>
  <c r="K792" i="1"/>
  <c r="K789" i="1"/>
  <c r="K780" i="1"/>
  <c r="K762" i="1"/>
  <c r="K750" i="1"/>
  <c r="K738" i="1"/>
  <c r="K726" i="1"/>
  <c r="K714" i="1"/>
  <c r="K812" i="1"/>
  <c r="K801" i="1"/>
  <c r="K774" i="1"/>
  <c r="K763" i="1"/>
  <c r="K751" i="1"/>
  <c r="K739" i="1"/>
  <c r="K727" i="1"/>
  <c r="K864" i="1"/>
  <c r="K839" i="1"/>
  <c r="K815" i="1"/>
  <c r="K786" i="1"/>
  <c r="K775" i="1"/>
  <c r="K764" i="1"/>
  <c r="K752" i="1"/>
  <c r="K740" i="1"/>
  <c r="K837" i="1"/>
  <c r="K824" i="1"/>
  <c r="K818" i="1"/>
  <c r="K765" i="1"/>
  <c r="K827" i="1"/>
  <c r="K810" i="1"/>
  <c r="K804" i="1"/>
  <c r="K790" i="1"/>
  <c r="K787" i="1"/>
  <c r="K776" i="1"/>
  <c r="K766" i="1"/>
  <c r="K754" i="1"/>
  <c r="K813" i="1"/>
  <c r="K782" i="1"/>
  <c r="K767" i="1"/>
  <c r="K755" i="1"/>
  <c r="K743" i="1"/>
  <c r="K731" i="1"/>
  <c r="K719" i="1"/>
  <c r="K876" i="1"/>
  <c r="K830" i="1"/>
  <c r="K822" i="1"/>
  <c r="K825" i="1"/>
  <c r="K791" i="1"/>
  <c r="K888" i="1"/>
  <c r="K816" i="1"/>
  <c r="K794" i="1"/>
  <c r="K788" i="1"/>
  <c r="K849" i="1"/>
  <c r="K840" i="1"/>
  <c r="K800" i="1"/>
  <c r="K784" i="1"/>
  <c r="K779" i="1"/>
  <c r="K773" i="1"/>
  <c r="K769" i="1"/>
  <c r="K709" i="1"/>
  <c r="K697" i="1"/>
  <c r="K685" i="1"/>
  <c r="K771" i="1"/>
  <c r="K760" i="1"/>
  <c r="K758" i="1"/>
  <c r="K712" i="1"/>
  <c r="K700" i="1"/>
  <c r="K688" i="1"/>
  <c r="K676" i="1"/>
  <c r="K664" i="1"/>
  <c r="K652" i="1"/>
  <c r="K718" i="1"/>
  <c r="K713" i="1"/>
  <c r="K701" i="1"/>
  <c r="K689" i="1"/>
  <c r="K677" i="1"/>
  <c r="K665" i="1"/>
  <c r="K783" i="1"/>
  <c r="K778" i="1"/>
  <c r="K753" i="1"/>
  <c r="K770" i="1"/>
  <c r="K768" i="1"/>
  <c r="K756" i="1"/>
  <c r="K747" i="1"/>
  <c r="K744" i="1"/>
  <c r="K741" i="1"/>
  <c r="K723" i="1"/>
  <c r="K703" i="1"/>
  <c r="K761" i="1"/>
  <c r="K704" i="1"/>
  <c r="K692" i="1"/>
  <c r="K680" i="1"/>
  <c r="K668" i="1"/>
  <c r="K656" i="1"/>
  <c r="K728" i="1"/>
  <c r="K720" i="1"/>
  <c r="K705" i="1"/>
  <c r="K693" i="1"/>
  <c r="K759" i="1"/>
  <c r="K757" i="1"/>
  <c r="K748" i="1"/>
  <c r="K742" i="1"/>
  <c r="K735" i="1"/>
  <c r="K732" i="1"/>
  <c r="K729" i="1"/>
  <c r="K721" i="1"/>
  <c r="K707" i="1"/>
  <c r="K695" i="1"/>
  <c r="K683" i="1"/>
  <c r="K802" i="1"/>
  <c r="K777" i="1"/>
  <c r="K725" i="1"/>
  <c r="K716" i="1"/>
  <c r="K708" i="1"/>
  <c r="K696" i="1"/>
  <c r="K722" i="1"/>
  <c r="K681" i="1"/>
  <c r="K678" i="1"/>
  <c r="K658" i="1"/>
  <c r="K640" i="1"/>
  <c r="K628" i="1"/>
  <c r="K616" i="1"/>
  <c r="K604" i="1"/>
  <c r="K592" i="1"/>
  <c r="K580" i="1"/>
  <c r="K749" i="1"/>
  <c r="K746" i="1"/>
  <c r="K698" i="1"/>
  <c r="K663" i="1"/>
  <c r="K641" i="1"/>
  <c r="K629" i="1"/>
  <c r="K617" i="1"/>
  <c r="K605" i="1"/>
  <c r="K593" i="1"/>
  <c r="K736" i="1"/>
  <c r="K717" i="1"/>
  <c r="K715" i="1"/>
  <c r="K694" i="1"/>
  <c r="K675" i="1"/>
  <c r="K653" i="1"/>
  <c r="K648" i="1"/>
  <c r="K642" i="1"/>
  <c r="K630" i="1"/>
  <c r="K618" i="1"/>
  <c r="K606" i="1"/>
  <c r="K594" i="1"/>
  <c r="K582" i="1"/>
  <c r="K733" i="1"/>
  <c r="K724" i="1"/>
  <c r="K702" i="1"/>
  <c r="K690" i="1"/>
  <c r="K682" i="1"/>
  <c r="K672" i="1"/>
  <c r="K659" i="1"/>
  <c r="K654" i="1"/>
  <c r="K643" i="1"/>
  <c r="K631" i="1"/>
  <c r="K619" i="1"/>
  <c r="K607" i="1"/>
  <c r="K595" i="1"/>
  <c r="K583" i="1"/>
  <c r="K706" i="1"/>
  <c r="K679" i="1"/>
  <c r="K632" i="1"/>
  <c r="K620" i="1"/>
  <c r="K608" i="1"/>
  <c r="K596" i="1"/>
  <c r="K710" i="1"/>
  <c r="K745" i="1"/>
  <c r="K669" i="1"/>
  <c r="K660" i="1"/>
  <c r="K655" i="1"/>
  <c r="K650" i="1"/>
  <c r="K634" i="1"/>
  <c r="K622" i="1"/>
  <c r="K610" i="1"/>
  <c r="K598" i="1"/>
  <c r="K730" i="1"/>
  <c r="K699" i="1"/>
  <c r="K686" i="1"/>
  <c r="K673" i="1"/>
  <c r="K645" i="1"/>
  <c r="K635" i="1"/>
  <c r="K623" i="1"/>
  <c r="K611" i="1"/>
  <c r="K599" i="1"/>
  <c r="K691" i="1"/>
  <c r="K670" i="1"/>
  <c r="K666" i="1"/>
  <c r="K646" i="1"/>
  <c r="K636" i="1"/>
  <c r="K624" i="1"/>
  <c r="K612" i="1"/>
  <c r="K600" i="1"/>
  <c r="K661" i="1"/>
  <c r="K651" i="1"/>
  <c r="K637" i="1"/>
  <c r="K625" i="1"/>
  <c r="K613" i="1"/>
  <c r="K601" i="1"/>
  <c r="K737" i="1"/>
  <c r="K674" i="1"/>
  <c r="K662" i="1"/>
  <c r="K638" i="1"/>
  <c r="K626" i="1"/>
  <c r="K614" i="1"/>
  <c r="K602" i="1"/>
  <c r="K590" i="1"/>
  <c r="K734" i="1"/>
  <c r="K711" i="1"/>
  <c r="K687" i="1"/>
  <c r="K684" i="1"/>
  <c r="K671" i="1"/>
  <c r="K667" i="1"/>
  <c r="K657" i="1"/>
  <c r="K647" i="1"/>
  <c r="K639" i="1"/>
  <c r="K627" i="1"/>
  <c r="K615" i="1"/>
  <c r="K603" i="1"/>
  <c r="K591" i="1"/>
  <c r="K562" i="1"/>
  <c r="K550" i="1"/>
  <c r="K538" i="1"/>
  <c r="K526" i="1"/>
  <c r="K514" i="1"/>
  <c r="K502" i="1"/>
  <c r="K490" i="1"/>
  <c r="K478" i="1"/>
  <c r="K466" i="1"/>
  <c r="K574" i="1"/>
  <c r="K563" i="1"/>
  <c r="K551" i="1"/>
  <c r="K539" i="1"/>
  <c r="K527" i="1"/>
  <c r="K515" i="1"/>
  <c r="K503" i="1"/>
  <c r="K588" i="1"/>
  <c r="K586" i="1"/>
  <c r="K579" i="1"/>
  <c r="K575" i="1"/>
  <c r="K565" i="1"/>
  <c r="K553" i="1"/>
  <c r="K541" i="1"/>
  <c r="K529" i="1"/>
  <c r="K517" i="1"/>
  <c r="K505" i="1"/>
  <c r="K493" i="1"/>
  <c r="K609" i="1"/>
  <c r="K584" i="1"/>
  <c r="K566" i="1"/>
  <c r="K554" i="1"/>
  <c r="K542" i="1"/>
  <c r="K530" i="1"/>
  <c r="K518" i="1"/>
  <c r="K576" i="1"/>
  <c r="K567" i="1"/>
  <c r="K555" i="1"/>
  <c r="K543" i="1"/>
  <c r="K531" i="1"/>
  <c r="K597" i="1"/>
  <c r="K568" i="1"/>
  <c r="K556" i="1"/>
  <c r="K544" i="1"/>
  <c r="K532" i="1"/>
  <c r="K520" i="1"/>
  <c r="K508" i="1"/>
  <c r="K496" i="1"/>
  <c r="K484" i="1"/>
  <c r="K633" i="1"/>
  <c r="K621" i="1"/>
  <c r="K589" i="1"/>
  <c r="K581" i="1"/>
  <c r="K569" i="1"/>
  <c r="K557" i="1"/>
  <c r="K577" i="1"/>
  <c r="K570" i="1"/>
  <c r="K558" i="1"/>
  <c r="K546" i="1"/>
  <c r="K644" i="1"/>
  <c r="K587" i="1"/>
  <c r="K585" i="1"/>
  <c r="K571" i="1"/>
  <c r="K559" i="1"/>
  <c r="K547" i="1"/>
  <c r="K535" i="1"/>
  <c r="K523" i="1"/>
  <c r="K511" i="1"/>
  <c r="K499" i="1"/>
  <c r="K552" i="1"/>
  <c r="K497" i="1"/>
  <c r="K491" i="1"/>
  <c r="K465" i="1"/>
  <c r="K488" i="1"/>
  <c r="K483" i="1"/>
  <c r="K473" i="1"/>
  <c r="K458" i="1"/>
  <c r="K446" i="1"/>
  <c r="K434" i="1"/>
  <c r="K549" i="1"/>
  <c r="K536" i="1"/>
  <c r="K534" i="1"/>
  <c r="K521" i="1"/>
  <c r="K516" i="1"/>
  <c r="K500" i="1"/>
  <c r="K459" i="1"/>
  <c r="K506" i="1"/>
  <c r="K573" i="1"/>
  <c r="K560" i="1"/>
  <c r="K540" i="1"/>
  <c r="K509" i="1"/>
  <c r="K495" i="1"/>
  <c r="K492" i="1"/>
  <c r="K468" i="1"/>
  <c r="K449" i="1"/>
  <c r="K437" i="1"/>
  <c r="K425" i="1"/>
  <c r="K413" i="1"/>
  <c r="K528" i="1"/>
  <c r="K519" i="1"/>
  <c r="K498" i="1"/>
  <c r="K489" i="1"/>
  <c r="K485" i="1"/>
  <c r="K480" i="1"/>
  <c r="K461" i="1"/>
  <c r="K450" i="1"/>
  <c r="K578" i="1"/>
  <c r="K524" i="1"/>
  <c r="K512" i="1"/>
  <c r="K501" i="1"/>
  <c r="K475" i="1"/>
  <c r="K469" i="1"/>
  <c r="K451" i="1"/>
  <c r="K548" i="1"/>
  <c r="K533" i="1"/>
  <c r="K572" i="1"/>
  <c r="K564" i="1"/>
  <c r="K537" i="1"/>
  <c r="K522" i="1"/>
  <c r="K507" i="1"/>
  <c r="K481" i="1"/>
  <c r="K476" i="1"/>
  <c r="K470" i="1"/>
  <c r="K453" i="1"/>
  <c r="K649" i="1"/>
  <c r="K510" i="1"/>
  <c r="K472" i="1"/>
  <c r="K464" i="1"/>
  <c r="K448" i="1"/>
  <c r="K426" i="1"/>
  <c r="K419" i="1"/>
  <c r="K404" i="1"/>
  <c r="K392" i="1"/>
  <c r="K380" i="1"/>
  <c r="K368" i="1"/>
  <c r="K486" i="1"/>
  <c r="K462" i="1"/>
  <c r="K460" i="1"/>
  <c r="K442" i="1"/>
  <c r="K432" i="1"/>
  <c r="K427" i="1"/>
  <c r="K412" i="1"/>
  <c r="K405" i="1"/>
  <c r="K393" i="1"/>
  <c r="K381" i="1"/>
  <c r="K369" i="1"/>
  <c r="K357" i="1"/>
  <c r="K345" i="1"/>
  <c r="K420" i="1"/>
  <c r="K443" i="1"/>
  <c r="K438" i="1"/>
  <c r="K428" i="1"/>
  <c r="K406" i="1"/>
  <c r="K395" i="1"/>
  <c r="K383" i="1"/>
  <c r="K513" i="1"/>
  <c r="K479" i="1"/>
  <c r="K456" i="1"/>
  <c r="K433" i="1"/>
  <c r="K421" i="1"/>
  <c r="K414" i="1"/>
  <c r="K407" i="1"/>
  <c r="K396" i="1"/>
  <c r="K384" i="1"/>
  <c r="K372" i="1"/>
  <c r="K360" i="1"/>
  <c r="K348" i="1"/>
  <c r="K439" i="1"/>
  <c r="K415" i="1"/>
  <c r="K397" i="1"/>
  <c r="K385" i="1"/>
  <c r="K373" i="1"/>
  <c r="K477" i="1"/>
  <c r="K471" i="1"/>
  <c r="K454" i="1"/>
  <c r="K444" i="1"/>
  <c r="K429" i="1"/>
  <c r="K422" i="1"/>
  <c r="K408" i="1"/>
  <c r="K398" i="1"/>
  <c r="K386" i="1"/>
  <c r="K504" i="1"/>
  <c r="K467" i="1"/>
  <c r="K463" i="1"/>
  <c r="K452" i="1"/>
  <c r="K440" i="1"/>
  <c r="K423" i="1"/>
  <c r="K416" i="1"/>
  <c r="K399" i="1"/>
  <c r="K387" i="1"/>
  <c r="K375" i="1"/>
  <c r="K363" i="1"/>
  <c r="K525" i="1"/>
  <c r="K487" i="1"/>
  <c r="K447" i="1"/>
  <c r="K435" i="1"/>
  <c r="K561" i="1"/>
  <c r="K545" i="1"/>
  <c r="K457" i="1"/>
  <c r="K430" i="1"/>
  <c r="K424" i="1"/>
  <c r="K417" i="1"/>
  <c r="K494" i="1"/>
  <c r="K351" i="1"/>
  <c r="K335" i="1"/>
  <c r="K323" i="1"/>
  <c r="K311" i="1"/>
  <c r="K409" i="1"/>
  <c r="K402" i="1"/>
  <c r="K376" i="1"/>
  <c r="K367" i="1"/>
  <c r="K346" i="1"/>
  <c r="K324" i="1"/>
  <c r="K312" i="1"/>
  <c r="K300" i="1"/>
  <c r="K431" i="1"/>
  <c r="K394" i="1"/>
  <c r="K356" i="1"/>
  <c r="K341" i="1"/>
  <c r="K336" i="1"/>
  <c r="K325" i="1"/>
  <c r="K313" i="1"/>
  <c r="K301" i="1"/>
  <c r="K289" i="1"/>
  <c r="K277" i="1"/>
  <c r="K265" i="1"/>
  <c r="K411" i="1"/>
  <c r="K390" i="1"/>
  <c r="K388" i="1"/>
  <c r="K371" i="1"/>
  <c r="K364" i="1"/>
  <c r="K352" i="1"/>
  <c r="K347" i="1"/>
  <c r="K326" i="1"/>
  <c r="K314" i="1"/>
  <c r="K302" i="1"/>
  <c r="K290" i="1"/>
  <c r="K445" i="1"/>
  <c r="K379" i="1"/>
  <c r="K374" i="1"/>
  <c r="K361" i="1"/>
  <c r="K342" i="1"/>
  <c r="K337" i="1"/>
  <c r="K327" i="1"/>
  <c r="K315" i="1"/>
  <c r="K303" i="1"/>
  <c r="K291" i="1"/>
  <c r="K279" i="1"/>
  <c r="K267" i="1"/>
  <c r="K455" i="1"/>
  <c r="K418" i="1"/>
  <c r="K328" i="1"/>
  <c r="K316" i="1"/>
  <c r="K304" i="1"/>
  <c r="K292" i="1"/>
  <c r="K280" i="1"/>
  <c r="K436" i="1"/>
  <c r="K401" i="1"/>
  <c r="K377" i="1"/>
  <c r="K353" i="1"/>
  <c r="K343" i="1"/>
  <c r="K338" i="1"/>
  <c r="K329" i="1"/>
  <c r="K317" i="1"/>
  <c r="K305" i="1"/>
  <c r="K293" i="1"/>
  <c r="K482" i="1"/>
  <c r="K382" i="1"/>
  <c r="K365" i="1"/>
  <c r="K362" i="1"/>
  <c r="K358" i="1"/>
  <c r="K330" i="1"/>
  <c r="K318" i="1"/>
  <c r="K441" i="1"/>
  <c r="K410" i="1"/>
  <c r="K403" i="1"/>
  <c r="K354" i="1"/>
  <c r="K349" i="1"/>
  <c r="K339" i="1"/>
  <c r="K331" i="1"/>
  <c r="K319" i="1"/>
  <c r="K307" i="1"/>
  <c r="K295" i="1"/>
  <c r="K283" i="1"/>
  <c r="K391" i="1"/>
  <c r="K389" i="1"/>
  <c r="K344" i="1"/>
  <c r="K332" i="1"/>
  <c r="K285" i="1"/>
  <c r="K275" i="1"/>
  <c r="K271" i="1"/>
  <c r="K244" i="1"/>
  <c r="K232" i="1"/>
  <c r="K220" i="1"/>
  <c r="K208" i="1"/>
  <c r="K333" i="1"/>
  <c r="K266" i="1"/>
  <c r="K261" i="1"/>
  <c r="K256" i="1"/>
  <c r="K245" i="1"/>
  <c r="K233" i="1"/>
  <c r="K221" i="1"/>
  <c r="K209" i="1"/>
  <c r="K474" i="1"/>
  <c r="K246" i="1"/>
  <c r="K234" i="1"/>
  <c r="K272" i="1"/>
  <c r="K257" i="1"/>
  <c r="K400" i="1"/>
  <c r="K370" i="1"/>
  <c r="K359" i="1"/>
  <c r="K340" i="1"/>
  <c r="K320" i="1"/>
  <c r="K299" i="1"/>
  <c r="K276" i="1"/>
  <c r="K262" i="1"/>
  <c r="K248" i="1"/>
  <c r="K309" i="1"/>
  <c r="K297" i="1"/>
  <c r="K288" i="1"/>
  <c r="K273" i="1"/>
  <c r="K268" i="1"/>
  <c r="K322" i="1"/>
  <c r="K286" i="1"/>
  <c r="K281" i="1"/>
  <c r="K263" i="1"/>
  <c r="K258" i="1"/>
  <c r="K250" i="1"/>
  <c r="K238" i="1"/>
  <c r="K226" i="1"/>
  <c r="K378" i="1"/>
  <c r="K284" i="1"/>
  <c r="K269" i="1"/>
  <c r="K251" i="1"/>
  <c r="K239" i="1"/>
  <c r="K227" i="1"/>
  <c r="K350" i="1"/>
  <c r="K334" i="1"/>
  <c r="K259" i="1"/>
  <c r="K252" i="1"/>
  <c r="K240" i="1"/>
  <c r="K228" i="1"/>
  <c r="K306" i="1"/>
  <c r="K278" i="1"/>
  <c r="K274" i="1"/>
  <c r="K264" i="1"/>
  <c r="K253" i="1"/>
  <c r="K241" i="1"/>
  <c r="K229" i="1"/>
  <c r="K217" i="1"/>
  <c r="K205" i="1"/>
  <c r="K193" i="1"/>
  <c r="K296" i="1"/>
  <c r="K270" i="1"/>
  <c r="K254" i="1"/>
  <c r="K235" i="1"/>
  <c r="K201" i="1"/>
  <c r="K194" i="1"/>
  <c r="K183" i="1"/>
  <c r="K171" i="1"/>
  <c r="K159" i="1"/>
  <c r="K147" i="1"/>
  <c r="K135" i="1"/>
  <c r="K123" i="1"/>
  <c r="K111" i="1"/>
  <c r="K99" i="1"/>
  <c r="K87" i="1"/>
  <c r="K355" i="1"/>
  <c r="K237" i="1"/>
  <c r="K210" i="1"/>
  <c r="K195" i="1"/>
  <c r="K184" i="1"/>
  <c r="K172" i="1"/>
  <c r="K160" i="1"/>
  <c r="K148" i="1"/>
  <c r="K136" i="1"/>
  <c r="K124" i="1"/>
  <c r="K112" i="1"/>
  <c r="K100" i="1"/>
  <c r="K88" i="1"/>
  <c r="K308" i="1"/>
  <c r="K243" i="1"/>
  <c r="K214" i="1"/>
  <c r="K206" i="1"/>
  <c r="K202" i="1"/>
  <c r="K185" i="1"/>
  <c r="K173" i="1"/>
  <c r="K161" i="1"/>
  <c r="K149" i="1"/>
  <c r="K137" i="1"/>
  <c r="K298" i="1"/>
  <c r="K247" i="1"/>
  <c r="K231" i="1"/>
  <c r="K224" i="1"/>
  <c r="K218" i="1"/>
  <c r="K211" i="1"/>
  <c r="K196" i="1"/>
  <c r="K186" i="1"/>
  <c r="K174" i="1"/>
  <c r="K162" i="1"/>
  <c r="K215" i="1"/>
  <c r="K207" i="1"/>
  <c r="K203" i="1"/>
  <c r="K187" i="1"/>
  <c r="K175" i="1"/>
  <c r="K310" i="1"/>
  <c r="K249" i="1"/>
  <c r="K219" i="1"/>
  <c r="K197" i="1"/>
  <c r="K188" i="1"/>
  <c r="K176" i="1"/>
  <c r="K164" i="1"/>
  <c r="K152" i="1"/>
  <c r="K140" i="1"/>
  <c r="K128" i="1"/>
  <c r="K116" i="1"/>
  <c r="K104" i="1"/>
  <c r="K92" i="1"/>
  <c r="K80" i="1"/>
  <c r="K236" i="1"/>
  <c r="K222" i="1"/>
  <c r="K189" i="1"/>
  <c r="K177" i="1"/>
  <c r="K165" i="1"/>
  <c r="K153" i="1"/>
  <c r="K141" i="1"/>
  <c r="K129" i="1"/>
  <c r="K117" i="1"/>
  <c r="K105" i="1"/>
  <c r="K366" i="1"/>
  <c r="K282" i="1"/>
  <c r="K242" i="1"/>
  <c r="K212" i="1"/>
  <c r="K198" i="1"/>
  <c r="K190" i="1"/>
  <c r="K178" i="1"/>
  <c r="K166" i="1"/>
  <c r="K294" i="1"/>
  <c r="K255" i="1"/>
  <c r="K225" i="1"/>
  <c r="K216" i="1"/>
  <c r="K204" i="1"/>
  <c r="K199" i="1"/>
  <c r="K191" i="1"/>
  <c r="K179" i="1"/>
  <c r="K167" i="1"/>
  <c r="K155" i="1"/>
  <c r="K143" i="1"/>
  <c r="K192" i="1"/>
  <c r="K180" i="1"/>
  <c r="K168" i="1"/>
  <c r="K321" i="1"/>
  <c r="K260" i="1"/>
  <c r="K230" i="1"/>
  <c r="K223" i="1"/>
  <c r="K200" i="1"/>
  <c r="K181" i="1"/>
  <c r="K169" i="1"/>
  <c r="K157" i="1"/>
  <c r="K145" i="1"/>
  <c r="K133" i="1"/>
  <c r="K131" i="1"/>
  <c r="K103" i="1"/>
  <c r="K93" i="1"/>
  <c r="K89" i="1"/>
  <c r="K81" i="1"/>
  <c r="K71" i="1"/>
  <c r="K59" i="1"/>
  <c r="K47" i="1"/>
  <c r="K35" i="1"/>
  <c r="K23" i="1"/>
  <c r="K213" i="1"/>
  <c r="K163" i="1"/>
  <c r="K113" i="1"/>
  <c r="K85" i="1"/>
  <c r="K72" i="1"/>
  <c r="K60" i="1"/>
  <c r="K48" i="1"/>
  <c r="K36" i="1"/>
  <c r="K24" i="1"/>
  <c r="K134" i="1"/>
  <c r="K110" i="1"/>
  <c r="K107" i="1"/>
  <c r="K94" i="1"/>
  <c r="K90" i="1"/>
  <c r="K82" i="1"/>
  <c r="K73" i="1"/>
  <c r="K61" i="1"/>
  <c r="K49" i="1"/>
  <c r="K287" i="1"/>
  <c r="K139" i="1"/>
  <c r="K126" i="1"/>
  <c r="K120" i="1"/>
  <c r="K97" i="1"/>
  <c r="K86" i="1"/>
  <c r="K74" i="1"/>
  <c r="K62" i="1"/>
  <c r="K50" i="1"/>
  <c r="K38" i="1"/>
  <c r="K26" i="1"/>
  <c r="K14" i="1"/>
  <c r="K2" i="1"/>
  <c r="K114" i="1"/>
  <c r="K75" i="1"/>
  <c r="K63" i="1"/>
  <c r="K51" i="1"/>
  <c r="K39" i="1"/>
  <c r="K27" i="1"/>
  <c r="K15" i="1"/>
  <c r="K3" i="1"/>
  <c r="K101" i="1"/>
  <c r="K76" i="1"/>
  <c r="K64" i="1"/>
  <c r="K52" i="1"/>
  <c r="K40" i="1"/>
  <c r="K28" i="1"/>
  <c r="K150" i="1"/>
  <c r="K132" i="1"/>
  <c r="K118" i="1"/>
  <c r="K98" i="1"/>
  <c r="K95" i="1"/>
  <c r="K91" i="1"/>
  <c r="K83" i="1"/>
  <c r="K77" i="1"/>
  <c r="K65" i="1"/>
  <c r="K53" i="1"/>
  <c r="K41" i="1"/>
  <c r="K29" i="1"/>
  <c r="K17" i="1"/>
  <c r="K5" i="1"/>
  <c r="K154" i="1"/>
  <c r="K127" i="1"/>
  <c r="K121" i="1"/>
  <c r="K108" i="1"/>
  <c r="K78" i="1"/>
  <c r="K66" i="1"/>
  <c r="K54" i="1"/>
  <c r="K42" i="1"/>
  <c r="K30" i="1"/>
  <c r="K18" i="1"/>
  <c r="K6" i="1"/>
  <c r="K170" i="1"/>
  <c r="K156" i="1"/>
  <c r="K146" i="1"/>
  <c r="K130" i="1"/>
  <c r="K115" i="1"/>
  <c r="K102" i="1"/>
  <c r="K67" i="1"/>
  <c r="K55" i="1"/>
  <c r="K43" i="1"/>
  <c r="K31" i="1"/>
  <c r="K182" i="1"/>
  <c r="K144" i="1"/>
  <c r="K142" i="1"/>
  <c r="K79" i="1"/>
  <c r="K68" i="1"/>
  <c r="K56" i="1"/>
  <c r="K44" i="1"/>
  <c r="K32" i="1"/>
  <c r="K138" i="1"/>
  <c r="K122" i="1"/>
  <c r="K119" i="1"/>
  <c r="K106" i="1"/>
  <c r="K84" i="1"/>
  <c r="K69" i="1"/>
  <c r="K57" i="1"/>
  <c r="K45" i="1"/>
  <c r="K33" i="1"/>
  <c r="K21" i="1"/>
  <c r="K9" i="1"/>
  <c r="K13" i="1"/>
  <c r="K46" i="1"/>
  <c r="K125" i="1"/>
  <c r="K8" i="1"/>
  <c r="K151" i="1"/>
  <c r="K16" i="1"/>
  <c r="K109" i="1"/>
  <c r="K25" i="1"/>
  <c r="K11" i="1"/>
  <c r="K96" i="1"/>
  <c r="K37" i="1"/>
  <c r="K34" i="1"/>
  <c r="K19" i="1"/>
  <c r="K22" i="1"/>
  <c r="K10" i="1"/>
  <c r="K12" i="1"/>
  <c r="K4" i="1"/>
  <c r="K70" i="1"/>
  <c r="K58" i="1"/>
  <c r="K7" i="1"/>
  <c r="K158" i="1"/>
  <c r="K20" i="1"/>
  <c r="C37" i="1"/>
  <c r="H35" i="1"/>
  <c r="D35" i="1"/>
  <c r="D648" i="1"/>
  <c r="C649" i="1"/>
  <c r="H648" i="1"/>
  <c r="C632" i="1"/>
  <c r="H631" i="1"/>
  <c r="D631" i="1"/>
  <c r="H3" i="1"/>
  <c r="C4" i="1"/>
  <c r="D3" i="1"/>
  <c r="G35" i="1"/>
  <c r="G36" i="1" s="1"/>
  <c r="G37" i="1" s="1"/>
  <c r="G38" i="1" s="1"/>
  <c r="G39" i="1" s="1"/>
  <c r="G40" i="1" s="1"/>
  <c r="G41" i="1" s="1"/>
  <c r="H34" i="1"/>
  <c r="H102" i="1"/>
  <c r="D102" i="1"/>
  <c r="H264" i="1"/>
  <c r="D264" i="1"/>
  <c r="C265" i="1"/>
  <c r="H224" i="1"/>
  <c r="D224" i="1"/>
  <c r="D220" i="1"/>
  <c r="H220" i="1"/>
  <c r="H103" i="1"/>
  <c r="D103" i="1"/>
  <c r="D76" i="1"/>
  <c r="C77" i="1"/>
  <c r="H76" i="1"/>
  <c r="D99" i="1"/>
  <c r="H99" i="1"/>
  <c r="C26" i="1"/>
  <c r="H25" i="1"/>
  <c r="D25" i="1"/>
  <c r="C208" i="1"/>
  <c r="H207" i="1"/>
  <c r="D207" i="1"/>
  <c r="D219" i="1"/>
  <c r="H219" i="1"/>
  <c r="C225" i="1"/>
  <c r="C375" i="1" l="1"/>
  <c r="D374" i="1"/>
  <c r="C94" i="1"/>
  <c r="D93" i="1"/>
  <c r="H93" i="1"/>
  <c r="H44" i="1"/>
  <c r="D44" i="1"/>
  <c r="C45" i="1"/>
  <c r="D77" i="1"/>
  <c r="H77" i="1"/>
  <c r="C78" i="1"/>
  <c r="H649" i="1"/>
  <c r="D649" i="1"/>
  <c r="C650" i="1"/>
  <c r="H679" i="1"/>
  <c r="D679" i="1"/>
  <c r="C680" i="1"/>
  <c r="H37" i="1"/>
  <c r="D37" i="1"/>
  <c r="C38" i="1"/>
  <c r="D8" i="1"/>
  <c r="H8" i="1"/>
  <c r="C9" i="1"/>
  <c r="H36" i="1"/>
  <c r="D894" i="1"/>
  <c r="H894" i="1"/>
  <c r="C895" i="1"/>
  <c r="D208" i="1"/>
  <c r="H208" i="1"/>
  <c r="C209" i="1"/>
  <c r="G375" i="1"/>
  <c r="H374" i="1"/>
  <c r="H564" i="1"/>
  <c r="D564" i="1"/>
  <c r="C565" i="1"/>
  <c r="D134" i="1"/>
  <c r="H134" i="1"/>
  <c r="C135" i="1"/>
  <c r="D642" i="1"/>
  <c r="C643" i="1"/>
  <c r="H642" i="1"/>
  <c r="H265" i="1"/>
  <c r="D265" i="1"/>
  <c r="C266" i="1"/>
  <c r="H4" i="1"/>
  <c r="D4" i="1"/>
  <c r="C5" i="1"/>
  <c r="D142" i="1"/>
  <c r="H142" i="1"/>
  <c r="C143" i="1"/>
  <c r="H60" i="1"/>
  <c r="D60" i="1"/>
  <c r="C61" i="1"/>
  <c r="D666" i="1"/>
  <c r="C667" i="1"/>
  <c r="H666" i="1"/>
  <c r="H26" i="1"/>
  <c r="D26" i="1"/>
  <c r="C27" i="1"/>
  <c r="D368" i="1"/>
  <c r="C369" i="1"/>
  <c r="H368" i="1"/>
  <c r="D105" i="1"/>
  <c r="C106" i="1"/>
  <c r="H105" i="1"/>
  <c r="D225" i="1"/>
  <c r="H225" i="1"/>
  <c r="C226" i="1"/>
  <c r="H632" i="1"/>
  <c r="D632" i="1"/>
  <c r="C633" i="1"/>
  <c r="C95" i="1" l="1"/>
  <c r="D94" i="1"/>
  <c r="H94" i="1"/>
  <c r="C376" i="1"/>
  <c r="D375" i="1"/>
  <c r="D633" i="1"/>
  <c r="H633" i="1"/>
  <c r="C634" i="1"/>
  <c r="C28" i="1"/>
  <c r="H27" i="1"/>
  <c r="D27" i="1"/>
  <c r="H5" i="1"/>
  <c r="D5" i="1"/>
  <c r="H565" i="1"/>
  <c r="D565" i="1"/>
  <c r="C566" i="1"/>
  <c r="H9" i="1"/>
  <c r="D9" i="1"/>
  <c r="C10" i="1"/>
  <c r="D650" i="1"/>
  <c r="H650" i="1"/>
  <c r="C651" i="1"/>
  <c r="H643" i="1"/>
  <c r="D643" i="1"/>
  <c r="C644" i="1"/>
  <c r="H106" i="1"/>
  <c r="D106" i="1"/>
  <c r="C107" i="1"/>
  <c r="D226" i="1"/>
  <c r="H226" i="1"/>
  <c r="C227" i="1"/>
  <c r="H266" i="1"/>
  <c r="D266" i="1"/>
  <c r="C267" i="1"/>
  <c r="H38" i="1"/>
  <c r="D38" i="1"/>
  <c r="C39" i="1"/>
  <c r="D78" i="1"/>
  <c r="C79" i="1"/>
  <c r="H78" i="1"/>
  <c r="H667" i="1"/>
  <c r="D667" i="1"/>
  <c r="C668" i="1"/>
  <c r="G376" i="1"/>
  <c r="H375" i="1"/>
  <c r="H209" i="1"/>
  <c r="D209" i="1"/>
  <c r="C210" i="1"/>
  <c r="H61" i="1"/>
  <c r="D61" i="1"/>
  <c r="C62" i="1"/>
  <c r="H680" i="1"/>
  <c r="D680" i="1"/>
  <c r="C681" i="1"/>
  <c r="D895" i="1"/>
  <c r="H895" i="1"/>
  <c r="C896" i="1"/>
  <c r="H143" i="1"/>
  <c r="D143" i="1"/>
  <c r="C144" i="1"/>
  <c r="H135" i="1"/>
  <c r="D135" i="1"/>
  <c r="C136" i="1"/>
  <c r="H45" i="1"/>
  <c r="D45" i="1"/>
  <c r="C46" i="1"/>
  <c r="H369" i="1"/>
  <c r="D369" i="1"/>
  <c r="C370" i="1"/>
  <c r="D376" i="1" l="1"/>
  <c r="C377" i="1"/>
  <c r="C96" i="1"/>
  <c r="H95" i="1"/>
  <c r="D95" i="1"/>
  <c r="C137" i="1"/>
  <c r="H136" i="1"/>
  <c r="D136" i="1"/>
  <c r="H107" i="1"/>
  <c r="D107" i="1"/>
  <c r="C108" i="1"/>
  <c r="H566" i="1"/>
  <c r="D566" i="1"/>
  <c r="C567" i="1"/>
  <c r="H62" i="1"/>
  <c r="D62" i="1"/>
  <c r="C63" i="1"/>
  <c r="D79" i="1"/>
  <c r="H79" i="1"/>
  <c r="C80" i="1"/>
  <c r="H370" i="1"/>
  <c r="D370" i="1"/>
  <c r="C371" i="1"/>
  <c r="H144" i="1"/>
  <c r="D144" i="1"/>
  <c r="C145" i="1"/>
  <c r="C40" i="1"/>
  <c r="H39" i="1"/>
  <c r="D39" i="1"/>
  <c r="D644" i="1"/>
  <c r="H644" i="1"/>
  <c r="C645" i="1"/>
  <c r="D210" i="1"/>
  <c r="H210" i="1"/>
  <c r="C211" i="1"/>
  <c r="D46" i="1"/>
  <c r="C47" i="1"/>
  <c r="H46" i="1"/>
  <c r="D896" i="1"/>
  <c r="C897" i="1"/>
  <c r="H896" i="1"/>
  <c r="H267" i="1"/>
  <c r="D267" i="1"/>
  <c r="C268" i="1"/>
  <c r="D28" i="1"/>
  <c r="H28" i="1"/>
  <c r="C29" i="1"/>
  <c r="D668" i="1"/>
  <c r="H668" i="1"/>
  <c r="C669" i="1"/>
  <c r="D227" i="1"/>
  <c r="C228" i="1"/>
  <c r="H227" i="1"/>
  <c r="D10" i="1"/>
  <c r="H10" i="1"/>
  <c r="C11" i="1"/>
  <c r="D651" i="1"/>
  <c r="H651" i="1"/>
  <c r="C652" i="1"/>
  <c r="G377" i="1"/>
  <c r="H376" i="1"/>
  <c r="D634" i="1"/>
  <c r="H634" i="1"/>
  <c r="C635" i="1"/>
  <c r="D681" i="1"/>
  <c r="H681" i="1"/>
  <c r="C682" i="1"/>
  <c r="D377" i="1" l="1"/>
  <c r="C378" i="1"/>
  <c r="H96" i="1"/>
  <c r="D96" i="1"/>
  <c r="D40" i="1"/>
  <c r="H40" i="1"/>
  <c r="C41" i="1"/>
  <c r="H145" i="1"/>
  <c r="D145" i="1"/>
  <c r="C146" i="1"/>
  <c r="D567" i="1"/>
  <c r="C568" i="1"/>
  <c r="H567" i="1"/>
  <c r="H47" i="1"/>
  <c r="D47" i="1"/>
  <c r="C48" i="1"/>
  <c r="C64" i="1"/>
  <c r="H63" i="1"/>
  <c r="D63" i="1"/>
  <c r="H652" i="1"/>
  <c r="D652" i="1"/>
  <c r="C653" i="1"/>
  <c r="D29" i="1"/>
  <c r="H29" i="1"/>
  <c r="C30" i="1"/>
  <c r="H211" i="1"/>
  <c r="D211" i="1"/>
  <c r="C212" i="1"/>
  <c r="H371" i="1"/>
  <c r="D371" i="1"/>
  <c r="H108" i="1"/>
  <c r="D108" i="1"/>
  <c r="C109" i="1"/>
  <c r="H228" i="1"/>
  <c r="D228" i="1"/>
  <c r="C229" i="1"/>
  <c r="D669" i="1"/>
  <c r="C670" i="1"/>
  <c r="H669" i="1"/>
  <c r="D682" i="1"/>
  <c r="H682" i="1"/>
  <c r="C683" i="1"/>
  <c r="D268" i="1"/>
  <c r="H268" i="1"/>
  <c r="C269" i="1"/>
  <c r="D635" i="1"/>
  <c r="C636" i="1"/>
  <c r="H635" i="1"/>
  <c r="D897" i="1"/>
  <c r="H897" i="1"/>
  <c r="C898" i="1"/>
  <c r="G378" i="1"/>
  <c r="H377" i="1"/>
  <c r="H11" i="1"/>
  <c r="D11" i="1"/>
  <c r="C12" i="1"/>
  <c r="D645" i="1"/>
  <c r="C646" i="1"/>
  <c r="H645" i="1"/>
  <c r="H80" i="1"/>
  <c r="D80" i="1"/>
  <c r="C81" i="1"/>
  <c r="H137" i="1"/>
  <c r="C138" i="1"/>
  <c r="D137" i="1"/>
  <c r="D378" i="1" l="1"/>
  <c r="C379" i="1"/>
  <c r="H48" i="1"/>
  <c r="D48" i="1"/>
  <c r="C49" i="1"/>
  <c r="H229" i="1"/>
  <c r="D229" i="1"/>
  <c r="C230" i="1"/>
  <c r="D568" i="1"/>
  <c r="H568" i="1"/>
  <c r="C569" i="1"/>
  <c r="D670" i="1"/>
  <c r="C671" i="1"/>
  <c r="H670" i="1"/>
  <c r="H12" i="1"/>
  <c r="D12" i="1"/>
  <c r="C13" i="1"/>
  <c r="D636" i="1"/>
  <c r="H636" i="1"/>
  <c r="C637" i="1"/>
  <c r="D646" i="1"/>
  <c r="H646" i="1"/>
  <c r="H653" i="1"/>
  <c r="D653" i="1"/>
  <c r="C654" i="1"/>
  <c r="H146" i="1"/>
  <c r="D146" i="1"/>
  <c r="C147" i="1"/>
  <c r="G379" i="1"/>
  <c r="H378" i="1"/>
  <c r="H898" i="1"/>
  <c r="D898" i="1"/>
  <c r="C899" i="1"/>
  <c r="C31" i="1"/>
  <c r="H30" i="1"/>
  <c r="D30" i="1"/>
  <c r="D269" i="1"/>
  <c r="C270" i="1"/>
  <c r="H269" i="1"/>
  <c r="H138" i="1"/>
  <c r="D138" i="1"/>
  <c r="C139" i="1"/>
  <c r="D212" i="1"/>
  <c r="H212" i="1"/>
  <c r="C213" i="1"/>
  <c r="H109" i="1"/>
  <c r="D109" i="1"/>
  <c r="C110" i="1"/>
  <c r="D41" i="1"/>
  <c r="H41" i="1"/>
  <c r="D683" i="1"/>
  <c r="H683" i="1"/>
  <c r="C684" i="1"/>
  <c r="H81" i="1"/>
  <c r="D81" i="1"/>
  <c r="C82" i="1"/>
  <c r="D64" i="1"/>
  <c r="C65" i="1"/>
  <c r="H64" i="1"/>
  <c r="C380" i="1" l="1"/>
  <c r="D379" i="1"/>
  <c r="D569" i="1"/>
  <c r="C570" i="1"/>
  <c r="H569" i="1"/>
  <c r="D65" i="1"/>
  <c r="H65" i="1"/>
  <c r="C66" i="1"/>
  <c r="H654" i="1"/>
  <c r="D654" i="1"/>
  <c r="C655" i="1"/>
  <c r="C83" i="1"/>
  <c r="H82" i="1"/>
  <c r="D82" i="1"/>
  <c r="H637" i="1"/>
  <c r="D637" i="1"/>
  <c r="C638" i="1"/>
  <c r="H230" i="1"/>
  <c r="C231" i="1"/>
  <c r="D230" i="1"/>
  <c r="H671" i="1"/>
  <c r="D671" i="1"/>
  <c r="C672" i="1"/>
  <c r="D270" i="1"/>
  <c r="H270" i="1"/>
  <c r="C271" i="1"/>
  <c r="D213" i="1"/>
  <c r="H213" i="1"/>
  <c r="C214" i="1"/>
  <c r="H139" i="1"/>
  <c r="D139" i="1"/>
  <c r="H684" i="1"/>
  <c r="D684" i="1"/>
  <c r="C685" i="1"/>
  <c r="G380" i="1"/>
  <c r="H379" i="1"/>
  <c r="H13" i="1"/>
  <c r="D13" i="1"/>
  <c r="C14" i="1"/>
  <c r="H147" i="1"/>
  <c r="D147" i="1"/>
  <c r="C148" i="1"/>
  <c r="D31" i="1"/>
  <c r="H31" i="1"/>
  <c r="H899" i="1"/>
  <c r="D899" i="1"/>
  <c r="C900" i="1"/>
  <c r="H49" i="1"/>
  <c r="D49" i="1"/>
  <c r="C50" i="1"/>
  <c r="D110" i="1"/>
  <c r="H110" i="1"/>
  <c r="C111" i="1"/>
  <c r="D380" i="1" l="1"/>
  <c r="C381" i="1"/>
  <c r="H83" i="1"/>
  <c r="D83" i="1"/>
  <c r="C84" i="1"/>
  <c r="H271" i="1"/>
  <c r="D271" i="1"/>
  <c r="C272" i="1"/>
  <c r="G381" i="1"/>
  <c r="H380" i="1"/>
  <c r="D655" i="1"/>
  <c r="H655" i="1"/>
  <c r="C656" i="1"/>
  <c r="H685" i="1"/>
  <c r="D685" i="1"/>
  <c r="C686" i="1"/>
  <c r="C673" i="1"/>
  <c r="H672" i="1"/>
  <c r="D672" i="1"/>
  <c r="D66" i="1"/>
  <c r="C67" i="1"/>
  <c r="H66" i="1"/>
  <c r="H900" i="1"/>
  <c r="D900" i="1"/>
  <c r="H231" i="1"/>
  <c r="D231" i="1"/>
  <c r="C232" i="1"/>
  <c r="H50" i="1"/>
  <c r="D50" i="1"/>
  <c r="C51" i="1"/>
  <c r="D214" i="1"/>
  <c r="H214" i="1"/>
  <c r="C215" i="1"/>
  <c r="H638" i="1"/>
  <c r="D638" i="1"/>
  <c r="D570" i="1"/>
  <c r="H570" i="1"/>
  <c r="C571" i="1"/>
  <c r="H111" i="1"/>
  <c r="D111" i="1"/>
  <c r="C112" i="1"/>
  <c r="D148" i="1"/>
  <c r="C149" i="1"/>
  <c r="H148" i="1"/>
  <c r="H14" i="1"/>
  <c r="D14" i="1"/>
  <c r="C15" i="1"/>
  <c r="C382" i="1" l="1"/>
  <c r="D381" i="1"/>
  <c r="C16" i="1"/>
  <c r="H15" i="1"/>
  <c r="D15" i="1"/>
  <c r="G382" i="1"/>
  <c r="H381" i="1"/>
  <c r="H215" i="1"/>
  <c r="D215" i="1"/>
  <c r="C216" i="1"/>
  <c r="D272" i="1"/>
  <c r="C273" i="1"/>
  <c r="H272" i="1"/>
  <c r="H112" i="1"/>
  <c r="D112" i="1"/>
  <c r="C113" i="1"/>
  <c r="H84" i="1"/>
  <c r="D84" i="1"/>
  <c r="C85" i="1"/>
  <c r="H149" i="1"/>
  <c r="D149" i="1"/>
  <c r="C150" i="1"/>
  <c r="C52" i="1"/>
  <c r="H51" i="1"/>
  <c r="D51" i="1"/>
  <c r="H673" i="1"/>
  <c r="D673" i="1"/>
  <c r="C674" i="1"/>
  <c r="H686" i="1"/>
  <c r="D686" i="1"/>
  <c r="C687" i="1"/>
  <c r="D656" i="1"/>
  <c r="H656" i="1"/>
  <c r="C657" i="1"/>
  <c r="D67" i="1"/>
  <c r="C68" i="1"/>
  <c r="H67" i="1"/>
  <c r="D232" i="1"/>
  <c r="H232" i="1"/>
  <c r="C233" i="1"/>
  <c r="H571" i="1"/>
  <c r="D571" i="1"/>
  <c r="C572" i="1"/>
  <c r="D382" i="1" l="1"/>
  <c r="C383" i="1"/>
  <c r="C274" i="1"/>
  <c r="H273" i="1"/>
  <c r="D273" i="1"/>
  <c r="D52" i="1"/>
  <c r="C53" i="1"/>
  <c r="H52" i="1"/>
  <c r="H68" i="1"/>
  <c r="D68" i="1"/>
  <c r="C69" i="1"/>
  <c r="D657" i="1"/>
  <c r="H657" i="1"/>
  <c r="C658" i="1"/>
  <c r="D216" i="1"/>
  <c r="H216" i="1"/>
  <c r="H572" i="1"/>
  <c r="D572" i="1"/>
  <c r="C573" i="1"/>
  <c r="G383" i="1"/>
  <c r="H382" i="1"/>
  <c r="D233" i="1"/>
  <c r="C234" i="1"/>
  <c r="H233" i="1"/>
  <c r="H674" i="1"/>
  <c r="D674" i="1"/>
  <c r="C675" i="1"/>
  <c r="H113" i="1"/>
  <c r="D113" i="1"/>
  <c r="C114" i="1"/>
  <c r="H150" i="1"/>
  <c r="D150" i="1"/>
  <c r="C151" i="1"/>
  <c r="H687" i="1"/>
  <c r="D687" i="1"/>
  <c r="C688" i="1"/>
  <c r="H85" i="1"/>
  <c r="D85" i="1"/>
  <c r="C86" i="1"/>
  <c r="H16" i="1"/>
  <c r="C17" i="1"/>
  <c r="D16" i="1"/>
  <c r="D383" i="1" l="1"/>
  <c r="C384" i="1"/>
  <c r="H69" i="1"/>
  <c r="D69" i="1"/>
  <c r="C70" i="1"/>
  <c r="D234" i="1"/>
  <c r="C235" i="1"/>
  <c r="H234" i="1"/>
  <c r="H151" i="1"/>
  <c r="D151" i="1"/>
  <c r="C152" i="1"/>
  <c r="G384" i="1"/>
  <c r="H383" i="1"/>
  <c r="H573" i="1"/>
  <c r="D573" i="1"/>
  <c r="C574" i="1"/>
  <c r="H114" i="1"/>
  <c r="D114" i="1"/>
  <c r="C115" i="1"/>
  <c r="D53" i="1"/>
  <c r="H53" i="1"/>
  <c r="C54" i="1"/>
  <c r="H86" i="1"/>
  <c r="D86" i="1"/>
  <c r="C87" i="1"/>
  <c r="H658" i="1"/>
  <c r="D658" i="1"/>
  <c r="C659" i="1"/>
  <c r="D17" i="1"/>
  <c r="H17" i="1"/>
  <c r="C18" i="1"/>
  <c r="H675" i="1"/>
  <c r="D675" i="1"/>
  <c r="C676" i="1"/>
  <c r="D688" i="1"/>
  <c r="H688" i="1"/>
  <c r="C689" i="1"/>
  <c r="H274" i="1"/>
  <c r="D274" i="1"/>
  <c r="C275" i="1"/>
  <c r="C385" i="1" l="1"/>
  <c r="D384" i="1"/>
  <c r="D676" i="1"/>
  <c r="H676" i="1"/>
  <c r="H70" i="1"/>
  <c r="D70" i="1"/>
  <c r="C71" i="1"/>
  <c r="D152" i="1"/>
  <c r="H152" i="1"/>
  <c r="C153" i="1"/>
  <c r="D54" i="1"/>
  <c r="C55" i="1"/>
  <c r="H54" i="1"/>
  <c r="H235" i="1"/>
  <c r="D235" i="1"/>
  <c r="C236" i="1"/>
  <c r="H275" i="1"/>
  <c r="D275" i="1"/>
  <c r="C276" i="1"/>
  <c r="H574" i="1"/>
  <c r="D574" i="1"/>
  <c r="C575" i="1"/>
  <c r="C88" i="1"/>
  <c r="H87" i="1"/>
  <c r="D87" i="1"/>
  <c r="C19" i="1"/>
  <c r="H18" i="1"/>
  <c r="D18" i="1"/>
  <c r="D115" i="1"/>
  <c r="H115" i="1"/>
  <c r="C116" i="1"/>
  <c r="H659" i="1"/>
  <c r="D659" i="1"/>
  <c r="C660" i="1"/>
  <c r="H689" i="1"/>
  <c r="D689" i="1"/>
  <c r="C690" i="1"/>
  <c r="G385" i="1"/>
  <c r="H384" i="1"/>
  <c r="C386" i="1" l="1"/>
  <c r="D385" i="1"/>
  <c r="D690" i="1"/>
  <c r="H690" i="1"/>
  <c r="C691" i="1"/>
  <c r="H575" i="1"/>
  <c r="D575" i="1"/>
  <c r="C576" i="1"/>
  <c r="D55" i="1"/>
  <c r="H55" i="1"/>
  <c r="H88" i="1"/>
  <c r="D88" i="1"/>
  <c r="C89" i="1"/>
  <c r="D116" i="1"/>
  <c r="H116" i="1"/>
  <c r="C117" i="1"/>
  <c r="H71" i="1"/>
  <c r="D71" i="1"/>
  <c r="C72" i="1"/>
  <c r="D660" i="1"/>
  <c r="H660" i="1"/>
  <c r="C661" i="1"/>
  <c r="D153" i="1"/>
  <c r="C154" i="1"/>
  <c r="H153" i="1"/>
  <c r="H276" i="1"/>
  <c r="D276" i="1"/>
  <c r="C277" i="1"/>
  <c r="G386" i="1"/>
  <c r="H385" i="1"/>
  <c r="D19" i="1"/>
  <c r="C20" i="1"/>
  <c r="H19" i="1"/>
  <c r="H236" i="1"/>
  <c r="D236" i="1"/>
  <c r="C237" i="1"/>
  <c r="C387" i="1" l="1"/>
  <c r="D386" i="1"/>
  <c r="D20" i="1"/>
  <c r="H20" i="1"/>
  <c r="C21" i="1"/>
  <c r="D576" i="1"/>
  <c r="C577" i="1"/>
  <c r="H576" i="1"/>
  <c r="H661" i="1"/>
  <c r="D661" i="1"/>
  <c r="H72" i="1"/>
  <c r="D72" i="1"/>
  <c r="C73" i="1"/>
  <c r="G387" i="1"/>
  <c r="H386" i="1"/>
  <c r="D277" i="1"/>
  <c r="C278" i="1"/>
  <c r="H277" i="1"/>
  <c r="D117" i="1"/>
  <c r="C118" i="1"/>
  <c r="H117" i="1"/>
  <c r="D691" i="1"/>
  <c r="H691" i="1"/>
  <c r="C692" i="1"/>
  <c r="H89" i="1"/>
  <c r="D89" i="1"/>
  <c r="C90" i="1"/>
  <c r="D237" i="1"/>
  <c r="H237" i="1"/>
  <c r="C238" i="1"/>
  <c r="D154" i="1"/>
  <c r="H154" i="1"/>
  <c r="C155" i="1"/>
  <c r="D387" i="1" l="1"/>
  <c r="C388" i="1"/>
  <c r="G388" i="1"/>
  <c r="H387" i="1"/>
  <c r="H692" i="1"/>
  <c r="D692" i="1"/>
  <c r="C693" i="1"/>
  <c r="D118" i="1"/>
  <c r="C119" i="1"/>
  <c r="H118" i="1"/>
  <c r="H577" i="1"/>
  <c r="D577" i="1"/>
  <c r="C578" i="1"/>
  <c r="D155" i="1"/>
  <c r="H155" i="1"/>
  <c r="C156" i="1"/>
  <c r="D238" i="1"/>
  <c r="H238" i="1"/>
  <c r="C239" i="1"/>
  <c r="H21" i="1"/>
  <c r="D21" i="1"/>
  <c r="C22" i="1"/>
  <c r="H73" i="1"/>
  <c r="D73" i="1"/>
  <c r="C74" i="1"/>
  <c r="D278" i="1"/>
  <c r="C279" i="1"/>
  <c r="H278" i="1"/>
  <c r="H90" i="1"/>
  <c r="D90" i="1"/>
  <c r="C389" i="1" l="1"/>
  <c r="D388" i="1"/>
  <c r="G389" i="1"/>
  <c r="H388" i="1"/>
  <c r="H578" i="1"/>
  <c r="D578" i="1"/>
  <c r="C579" i="1"/>
  <c r="D239" i="1"/>
  <c r="C240" i="1"/>
  <c r="H239" i="1"/>
  <c r="D693" i="1"/>
  <c r="H693" i="1"/>
  <c r="C694" i="1"/>
  <c r="H119" i="1"/>
  <c r="D119" i="1"/>
  <c r="C120" i="1"/>
  <c r="H279" i="1"/>
  <c r="D279" i="1"/>
  <c r="C280" i="1"/>
  <c r="D22" i="1"/>
  <c r="H22" i="1"/>
  <c r="H74" i="1"/>
  <c r="D74" i="1"/>
  <c r="H156" i="1"/>
  <c r="D156" i="1"/>
  <c r="C157" i="1"/>
  <c r="D389" i="1" l="1"/>
  <c r="C390" i="1"/>
  <c r="G390" i="1"/>
  <c r="H389" i="1"/>
  <c r="C241" i="1"/>
  <c r="H240" i="1"/>
  <c r="D240" i="1"/>
  <c r="H280" i="1"/>
  <c r="D280" i="1"/>
  <c r="C281" i="1"/>
  <c r="H579" i="1"/>
  <c r="D579" i="1"/>
  <c r="C580" i="1"/>
  <c r="H157" i="1"/>
  <c r="D157" i="1"/>
  <c r="C158" i="1"/>
  <c r="H694" i="1"/>
  <c r="D694" i="1"/>
  <c r="C695" i="1"/>
  <c r="H120" i="1"/>
  <c r="D120" i="1"/>
  <c r="C121" i="1"/>
  <c r="D390" i="1" l="1"/>
  <c r="C391" i="1"/>
  <c r="H158" i="1"/>
  <c r="D158" i="1"/>
  <c r="C159" i="1"/>
  <c r="H695" i="1"/>
  <c r="D695" i="1"/>
  <c r="C696" i="1"/>
  <c r="H241" i="1"/>
  <c r="D241" i="1"/>
  <c r="C242" i="1"/>
  <c r="D281" i="1"/>
  <c r="C282" i="1"/>
  <c r="H281" i="1"/>
  <c r="H580" i="1"/>
  <c r="D580" i="1"/>
  <c r="C581" i="1"/>
  <c r="H121" i="1"/>
  <c r="D121" i="1"/>
  <c r="C122" i="1"/>
  <c r="G391" i="1"/>
  <c r="H390" i="1"/>
  <c r="D391" i="1" l="1"/>
  <c r="C392" i="1"/>
  <c r="G392" i="1"/>
  <c r="H391" i="1"/>
  <c r="H242" i="1"/>
  <c r="C243" i="1"/>
  <c r="D242" i="1"/>
  <c r="D122" i="1"/>
  <c r="H122" i="1"/>
  <c r="C123" i="1"/>
  <c r="D581" i="1"/>
  <c r="C582" i="1"/>
  <c r="H581" i="1"/>
  <c r="H159" i="1"/>
  <c r="D159" i="1"/>
  <c r="C160" i="1"/>
  <c r="C697" i="1"/>
  <c r="H696" i="1"/>
  <c r="D696" i="1"/>
  <c r="D282" i="1"/>
  <c r="H282" i="1"/>
  <c r="C283" i="1"/>
  <c r="D392" i="1" l="1"/>
  <c r="C393" i="1"/>
  <c r="H283" i="1"/>
  <c r="D283" i="1"/>
  <c r="C284" i="1"/>
  <c r="C124" i="1"/>
  <c r="H123" i="1"/>
  <c r="D123" i="1"/>
  <c r="D582" i="1"/>
  <c r="C583" i="1"/>
  <c r="H582" i="1"/>
  <c r="H697" i="1"/>
  <c r="D697" i="1"/>
  <c r="C698" i="1"/>
  <c r="D160" i="1"/>
  <c r="C161" i="1"/>
  <c r="H160" i="1"/>
  <c r="H243" i="1"/>
  <c r="D243" i="1"/>
  <c r="C244" i="1"/>
  <c r="G393" i="1"/>
  <c r="H392" i="1"/>
  <c r="D393" i="1" l="1"/>
  <c r="C394" i="1"/>
  <c r="G394" i="1"/>
  <c r="H393" i="1"/>
  <c r="H583" i="1"/>
  <c r="D583" i="1"/>
  <c r="C584" i="1"/>
  <c r="D244" i="1"/>
  <c r="H244" i="1"/>
  <c r="C245" i="1"/>
  <c r="H698" i="1"/>
  <c r="D698" i="1"/>
  <c r="C699" i="1"/>
  <c r="C125" i="1"/>
  <c r="H124" i="1"/>
  <c r="D124" i="1"/>
  <c r="D284" i="1"/>
  <c r="C285" i="1"/>
  <c r="H284" i="1"/>
  <c r="H161" i="1"/>
  <c r="D161" i="1"/>
  <c r="C162" i="1"/>
  <c r="C395" i="1" l="1"/>
  <c r="D394" i="1"/>
  <c r="H162" i="1"/>
  <c r="D162" i="1"/>
  <c r="C163" i="1"/>
  <c r="C585" i="1"/>
  <c r="H584" i="1"/>
  <c r="D584" i="1"/>
  <c r="D285" i="1"/>
  <c r="H285" i="1"/>
  <c r="C286" i="1"/>
  <c r="H125" i="1"/>
  <c r="D125" i="1"/>
  <c r="C126" i="1"/>
  <c r="H245" i="1"/>
  <c r="D245" i="1"/>
  <c r="C246" i="1"/>
  <c r="H699" i="1"/>
  <c r="D699" i="1"/>
  <c r="C700" i="1"/>
  <c r="G395" i="1"/>
  <c r="H394" i="1"/>
  <c r="D395" i="1" l="1"/>
  <c r="C396" i="1"/>
  <c r="G396" i="1"/>
  <c r="H395" i="1"/>
  <c r="H286" i="1"/>
  <c r="D286" i="1"/>
  <c r="C287" i="1"/>
  <c r="H126" i="1"/>
  <c r="D126" i="1"/>
  <c r="C127" i="1"/>
  <c r="H163" i="1"/>
  <c r="D163" i="1"/>
  <c r="C164" i="1"/>
  <c r="H700" i="1"/>
  <c r="D700" i="1"/>
  <c r="C701" i="1"/>
  <c r="D246" i="1"/>
  <c r="C247" i="1"/>
  <c r="H246" i="1"/>
  <c r="D585" i="1"/>
  <c r="H585" i="1"/>
  <c r="C586" i="1"/>
  <c r="D396" i="1" l="1"/>
  <c r="C397" i="1"/>
  <c r="H247" i="1"/>
  <c r="D247" i="1"/>
  <c r="C248" i="1"/>
  <c r="H701" i="1"/>
  <c r="D701" i="1"/>
  <c r="C702" i="1"/>
  <c r="D127" i="1"/>
  <c r="H127" i="1"/>
  <c r="C128" i="1"/>
  <c r="H287" i="1"/>
  <c r="D287" i="1"/>
  <c r="C288" i="1"/>
  <c r="D586" i="1"/>
  <c r="H586" i="1"/>
  <c r="C587" i="1"/>
  <c r="D164" i="1"/>
  <c r="H164" i="1"/>
  <c r="C165" i="1"/>
  <c r="G397" i="1"/>
  <c r="H396" i="1"/>
  <c r="C398" i="1" l="1"/>
  <c r="D397" i="1"/>
  <c r="D165" i="1"/>
  <c r="C166" i="1"/>
  <c r="H165" i="1"/>
  <c r="D587" i="1"/>
  <c r="H587" i="1"/>
  <c r="C588" i="1"/>
  <c r="D702" i="1"/>
  <c r="H702" i="1"/>
  <c r="C703" i="1"/>
  <c r="D128" i="1"/>
  <c r="H128" i="1"/>
  <c r="C129" i="1"/>
  <c r="H288" i="1"/>
  <c r="D288" i="1"/>
  <c r="C289" i="1"/>
  <c r="H248" i="1"/>
  <c r="D248" i="1"/>
  <c r="C249" i="1"/>
  <c r="G398" i="1"/>
  <c r="H397" i="1"/>
  <c r="D398" i="1" l="1"/>
  <c r="C399" i="1"/>
  <c r="D588" i="1"/>
  <c r="H588" i="1"/>
  <c r="C589" i="1"/>
  <c r="G399" i="1"/>
  <c r="H398" i="1"/>
  <c r="D703" i="1"/>
  <c r="H703" i="1"/>
  <c r="C704" i="1"/>
  <c r="H289" i="1"/>
  <c r="D289" i="1"/>
  <c r="C290" i="1"/>
  <c r="D249" i="1"/>
  <c r="H249" i="1"/>
  <c r="C250" i="1"/>
  <c r="D129" i="1"/>
  <c r="C130" i="1"/>
  <c r="H129" i="1"/>
  <c r="D166" i="1"/>
  <c r="H166" i="1"/>
  <c r="C167" i="1"/>
  <c r="C400" i="1" l="1"/>
  <c r="D399" i="1"/>
  <c r="D250" i="1"/>
  <c r="H250" i="1"/>
  <c r="C251" i="1"/>
  <c r="D167" i="1"/>
  <c r="H167" i="1"/>
  <c r="C168" i="1"/>
  <c r="H704" i="1"/>
  <c r="D704" i="1"/>
  <c r="C705" i="1"/>
  <c r="G400" i="1"/>
  <c r="H399" i="1"/>
  <c r="H290" i="1"/>
  <c r="C291" i="1"/>
  <c r="D290" i="1"/>
  <c r="H130" i="1"/>
  <c r="D130" i="1"/>
  <c r="C131" i="1"/>
  <c r="H589" i="1"/>
  <c r="C590" i="1"/>
  <c r="D589" i="1"/>
  <c r="D400" i="1" l="1"/>
  <c r="C401" i="1"/>
  <c r="H131" i="1"/>
  <c r="D131" i="1"/>
  <c r="D705" i="1"/>
  <c r="H705" i="1"/>
  <c r="C706" i="1"/>
  <c r="H590" i="1"/>
  <c r="D590" i="1"/>
  <c r="C591" i="1"/>
  <c r="H168" i="1"/>
  <c r="D168" i="1"/>
  <c r="C169" i="1"/>
  <c r="H291" i="1"/>
  <c r="D291" i="1"/>
  <c r="C292" i="1"/>
  <c r="D251" i="1"/>
  <c r="C252" i="1"/>
  <c r="H251" i="1"/>
  <c r="G401" i="1"/>
  <c r="H400" i="1"/>
  <c r="D401" i="1" l="1"/>
  <c r="C402" i="1"/>
  <c r="H591" i="1"/>
  <c r="D591" i="1"/>
  <c r="C592" i="1"/>
  <c r="G402" i="1"/>
  <c r="H401" i="1"/>
  <c r="H252" i="1"/>
  <c r="D252" i="1"/>
  <c r="C253" i="1"/>
  <c r="H292" i="1"/>
  <c r="D292" i="1"/>
  <c r="C293" i="1"/>
  <c r="H706" i="1"/>
  <c r="D706" i="1"/>
  <c r="C707" i="1"/>
  <c r="H169" i="1"/>
  <c r="D169" i="1"/>
  <c r="C170" i="1"/>
  <c r="D402" i="1" l="1"/>
  <c r="C403" i="1"/>
  <c r="H170" i="1"/>
  <c r="D170" i="1"/>
  <c r="C171" i="1"/>
  <c r="D707" i="1"/>
  <c r="H707" i="1"/>
  <c r="C708" i="1"/>
  <c r="H253" i="1"/>
  <c r="D253" i="1"/>
  <c r="C254" i="1"/>
  <c r="G403" i="1"/>
  <c r="H402" i="1"/>
  <c r="H592" i="1"/>
  <c r="D592" i="1"/>
  <c r="C593" i="1"/>
  <c r="D293" i="1"/>
  <c r="C294" i="1"/>
  <c r="H293" i="1"/>
  <c r="D403" i="1" l="1"/>
  <c r="C404" i="1"/>
  <c r="D294" i="1"/>
  <c r="H294" i="1"/>
  <c r="C295" i="1"/>
  <c r="D708" i="1"/>
  <c r="C709" i="1"/>
  <c r="H708" i="1"/>
  <c r="H593" i="1"/>
  <c r="D593" i="1"/>
  <c r="C594" i="1"/>
  <c r="H171" i="1"/>
  <c r="D171" i="1"/>
  <c r="C172" i="1"/>
  <c r="H254" i="1"/>
  <c r="C255" i="1"/>
  <c r="D254" i="1"/>
  <c r="G404" i="1"/>
  <c r="H403" i="1"/>
  <c r="D404" i="1" l="1"/>
  <c r="C405" i="1"/>
  <c r="G405" i="1"/>
  <c r="H404" i="1"/>
  <c r="H255" i="1"/>
  <c r="D255" i="1"/>
  <c r="C256" i="1"/>
  <c r="H709" i="1"/>
  <c r="D709" i="1"/>
  <c r="C710" i="1"/>
  <c r="H172" i="1"/>
  <c r="D172" i="1"/>
  <c r="C173" i="1"/>
  <c r="D295" i="1"/>
  <c r="H295" i="1"/>
  <c r="C296" i="1"/>
  <c r="D594" i="1"/>
  <c r="C595" i="1"/>
  <c r="H594" i="1"/>
  <c r="D405" i="1" l="1"/>
  <c r="C406" i="1"/>
  <c r="H710" i="1"/>
  <c r="D710" i="1"/>
  <c r="C711" i="1"/>
  <c r="D296" i="1"/>
  <c r="C297" i="1"/>
  <c r="H296" i="1"/>
  <c r="H595" i="1"/>
  <c r="D595" i="1"/>
  <c r="C596" i="1"/>
  <c r="H256" i="1"/>
  <c r="D256" i="1"/>
  <c r="C257" i="1"/>
  <c r="G406" i="1"/>
  <c r="H405" i="1"/>
  <c r="H173" i="1"/>
  <c r="D173" i="1"/>
  <c r="C174" i="1"/>
  <c r="D406" i="1" l="1"/>
  <c r="C407" i="1"/>
  <c r="H174" i="1"/>
  <c r="D174" i="1"/>
  <c r="C175" i="1"/>
  <c r="H297" i="1"/>
  <c r="D297" i="1"/>
  <c r="C298" i="1"/>
  <c r="G407" i="1"/>
  <c r="H406" i="1"/>
  <c r="H596" i="1"/>
  <c r="D596" i="1"/>
  <c r="C597" i="1"/>
  <c r="H257" i="1"/>
  <c r="D257" i="1"/>
  <c r="C258" i="1"/>
  <c r="H711" i="1"/>
  <c r="D711" i="1"/>
  <c r="C712" i="1"/>
  <c r="C408" i="1" l="1"/>
  <c r="D407" i="1"/>
  <c r="G408" i="1"/>
  <c r="H407" i="1"/>
  <c r="D258" i="1"/>
  <c r="H258" i="1"/>
  <c r="C259" i="1"/>
  <c r="H298" i="1"/>
  <c r="D298" i="1"/>
  <c r="C299" i="1"/>
  <c r="H712" i="1"/>
  <c r="D712" i="1"/>
  <c r="C713" i="1"/>
  <c r="H175" i="1"/>
  <c r="D175" i="1"/>
  <c r="C176" i="1"/>
  <c r="D597" i="1"/>
  <c r="H597" i="1"/>
  <c r="C598" i="1"/>
  <c r="C409" i="1" l="1"/>
  <c r="D408" i="1"/>
  <c r="H713" i="1"/>
  <c r="D713" i="1"/>
  <c r="C714" i="1"/>
  <c r="H299" i="1"/>
  <c r="D299" i="1"/>
  <c r="C300" i="1"/>
  <c r="D176" i="1"/>
  <c r="H176" i="1"/>
  <c r="C177" i="1"/>
  <c r="D259" i="1"/>
  <c r="C260" i="1"/>
  <c r="H259" i="1"/>
  <c r="D598" i="1"/>
  <c r="H598" i="1"/>
  <c r="C599" i="1"/>
  <c r="G409" i="1"/>
  <c r="H408" i="1"/>
  <c r="D409" i="1" l="1"/>
  <c r="C410" i="1"/>
  <c r="D260" i="1"/>
  <c r="H260" i="1"/>
  <c r="C261" i="1"/>
  <c r="H300" i="1"/>
  <c r="D300" i="1"/>
  <c r="C301" i="1"/>
  <c r="D177" i="1"/>
  <c r="C178" i="1"/>
  <c r="H177" i="1"/>
  <c r="G410" i="1"/>
  <c r="H409" i="1"/>
  <c r="D599" i="1"/>
  <c r="C600" i="1"/>
  <c r="H599" i="1"/>
  <c r="D714" i="1"/>
  <c r="H714" i="1"/>
  <c r="C715" i="1"/>
  <c r="D410" i="1" l="1"/>
  <c r="C411" i="1"/>
  <c r="G411" i="1"/>
  <c r="H410" i="1"/>
  <c r="H715" i="1"/>
  <c r="D715" i="1"/>
  <c r="C716" i="1"/>
  <c r="D178" i="1"/>
  <c r="C179" i="1"/>
  <c r="H178" i="1"/>
  <c r="D600" i="1"/>
  <c r="H600" i="1"/>
  <c r="C601" i="1"/>
  <c r="H301" i="1"/>
  <c r="C302" i="1"/>
  <c r="D301" i="1"/>
  <c r="H261" i="1"/>
  <c r="D261" i="1"/>
  <c r="C262" i="1"/>
  <c r="D411" i="1" l="1"/>
  <c r="C412" i="1"/>
  <c r="D179" i="1"/>
  <c r="H179" i="1"/>
  <c r="C180" i="1"/>
  <c r="H262" i="1"/>
  <c r="D262" i="1"/>
  <c r="H716" i="1"/>
  <c r="D716" i="1"/>
  <c r="C717" i="1"/>
  <c r="H601" i="1"/>
  <c r="D601" i="1"/>
  <c r="C602" i="1"/>
  <c r="C303" i="1"/>
  <c r="H302" i="1"/>
  <c r="D302" i="1"/>
  <c r="G412" i="1"/>
  <c r="H411" i="1"/>
  <c r="D412" i="1" l="1"/>
  <c r="C413" i="1"/>
  <c r="H602" i="1"/>
  <c r="D602" i="1"/>
  <c r="C603" i="1"/>
  <c r="H717" i="1"/>
  <c r="D717" i="1"/>
  <c r="C718" i="1"/>
  <c r="G413" i="1"/>
  <c r="H412" i="1"/>
  <c r="H303" i="1"/>
  <c r="D303" i="1"/>
  <c r="C304" i="1"/>
  <c r="H180" i="1"/>
  <c r="D180" i="1"/>
  <c r="C181" i="1"/>
  <c r="D413" i="1" l="1"/>
  <c r="C414" i="1"/>
  <c r="H718" i="1"/>
  <c r="D718" i="1"/>
  <c r="C719" i="1"/>
  <c r="H181" i="1"/>
  <c r="D181" i="1"/>
  <c r="C182" i="1"/>
  <c r="H603" i="1"/>
  <c r="D603" i="1"/>
  <c r="C604" i="1"/>
  <c r="G414" i="1"/>
  <c r="H413" i="1"/>
  <c r="D304" i="1"/>
  <c r="H304" i="1"/>
  <c r="C305" i="1"/>
  <c r="C415" i="1" l="1"/>
  <c r="D414" i="1"/>
  <c r="H604" i="1"/>
  <c r="D604" i="1"/>
  <c r="C605" i="1"/>
  <c r="H182" i="1"/>
  <c r="D182" i="1"/>
  <c r="C183" i="1"/>
  <c r="D305" i="1"/>
  <c r="C306" i="1"/>
  <c r="H305" i="1"/>
  <c r="D719" i="1"/>
  <c r="H719" i="1"/>
  <c r="C720" i="1"/>
  <c r="G415" i="1"/>
  <c r="H414" i="1"/>
  <c r="D415" i="1" l="1"/>
  <c r="C416" i="1"/>
  <c r="D306" i="1"/>
  <c r="H306" i="1"/>
  <c r="C307" i="1"/>
  <c r="H183" i="1"/>
  <c r="D183" i="1"/>
  <c r="C184" i="1"/>
  <c r="G416" i="1"/>
  <c r="H415" i="1"/>
  <c r="D720" i="1"/>
  <c r="H720" i="1"/>
  <c r="C721" i="1"/>
  <c r="H605" i="1"/>
  <c r="D605" i="1"/>
  <c r="C606" i="1"/>
  <c r="C417" i="1" l="1"/>
  <c r="D416" i="1"/>
  <c r="G417" i="1"/>
  <c r="H416" i="1"/>
  <c r="D307" i="1"/>
  <c r="H307" i="1"/>
  <c r="C308" i="1"/>
  <c r="H184" i="1"/>
  <c r="D184" i="1"/>
  <c r="C185" i="1"/>
  <c r="D606" i="1"/>
  <c r="C607" i="1"/>
  <c r="H606" i="1"/>
  <c r="D721" i="1"/>
  <c r="H721" i="1"/>
  <c r="C722" i="1"/>
  <c r="C418" i="1" l="1"/>
  <c r="D417" i="1"/>
  <c r="D722" i="1"/>
  <c r="H722" i="1"/>
  <c r="C723" i="1"/>
  <c r="G418" i="1"/>
  <c r="H417" i="1"/>
  <c r="H185" i="1"/>
  <c r="D185" i="1"/>
  <c r="C186" i="1"/>
  <c r="H308" i="1"/>
  <c r="D308" i="1"/>
  <c r="C309" i="1"/>
  <c r="C608" i="1"/>
  <c r="H607" i="1"/>
  <c r="D607" i="1"/>
  <c r="D418" i="1" l="1"/>
  <c r="C419" i="1"/>
  <c r="H186" i="1"/>
  <c r="D186" i="1"/>
  <c r="C187" i="1"/>
  <c r="G419" i="1"/>
  <c r="H418" i="1"/>
  <c r="H608" i="1"/>
  <c r="D608" i="1"/>
  <c r="C609" i="1"/>
  <c r="H723" i="1"/>
  <c r="D723" i="1"/>
  <c r="C724" i="1"/>
  <c r="H309" i="1"/>
  <c r="D309" i="1"/>
  <c r="C310" i="1"/>
  <c r="D419" i="1" l="1"/>
  <c r="C420" i="1"/>
  <c r="D609" i="1"/>
  <c r="H609" i="1"/>
  <c r="C610" i="1"/>
  <c r="G420" i="1"/>
  <c r="H419" i="1"/>
  <c r="H310" i="1"/>
  <c r="D310" i="1"/>
  <c r="C311" i="1"/>
  <c r="H187" i="1"/>
  <c r="D187" i="1"/>
  <c r="C188" i="1"/>
  <c r="H724" i="1"/>
  <c r="D724" i="1"/>
  <c r="C725" i="1"/>
  <c r="C421" i="1" l="1"/>
  <c r="D420" i="1"/>
  <c r="H311" i="1"/>
  <c r="C312" i="1"/>
  <c r="D311" i="1"/>
  <c r="C726" i="1"/>
  <c r="D725" i="1"/>
  <c r="H725" i="1"/>
  <c r="G421" i="1"/>
  <c r="H420" i="1"/>
  <c r="D610" i="1"/>
  <c r="H610" i="1"/>
  <c r="C611" i="1"/>
  <c r="D188" i="1"/>
  <c r="H188" i="1"/>
  <c r="C189" i="1"/>
  <c r="D421" i="1" l="1"/>
  <c r="C422" i="1"/>
  <c r="G422" i="1"/>
  <c r="H421" i="1"/>
  <c r="D189" i="1"/>
  <c r="C190" i="1"/>
  <c r="H189" i="1"/>
  <c r="H726" i="1"/>
  <c r="D726" i="1"/>
  <c r="C727" i="1"/>
  <c r="D611" i="1"/>
  <c r="C612" i="1"/>
  <c r="H611" i="1"/>
  <c r="H312" i="1"/>
  <c r="D312" i="1"/>
  <c r="C313" i="1"/>
  <c r="C423" i="1" l="1"/>
  <c r="D422" i="1"/>
  <c r="H313" i="1"/>
  <c r="C314" i="1"/>
  <c r="D313" i="1"/>
  <c r="C728" i="1"/>
  <c r="H727" i="1"/>
  <c r="D727" i="1"/>
  <c r="D190" i="1"/>
  <c r="C191" i="1"/>
  <c r="H190" i="1"/>
  <c r="G423" i="1"/>
  <c r="H422" i="1"/>
  <c r="D612" i="1"/>
  <c r="H612" i="1"/>
  <c r="C613" i="1"/>
  <c r="D423" i="1" l="1"/>
  <c r="C424" i="1"/>
  <c r="G424" i="1"/>
  <c r="H423" i="1"/>
  <c r="D191" i="1"/>
  <c r="H191" i="1"/>
  <c r="C192" i="1"/>
  <c r="H613" i="1"/>
  <c r="D613" i="1"/>
  <c r="C614" i="1"/>
  <c r="H728" i="1"/>
  <c r="C729" i="1"/>
  <c r="D728" i="1"/>
  <c r="C315" i="1"/>
  <c r="H314" i="1"/>
  <c r="D314" i="1"/>
  <c r="D424" i="1" l="1"/>
  <c r="C425" i="1"/>
  <c r="H192" i="1"/>
  <c r="D192" i="1"/>
  <c r="C193" i="1"/>
  <c r="H729" i="1"/>
  <c r="D729" i="1"/>
  <c r="C730" i="1"/>
  <c r="H614" i="1"/>
  <c r="D614" i="1"/>
  <c r="C615" i="1"/>
  <c r="H315" i="1"/>
  <c r="D315" i="1"/>
  <c r="C316" i="1"/>
  <c r="G425" i="1"/>
  <c r="H424" i="1"/>
  <c r="D425" i="1" l="1"/>
  <c r="C426" i="1"/>
  <c r="H615" i="1"/>
  <c r="D615" i="1"/>
  <c r="C616" i="1"/>
  <c r="D316" i="1"/>
  <c r="H316" i="1"/>
  <c r="C317" i="1"/>
  <c r="H730" i="1"/>
  <c r="D730" i="1"/>
  <c r="C731" i="1"/>
  <c r="G426" i="1"/>
  <c r="H425" i="1"/>
  <c r="H193" i="1"/>
  <c r="D193" i="1"/>
  <c r="C194" i="1"/>
  <c r="D426" i="1" l="1"/>
  <c r="C427" i="1"/>
  <c r="D731" i="1"/>
  <c r="H731" i="1"/>
  <c r="C732" i="1"/>
  <c r="G427" i="1"/>
  <c r="H426" i="1"/>
  <c r="D317" i="1"/>
  <c r="C318" i="1"/>
  <c r="H317" i="1"/>
  <c r="H616" i="1"/>
  <c r="D616" i="1"/>
  <c r="C617" i="1"/>
  <c r="H194" i="1"/>
  <c r="D194" i="1"/>
  <c r="C195" i="1"/>
  <c r="D427" i="1" l="1"/>
  <c r="C428" i="1"/>
  <c r="D318" i="1"/>
  <c r="H318" i="1"/>
  <c r="C319" i="1"/>
  <c r="H195" i="1"/>
  <c r="D195" i="1"/>
  <c r="C196" i="1"/>
  <c r="G428" i="1"/>
  <c r="H427" i="1"/>
  <c r="D732" i="1"/>
  <c r="C733" i="1"/>
  <c r="H732" i="1"/>
  <c r="H617" i="1"/>
  <c r="D617" i="1"/>
  <c r="C618" i="1"/>
  <c r="C429" i="1" l="1"/>
  <c r="D428" i="1"/>
  <c r="G429" i="1"/>
  <c r="H428" i="1"/>
  <c r="H196" i="1"/>
  <c r="D196" i="1"/>
  <c r="C197" i="1"/>
  <c r="D618" i="1"/>
  <c r="C619" i="1"/>
  <c r="H618" i="1"/>
  <c r="D319" i="1"/>
  <c r="H319" i="1"/>
  <c r="C320" i="1"/>
  <c r="D733" i="1"/>
  <c r="H733" i="1"/>
  <c r="C734" i="1"/>
  <c r="D429" i="1" l="1"/>
  <c r="C430" i="1"/>
  <c r="D197" i="1"/>
  <c r="H197" i="1"/>
  <c r="C198" i="1"/>
  <c r="C620" i="1"/>
  <c r="H619" i="1"/>
  <c r="D619" i="1"/>
  <c r="H734" i="1"/>
  <c r="D734" i="1"/>
  <c r="C735" i="1"/>
  <c r="H320" i="1"/>
  <c r="D320" i="1"/>
  <c r="C321" i="1"/>
  <c r="G430" i="1"/>
  <c r="H429" i="1"/>
  <c r="D430" i="1" l="1"/>
  <c r="C431" i="1"/>
  <c r="H735" i="1"/>
  <c r="D735" i="1"/>
  <c r="C736" i="1"/>
  <c r="H620" i="1"/>
  <c r="D620" i="1"/>
  <c r="C621" i="1"/>
  <c r="G431" i="1"/>
  <c r="H431" i="1" s="1"/>
  <c r="H430" i="1"/>
  <c r="H321" i="1"/>
  <c r="D321" i="1"/>
  <c r="C322" i="1"/>
  <c r="D198" i="1"/>
  <c r="C199" i="1"/>
  <c r="H198" i="1"/>
  <c r="D431" i="1" l="1"/>
  <c r="C432" i="1"/>
  <c r="H736" i="1"/>
  <c r="D736" i="1"/>
  <c r="C737" i="1"/>
  <c r="D199" i="1"/>
  <c r="H199" i="1"/>
  <c r="C200" i="1"/>
  <c r="D621" i="1"/>
  <c r="H621" i="1"/>
  <c r="C622" i="1"/>
  <c r="H322" i="1"/>
  <c r="D322" i="1"/>
  <c r="C323" i="1"/>
  <c r="H432" i="1" l="1"/>
  <c r="D432" i="1"/>
  <c r="C433" i="1"/>
  <c r="D622" i="1"/>
  <c r="H622" i="1"/>
  <c r="C623" i="1"/>
  <c r="H200" i="1"/>
  <c r="D200" i="1"/>
  <c r="C201" i="1"/>
  <c r="H323" i="1"/>
  <c r="D323" i="1"/>
  <c r="C324" i="1"/>
  <c r="H737" i="1"/>
  <c r="D737" i="1"/>
  <c r="C738" i="1"/>
  <c r="H433" i="1" l="1"/>
  <c r="D433" i="1"/>
  <c r="C434" i="1"/>
  <c r="D623" i="1"/>
  <c r="C624" i="1"/>
  <c r="H623" i="1"/>
  <c r="H201" i="1"/>
  <c r="D201" i="1"/>
  <c r="C202" i="1"/>
  <c r="H324" i="1"/>
  <c r="D324" i="1"/>
  <c r="C325" i="1"/>
  <c r="H738" i="1"/>
  <c r="D738" i="1"/>
  <c r="C739" i="1"/>
  <c r="D434" i="1" l="1"/>
  <c r="C435" i="1"/>
  <c r="H434" i="1"/>
  <c r="H325" i="1"/>
  <c r="D325" i="1"/>
  <c r="C326" i="1"/>
  <c r="C740" i="1"/>
  <c r="H739" i="1"/>
  <c r="D739" i="1"/>
  <c r="H202" i="1"/>
  <c r="D202" i="1"/>
  <c r="C203" i="1"/>
  <c r="D624" i="1"/>
  <c r="H624" i="1"/>
  <c r="C625" i="1"/>
  <c r="D435" i="1" l="1"/>
  <c r="C436" i="1"/>
  <c r="H435" i="1"/>
  <c r="H203" i="1"/>
  <c r="D203" i="1"/>
  <c r="C204" i="1"/>
  <c r="H740" i="1"/>
  <c r="C741" i="1"/>
  <c r="D740" i="1"/>
  <c r="H625" i="1"/>
  <c r="D625" i="1"/>
  <c r="C626" i="1"/>
  <c r="C327" i="1"/>
  <c r="H326" i="1"/>
  <c r="D326" i="1"/>
  <c r="H436" i="1" l="1"/>
  <c r="D436" i="1"/>
  <c r="C437" i="1"/>
  <c r="H626" i="1"/>
  <c r="D626" i="1"/>
  <c r="C627" i="1"/>
  <c r="H741" i="1"/>
  <c r="D741" i="1"/>
  <c r="C742" i="1"/>
  <c r="D204" i="1"/>
  <c r="H204" i="1"/>
  <c r="C205" i="1"/>
  <c r="H327" i="1"/>
  <c r="D327" i="1"/>
  <c r="C328" i="1"/>
  <c r="H437" i="1" l="1"/>
  <c r="D437" i="1"/>
  <c r="C438" i="1"/>
  <c r="H742" i="1"/>
  <c r="D742" i="1"/>
  <c r="C743" i="1"/>
  <c r="H205" i="1"/>
  <c r="D205" i="1"/>
  <c r="D328" i="1"/>
  <c r="H328" i="1"/>
  <c r="C329" i="1"/>
  <c r="H627" i="1"/>
  <c r="D627" i="1"/>
  <c r="C628" i="1"/>
  <c r="C439" i="1" l="1"/>
  <c r="H438" i="1"/>
  <c r="D438" i="1"/>
  <c r="D329" i="1"/>
  <c r="C330" i="1"/>
  <c r="H329" i="1"/>
  <c r="D743" i="1"/>
  <c r="H743" i="1"/>
  <c r="C744" i="1"/>
  <c r="H628" i="1"/>
  <c r="D628" i="1"/>
  <c r="D439" i="1" l="1"/>
  <c r="H439" i="1"/>
  <c r="C440" i="1"/>
  <c r="D744" i="1"/>
  <c r="C745" i="1"/>
  <c r="H744" i="1"/>
  <c r="D330" i="1"/>
  <c r="H330" i="1"/>
  <c r="C331" i="1"/>
  <c r="D440" i="1" l="1"/>
  <c r="C441" i="1"/>
  <c r="H440" i="1"/>
  <c r="D331" i="1"/>
  <c r="H331" i="1"/>
  <c r="C332" i="1"/>
  <c r="D745" i="1"/>
  <c r="H745" i="1"/>
  <c r="C746" i="1"/>
  <c r="C442" i="1" l="1"/>
  <c r="H441" i="1"/>
  <c r="D441" i="1"/>
  <c r="H746" i="1"/>
  <c r="D746" i="1"/>
  <c r="C747" i="1"/>
  <c r="H332" i="1"/>
  <c r="D332" i="1"/>
  <c r="C333" i="1"/>
  <c r="H442" i="1" l="1"/>
  <c r="D442" i="1"/>
  <c r="C443" i="1"/>
  <c r="H333" i="1"/>
  <c r="D333" i="1"/>
  <c r="C334" i="1"/>
  <c r="H747" i="1"/>
  <c r="D747" i="1"/>
  <c r="C748" i="1"/>
  <c r="H443" i="1" l="1"/>
  <c r="D443" i="1"/>
  <c r="C444" i="1"/>
  <c r="H748" i="1"/>
  <c r="D748" i="1"/>
  <c r="C749" i="1"/>
  <c r="H334" i="1"/>
  <c r="D334" i="1"/>
  <c r="C335" i="1"/>
  <c r="D444" i="1" l="1"/>
  <c r="H444" i="1"/>
  <c r="C445" i="1"/>
  <c r="H335" i="1"/>
  <c r="D335" i="1"/>
  <c r="C336" i="1"/>
  <c r="H749" i="1"/>
  <c r="D749" i="1"/>
  <c r="C750" i="1"/>
  <c r="H445" i="1" l="1"/>
  <c r="D445" i="1"/>
  <c r="C446" i="1"/>
  <c r="H750" i="1"/>
  <c r="D750" i="1"/>
  <c r="C751" i="1"/>
  <c r="H336" i="1"/>
  <c r="D336" i="1"/>
  <c r="C337" i="1"/>
  <c r="H446" i="1" l="1"/>
  <c r="D446" i="1"/>
  <c r="C447" i="1"/>
  <c r="C338" i="1"/>
  <c r="H337" i="1"/>
  <c r="D337" i="1"/>
  <c r="H751" i="1"/>
  <c r="D751" i="1"/>
  <c r="C752" i="1"/>
  <c r="H447" i="1" l="1"/>
  <c r="D447" i="1"/>
  <c r="C448" i="1"/>
  <c r="H752" i="1"/>
  <c r="D752" i="1"/>
  <c r="C753" i="1"/>
  <c r="D338" i="1"/>
  <c r="H338" i="1"/>
  <c r="C339" i="1"/>
  <c r="H448" i="1" l="1"/>
  <c r="C449" i="1"/>
  <c r="D448" i="1"/>
  <c r="D753" i="1"/>
  <c r="H753" i="1"/>
  <c r="C754" i="1"/>
  <c r="D339" i="1"/>
  <c r="H339" i="1"/>
  <c r="C340" i="1"/>
  <c r="H449" i="1" l="1"/>
  <c r="D449" i="1"/>
  <c r="C450" i="1"/>
  <c r="H340" i="1"/>
  <c r="D340" i="1"/>
  <c r="C341" i="1"/>
  <c r="D754" i="1"/>
  <c r="H754" i="1"/>
  <c r="C755" i="1"/>
  <c r="C451" i="1" l="1"/>
  <c r="H450" i="1"/>
  <c r="D450" i="1"/>
  <c r="D755" i="1"/>
  <c r="H755" i="1"/>
  <c r="C756" i="1"/>
  <c r="D341" i="1"/>
  <c r="H341" i="1"/>
  <c r="C342" i="1"/>
  <c r="D451" i="1" l="1"/>
  <c r="H451" i="1"/>
  <c r="C452" i="1"/>
  <c r="H342" i="1"/>
  <c r="D342" i="1"/>
  <c r="C343" i="1"/>
  <c r="D756" i="1"/>
  <c r="C757" i="1"/>
  <c r="H756" i="1"/>
  <c r="D452" i="1" l="1"/>
  <c r="H452" i="1"/>
  <c r="C453" i="1"/>
  <c r="D343" i="1"/>
  <c r="C344" i="1"/>
  <c r="H343" i="1"/>
  <c r="D757" i="1"/>
  <c r="H757" i="1"/>
  <c r="C758" i="1"/>
  <c r="H453" i="1" l="1"/>
  <c r="C454" i="1"/>
  <c r="D453" i="1"/>
  <c r="H758" i="1"/>
  <c r="D758" i="1"/>
  <c r="C759" i="1"/>
  <c r="D344" i="1"/>
  <c r="C345" i="1"/>
  <c r="H344" i="1"/>
  <c r="D454" i="1" l="1"/>
  <c r="C455" i="1"/>
  <c r="H454" i="1"/>
  <c r="H345" i="1"/>
  <c r="D345" i="1"/>
  <c r="C346" i="1"/>
  <c r="H759" i="1"/>
  <c r="D759" i="1"/>
  <c r="C760" i="1"/>
  <c r="H455" i="1" l="1"/>
  <c r="D455" i="1"/>
  <c r="C456" i="1"/>
  <c r="H760" i="1"/>
  <c r="D760" i="1"/>
  <c r="C761" i="1"/>
  <c r="H346" i="1"/>
  <c r="D346" i="1"/>
  <c r="C347" i="1"/>
  <c r="H456" i="1" l="1"/>
  <c r="D456" i="1"/>
  <c r="C457" i="1"/>
  <c r="C348" i="1"/>
  <c r="H347" i="1"/>
  <c r="D347" i="1"/>
  <c r="H761" i="1"/>
  <c r="D761" i="1"/>
  <c r="C762" i="1"/>
  <c r="D457" i="1" l="1"/>
  <c r="H457" i="1"/>
  <c r="C458" i="1"/>
  <c r="H762" i="1"/>
  <c r="D762" i="1"/>
  <c r="C763" i="1"/>
  <c r="D348" i="1"/>
  <c r="H348" i="1"/>
  <c r="C349" i="1"/>
  <c r="H458" i="1" l="1"/>
  <c r="D458" i="1"/>
  <c r="C459" i="1"/>
  <c r="D349" i="1"/>
  <c r="C350" i="1"/>
  <c r="H349" i="1"/>
  <c r="H763" i="1"/>
  <c r="C764" i="1"/>
  <c r="D763" i="1"/>
  <c r="H459" i="1" l="1"/>
  <c r="D459" i="1"/>
  <c r="C460" i="1"/>
  <c r="H764" i="1"/>
  <c r="D764" i="1"/>
  <c r="C765" i="1"/>
  <c r="D350" i="1"/>
  <c r="H350" i="1"/>
  <c r="C351" i="1"/>
  <c r="C461" i="1" l="1"/>
  <c r="H460" i="1"/>
  <c r="D460" i="1"/>
  <c r="H351" i="1"/>
  <c r="D351" i="1"/>
  <c r="C352" i="1"/>
  <c r="H765" i="1"/>
  <c r="D765" i="1"/>
  <c r="C766" i="1"/>
  <c r="C462" i="1" l="1"/>
  <c r="H461" i="1"/>
  <c r="D461" i="1"/>
  <c r="D766" i="1"/>
  <c r="H766" i="1"/>
  <c r="C767" i="1"/>
  <c r="C353" i="1"/>
  <c r="H352" i="1"/>
  <c r="D352" i="1"/>
  <c r="D462" i="1" l="1"/>
  <c r="H462" i="1"/>
  <c r="C463" i="1"/>
  <c r="D353" i="1"/>
  <c r="C354" i="1"/>
  <c r="H353" i="1"/>
  <c r="D767" i="1"/>
  <c r="H767" i="1"/>
  <c r="C768" i="1"/>
  <c r="H463" i="1" l="1"/>
  <c r="C464" i="1"/>
  <c r="D463" i="1"/>
  <c r="H354" i="1"/>
  <c r="D354" i="1"/>
  <c r="C355" i="1"/>
  <c r="D768" i="1"/>
  <c r="C769" i="1"/>
  <c r="H768" i="1"/>
  <c r="D464" i="1" l="1"/>
  <c r="C465" i="1"/>
  <c r="H464" i="1"/>
  <c r="H769" i="1"/>
  <c r="D769" i="1"/>
  <c r="C770" i="1"/>
  <c r="H355" i="1"/>
  <c r="D355" i="1"/>
  <c r="C356" i="1"/>
  <c r="H465" i="1" l="1"/>
  <c r="C466" i="1"/>
  <c r="D465" i="1"/>
  <c r="D356" i="1"/>
  <c r="H356" i="1"/>
  <c r="C357" i="1"/>
  <c r="D770" i="1"/>
  <c r="H770" i="1"/>
  <c r="C771" i="1"/>
  <c r="H466" i="1" l="1"/>
  <c r="D466" i="1"/>
  <c r="C467" i="1"/>
  <c r="H771" i="1"/>
  <c r="D771" i="1"/>
  <c r="C772" i="1"/>
  <c r="H357" i="1"/>
  <c r="D357" i="1"/>
  <c r="C358" i="1"/>
  <c r="C468" i="1" l="1"/>
  <c r="H467" i="1"/>
  <c r="D467" i="1"/>
  <c r="D358" i="1"/>
  <c r="C359" i="1"/>
  <c r="H358" i="1"/>
  <c r="H772" i="1"/>
  <c r="D772" i="1"/>
  <c r="C773" i="1"/>
  <c r="H468" i="1" l="1"/>
  <c r="D468" i="1"/>
  <c r="C469" i="1"/>
  <c r="H773" i="1"/>
  <c r="D773" i="1"/>
  <c r="C774" i="1"/>
  <c r="H359" i="1"/>
  <c r="D359" i="1"/>
  <c r="C360" i="1"/>
  <c r="D469" i="1" l="1"/>
  <c r="H469" i="1"/>
  <c r="C470" i="1"/>
  <c r="H360" i="1"/>
  <c r="D360" i="1"/>
  <c r="C361" i="1"/>
  <c r="D774" i="1"/>
  <c r="C775" i="1"/>
  <c r="H774" i="1"/>
  <c r="H470" i="1" l="1"/>
  <c r="D470" i="1"/>
  <c r="C471" i="1"/>
  <c r="H775" i="1"/>
  <c r="D775" i="1"/>
  <c r="C776" i="1"/>
  <c r="C362" i="1"/>
  <c r="H361" i="1"/>
  <c r="D361" i="1"/>
  <c r="D471" i="1" l="1"/>
  <c r="H471" i="1"/>
  <c r="C472" i="1"/>
  <c r="D362" i="1"/>
  <c r="H362" i="1"/>
  <c r="C363" i="1"/>
  <c r="D776" i="1"/>
  <c r="H776" i="1"/>
  <c r="C777" i="1"/>
  <c r="H472" i="1" l="1"/>
  <c r="D472" i="1"/>
  <c r="C473" i="1"/>
  <c r="H363" i="1"/>
  <c r="D363" i="1"/>
  <c r="C364" i="1"/>
  <c r="D777" i="1"/>
  <c r="C778" i="1"/>
  <c r="H777" i="1"/>
  <c r="C474" i="1" l="1"/>
  <c r="H473" i="1"/>
  <c r="D473" i="1"/>
  <c r="H778" i="1"/>
  <c r="D778" i="1"/>
  <c r="C779" i="1"/>
  <c r="C365" i="1"/>
  <c r="H364" i="1"/>
  <c r="D364" i="1"/>
  <c r="D474" i="1" l="1"/>
  <c r="C475" i="1"/>
  <c r="H474" i="1"/>
  <c r="H365" i="1"/>
  <c r="D365" i="1"/>
  <c r="H779" i="1"/>
  <c r="D779" i="1"/>
  <c r="C780" i="1"/>
  <c r="H475" i="1" l="1"/>
  <c r="D475" i="1"/>
  <c r="C476" i="1"/>
  <c r="H780" i="1"/>
  <c r="D780" i="1"/>
  <c r="C781" i="1"/>
  <c r="H476" i="1" l="1"/>
  <c r="C477" i="1"/>
  <c r="D476" i="1"/>
  <c r="H781" i="1"/>
  <c r="D781" i="1"/>
  <c r="C782" i="1"/>
  <c r="D477" i="1" l="1"/>
  <c r="H477" i="1"/>
  <c r="C478" i="1"/>
  <c r="H782" i="1"/>
  <c r="D782" i="1"/>
  <c r="C783" i="1"/>
  <c r="H478" i="1" l="1"/>
  <c r="D478" i="1"/>
  <c r="C479" i="1"/>
  <c r="D783" i="1"/>
  <c r="H783" i="1"/>
  <c r="C784" i="1"/>
  <c r="H479" i="1" l="1"/>
  <c r="C480" i="1"/>
  <c r="D479" i="1"/>
  <c r="H784" i="1"/>
  <c r="D784" i="1"/>
  <c r="C785" i="1"/>
  <c r="H480" i="1" l="1"/>
  <c r="D480" i="1"/>
  <c r="C481" i="1"/>
  <c r="H785" i="1"/>
  <c r="C786" i="1"/>
  <c r="D785" i="1"/>
  <c r="D481" i="1" l="1"/>
  <c r="H481" i="1"/>
  <c r="C482" i="1"/>
  <c r="D786" i="1"/>
  <c r="C787" i="1"/>
  <c r="H786" i="1"/>
  <c r="D482" i="1" l="1"/>
  <c r="C483" i="1"/>
  <c r="H482" i="1"/>
  <c r="D787" i="1"/>
  <c r="H787" i="1"/>
  <c r="C788" i="1"/>
  <c r="C484" i="1" l="1"/>
  <c r="H483" i="1"/>
  <c r="D483" i="1"/>
  <c r="H788" i="1"/>
  <c r="D788" i="1"/>
  <c r="C789" i="1"/>
  <c r="H484" i="1" l="1"/>
  <c r="D484" i="1"/>
  <c r="C485" i="1"/>
  <c r="D789" i="1"/>
  <c r="H789" i="1"/>
  <c r="C790" i="1"/>
  <c r="C486" i="1" l="1"/>
  <c r="H485" i="1"/>
  <c r="D485" i="1"/>
  <c r="H790" i="1"/>
  <c r="D790" i="1"/>
  <c r="C791" i="1"/>
  <c r="D486" i="1" l="1"/>
  <c r="H486" i="1"/>
  <c r="C487" i="1"/>
  <c r="H791" i="1"/>
  <c r="D791" i="1"/>
  <c r="C792" i="1"/>
  <c r="H487" i="1" l="1"/>
  <c r="D487" i="1"/>
  <c r="C488" i="1"/>
  <c r="H792" i="1"/>
  <c r="D792" i="1"/>
  <c r="C793" i="1"/>
  <c r="H488" i="1" l="1"/>
  <c r="C489" i="1"/>
  <c r="D488" i="1"/>
  <c r="H793" i="1"/>
  <c r="D793" i="1"/>
  <c r="C794" i="1"/>
  <c r="D489" i="1" l="1"/>
  <c r="C490" i="1"/>
  <c r="H489" i="1"/>
  <c r="H794" i="1"/>
  <c r="D794" i="1"/>
  <c r="C795" i="1"/>
  <c r="H490" i="1" l="1"/>
  <c r="D490" i="1"/>
  <c r="C491" i="1"/>
  <c r="C796" i="1"/>
  <c r="H795" i="1"/>
  <c r="D795" i="1"/>
  <c r="H491" i="1" l="1"/>
  <c r="D491" i="1"/>
  <c r="C492" i="1"/>
  <c r="H796" i="1"/>
  <c r="D796" i="1"/>
  <c r="C797" i="1"/>
  <c r="D492" i="1" l="1"/>
  <c r="H492" i="1"/>
  <c r="C493" i="1"/>
  <c r="H797" i="1"/>
  <c r="D797" i="1"/>
  <c r="C798" i="1"/>
  <c r="H493" i="1" l="1"/>
  <c r="D493" i="1"/>
  <c r="C494" i="1"/>
  <c r="D798" i="1"/>
  <c r="C799" i="1"/>
  <c r="H798" i="1"/>
  <c r="C495" i="1" l="1"/>
  <c r="H494" i="1"/>
  <c r="D494" i="1"/>
  <c r="D799" i="1"/>
  <c r="H799" i="1"/>
  <c r="C800" i="1"/>
  <c r="D495" i="1" l="1"/>
  <c r="H495" i="1"/>
  <c r="C496" i="1"/>
  <c r="D800" i="1"/>
  <c r="H800" i="1"/>
  <c r="C801" i="1"/>
  <c r="D496" i="1" l="1"/>
  <c r="H496" i="1"/>
  <c r="C497" i="1"/>
  <c r="D801" i="1"/>
  <c r="C802" i="1"/>
  <c r="H801" i="1"/>
  <c r="H497" i="1" l="1"/>
  <c r="D497" i="1"/>
  <c r="C498" i="1"/>
  <c r="H802" i="1"/>
  <c r="D802" i="1"/>
  <c r="C803" i="1"/>
  <c r="D498" i="1" l="1"/>
  <c r="C499" i="1"/>
  <c r="H498" i="1"/>
  <c r="H803" i="1"/>
  <c r="D803" i="1"/>
  <c r="C804" i="1"/>
  <c r="H499" i="1" l="1"/>
  <c r="D499" i="1"/>
  <c r="C500" i="1"/>
  <c r="H804" i="1"/>
  <c r="D804" i="1"/>
  <c r="C805" i="1"/>
  <c r="H500" i="1" l="1"/>
  <c r="D500" i="1"/>
  <c r="C501" i="1"/>
  <c r="H805" i="1"/>
  <c r="D805" i="1"/>
  <c r="C806" i="1"/>
  <c r="D501" i="1" l="1"/>
  <c r="H501" i="1"/>
  <c r="C502" i="1"/>
  <c r="H806" i="1"/>
  <c r="D806" i="1"/>
  <c r="C807" i="1"/>
  <c r="D502" i="1" l="1"/>
  <c r="H502" i="1"/>
  <c r="C503" i="1"/>
  <c r="C808" i="1"/>
  <c r="H807" i="1"/>
  <c r="D807" i="1"/>
  <c r="C504" i="1" l="1"/>
  <c r="D503" i="1"/>
  <c r="H503" i="1"/>
  <c r="H808" i="1"/>
  <c r="D808" i="1"/>
  <c r="C809" i="1"/>
  <c r="D504" i="1" l="1"/>
  <c r="H504" i="1"/>
  <c r="C505" i="1"/>
  <c r="C810" i="1"/>
  <c r="H809" i="1"/>
  <c r="D809" i="1"/>
  <c r="H505" i="1" l="1"/>
  <c r="D505" i="1"/>
  <c r="C506" i="1"/>
  <c r="D810" i="1"/>
  <c r="C811" i="1"/>
  <c r="H810" i="1"/>
  <c r="C507" i="1" l="1"/>
  <c r="D506" i="1"/>
  <c r="H506" i="1"/>
  <c r="H811" i="1"/>
  <c r="D811" i="1"/>
  <c r="C812" i="1"/>
  <c r="D507" i="1" l="1"/>
  <c r="H507" i="1"/>
  <c r="C508" i="1"/>
  <c r="D812" i="1"/>
  <c r="H812" i="1"/>
  <c r="C813" i="1"/>
  <c r="D508" i="1" l="1"/>
  <c r="H508" i="1"/>
  <c r="C509" i="1"/>
  <c r="D813" i="1"/>
  <c r="H813" i="1"/>
  <c r="C814" i="1"/>
  <c r="C510" i="1" l="1"/>
  <c r="D509" i="1"/>
  <c r="H509" i="1"/>
  <c r="H814" i="1"/>
  <c r="D814" i="1"/>
  <c r="C815" i="1"/>
  <c r="H510" i="1" l="1"/>
  <c r="D510" i="1"/>
  <c r="C511" i="1"/>
  <c r="C816" i="1"/>
  <c r="H815" i="1"/>
  <c r="D815" i="1"/>
  <c r="H511" i="1" l="1"/>
  <c r="D511" i="1"/>
  <c r="C512" i="1"/>
  <c r="H816" i="1"/>
  <c r="D816" i="1"/>
  <c r="C817" i="1"/>
  <c r="H512" i="1" l="1"/>
  <c r="D512" i="1"/>
  <c r="C513" i="1"/>
  <c r="H817" i="1"/>
  <c r="D817" i="1"/>
  <c r="C818" i="1"/>
  <c r="D513" i="1" l="1"/>
  <c r="H513" i="1"/>
  <c r="C514" i="1"/>
  <c r="H818" i="1"/>
  <c r="C819" i="1"/>
  <c r="D818" i="1"/>
  <c r="H514" i="1" l="1"/>
  <c r="D514" i="1"/>
  <c r="C515" i="1"/>
  <c r="D819" i="1"/>
  <c r="C820" i="1"/>
  <c r="H819" i="1"/>
  <c r="H515" i="1" l="1"/>
  <c r="D515" i="1"/>
  <c r="C516" i="1"/>
  <c r="H820" i="1"/>
  <c r="D820" i="1"/>
  <c r="C821" i="1"/>
  <c r="D516" i="1" l="1"/>
  <c r="C517" i="1"/>
  <c r="H516" i="1"/>
  <c r="C822" i="1"/>
  <c r="H821" i="1"/>
  <c r="D821" i="1"/>
  <c r="H517" i="1" l="1"/>
  <c r="D517" i="1"/>
  <c r="C518" i="1"/>
  <c r="D822" i="1"/>
  <c r="C823" i="1"/>
  <c r="H822" i="1"/>
  <c r="C519" i="1" l="1"/>
  <c r="D518" i="1"/>
  <c r="H518" i="1"/>
  <c r="H823" i="1"/>
  <c r="D823" i="1"/>
  <c r="C824" i="1"/>
  <c r="D519" i="1" l="1"/>
  <c r="C520" i="1"/>
  <c r="H519" i="1"/>
  <c r="D824" i="1"/>
  <c r="H824" i="1"/>
  <c r="C825" i="1"/>
  <c r="D520" i="1" l="1"/>
  <c r="C521" i="1"/>
  <c r="H520" i="1"/>
  <c r="D825" i="1"/>
  <c r="H825" i="1"/>
  <c r="C826" i="1"/>
  <c r="C522" i="1" l="1"/>
  <c r="H521" i="1"/>
  <c r="D521" i="1"/>
  <c r="H826" i="1"/>
  <c r="D826" i="1"/>
  <c r="C827" i="1"/>
  <c r="D522" i="1" l="1"/>
  <c r="C523" i="1"/>
  <c r="H522" i="1"/>
  <c r="H827" i="1"/>
  <c r="D827" i="1"/>
  <c r="C828" i="1"/>
  <c r="H523" i="1" l="1"/>
  <c r="D523" i="1"/>
  <c r="C524" i="1"/>
  <c r="H828" i="1"/>
  <c r="D828" i="1"/>
  <c r="C829" i="1"/>
  <c r="H524" i="1" l="1"/>
  <c r="C525" i="1"/>
  <c r="D524" i="1"/>
  <c r="H829" i="1"/>
  <c r="D829" i="1"/>
  <c r="C830" i="1"/>
  <c r="H525" i="1" l="1"/>
  <c r="C526" i="1"/>
  <c r="D525" i="1"/>
  <c r="H830" i="1"/>
  <c r="D830" i="1"/>
  <c r="C831" i="1"/>
  <c r="H526" i="1" l="1"/>
  <c r="D526" i="1"/>
  <c r="C527" i="1"/>
  <c r="H831" i="1"/>
  <c r="D831" i="1"/>
  <c r="C832" i="1"/>
  <c r="D527" i="1" l="1"/>
  <c r="C528" i="1"/>
  <c r="H527" i="1"/>
  <c r="H832" i="1"/>
  <c r="D832" i="1"/>
  <c r="C833" i="1"/>
  <c r="H528" i="1" l="1"/>
  <c r="D528" i="1"/>
  <c r="C529" i="1"/>
  <c r="D833" i="1"/>
  <c r="C834" i="1"/>
  <c r="H833" i="1"/>
  <c r="D529" i="1" l="1"/>
  <c r="H529" i="1"/>
  <c r="C530" i="1"/>
  <c r="D834" i="1"/>
  <c r="C835" i="1"/>
  <c r="H834" i="1"/>
  <c r="H530" i="1" l="1"/>
  <c r="C531" i="1"/>
  <c r="D530" i="1"/>
  <c r="H835" i="1"/>
  <c r="D835" i="1"/>
  <c r="C836" i="1"/>
  <c r="D531" i="1" l="1"/>
  <c r="C532" i="1"/>
  <c r="H531" i="1"/>
  <c r="D836" i="1"/>
  <c r="H836" i="1"/>
  <c r="C837" i="1"/>
  <c r="D532" i="1" l="1"/>
  <c r="H532" i="1"/>
  <c r="C533" i="1"/>
  <c r="D837" i="1"/>
  <c r="H837" i="1"/>
  <c r="C838" i="1"/>
  <c r="C534" i="1" l="1"/>
  <c r="D533" i="1"/>
  <c r="H533" i="1"/>
  <c r="H838" i="1"/>
  <c r="D838" i="1"/>
  <c r="C839" i="1"/>
  <c r="H534" i="1" l="1"/>
  <c r="D534" i="1"/>
  <c r="C535" i="1"/>
  <c r="C840" i="1"/>
  <c r="H839" i="1"/>
  <c r="D839" i="1"/>
  <c r="D535" i="1" l="1"/>
  <c r="C536" i="1"/>
  <c r="H535" i="1"/>
  <c r="H840" i="1"/>
  <c r="D840" i="1"/>
  <c r="C841" i="1"/>
  <c r="D536" i="1" l="1"/>
  <c r="H536" i="1"/>
  <c r="C537" i="1"/>
  <c r="H841" i="1"/>
  <c r="D841" i="1"/>
  <c r="C842" i="1"/>
  <c r="H537" i="1" l="1"/>
  <c r="C538" i="1"/>
  <c r="D537" i="1"/>
  <c r="H842" i="1"/>
  <c r="D842" i="1"/>
  <c r="C843" i="1"/>
  <c r="H538" i="1" l="1"/>
  <c r="C539" i="1"/>
  <c r="D538" i="1"/>
  <c r="H843" i="1"/>
  <c r="D843" i="1"/>
  <c r="C844" i="1"/>
  <c r="D539" i="1" l="1"/>
  <c r="C540" i="1"/>
  <c r="H539" i="1"/>
  <c r="H844" i="1"/>
  <c r="D844" i="1"/>
  <c r="C845" i="1"/>
  <c r="H540" i="1" l="1"/>
  <c r="D540" i="1"/>
  <c r="C541" i="1"/>
  <c r="H845" i="1"/>
  <c r="C846" i="1"/>
  <c r="D845" i="1"/>
  <c r="H541" i="1" l="1"/>
  <c r="D541" i="1"/>
  <c r="C542" i="1"/>
  <c r="D846" i="1"/>
  <c r="C847" i="1"/>
  <c r="H846" i="1"/>
  <c r="H542" i="1" l="1"/>
  <c r="D542" i="1"/>
  <c r="C543" i="1"/>
  <c r="H847" i="1"/>
  <c r="D847" i="1"/>
  <c r="C848" i="1"/>
  <c r="D543" i="1" l="1"/>
  <c r="H543" i="1"/>
  <c r="C544" i="1"/>
  <c r="D848" i="1"/>
  <c r="H848" i="1"/>
  <c r="C849" i="1"/>
  <c r="D544" i="1" l="1"/>
  <c r="C545" i="1"/>
  <c r="H544" i="1"/>
  <c r="D849" i="1"/>
  <c r="H849" i="1"/>
  <c r="C850" i="1"/>
  <c r="C546" i="1" l="1"/>
  <c r="H545" i="1"/>
  <c r="D545" i="1"/>
  <c r="H850" i="1"/>
  <c r="D850" i="1"/>
  <c r="C851" i="1"/>
  <c r="H546" i="1" l="1"/>
  <c r="C547" i="1"/>
  <c r="D546" i="1"/>
  <c r="H851" i="1"/>
  <c r="D851" i="1"/>
  <c r="C852" i="1"/>
  <c r="H547" i="1" l="1"/>
  <c r="D547" i="1"/>
  <c r="C548" i="1"/>
  <c r="H852" i="1"/>
  <c r="D852" i="1"/>
  <c r="C853" i="1"/>
  <c r="H548" i="1" l="1"/>
  <c r="D548" i="1"/>
  <c r="C549" i="1"/>
  <c r="H853" i="1"/>
  <c r="D853" i="1"/>
  <c r="C854" i="1"/>
  <c r="D549" i="1" l="1"/>
  <c r="H549" i="1"/>
  <c r="C550" i="1"/>
  <c r="H854" i="1"/>
  <c r="D854" i="1"/>
  <c r="C855" i="1"/>
  <c r="H550" i="1" l="1"/>
  <c r="C551" i="1"/>
  <c r="D550" i="1"/>
  <c r="H855" i="1"/>
  <c r="D855" i="1"/>
  <c r="C856" i="1"/>
  <c r="H551" i="1" l="1"/>
  <c r="D551" i="1"/>
  <c r="C552" i="1"/>
  <c r="H856" i="1"/>
  <c r="D856" i="1"/>
  <c r="C857" i="1"/>
  <c r="H552" i="1" l="1"/>
  <c r="D552" i="1"/>
  <c r="C553" i="1"/>
  <c r="C858" i="1"/>
  <c r="H857" i="1"/>
  <c r="D857" i="1"/>
  <c r="H553" i="1" l="1"/>
  <c r="D553" i="1"/>
  <c r="C554" i="1"/>
  <c r="D858" i="1"/>
  <c r="C859" i="1"/>
  <c r="H858" i="1"/>
  <c r="C555" i="1" l="1"/>
  <c r="H554" i="1"/>
  <c r="D554" i="1"/>
  <c r="D859" i="1"/>
  <c r="H859" i="1"/>
  <c r="C860" i="1"/>
  <c r="D555" i="1" l="1"/>
  <c r="H555" i="1"/>
  <c r="C556" i="1"/>
  <c r="D860" i="1"/>
  <c r="H860" i="1"/>
  <c r="C861" i="1"/>
  <c r="D556" i="1" l="1"/>
  <c r="H556" i="1"/>
  <c r="C557" i="1"/>
  <c r="D861" i="1"/>
  <c r="H861" i="1"/>
  <c r="C862" i="1"/>
  <c r="C558" i="1" l="1"/>
  <c r="D557" i="1"/>
  <c r="H557" i="1"/>
  <c r="H862" i="1"/>
  <c r="D862" i="1"/>
  <c r="C863" i="1"/>
  <c r="D558" i="1" l="1"/>
  <c r="H558" i="1"/>
  <c r="C559" i="1"/>
  <c r="H863" i="1"/>
  <c r="D863" i="1"/>
  <c r="C864" i="1"/>
  <c r="H559" i="1" l="1"/>
  <c r="D559" i="1"/>
  <c r="C560" i="1"/>
  <c r="H864" i="1"/>
  <c r="D864" i="1"/>
  <c r="C865" i="1"/>
  <c r="H560" i="1" l="1"/>
  <c r="D560" i="1"/>
  <c r="C561" i="1"/>
  <c r="H865" i="1"/>
  <c r="D865" i="1"/>
  <c r="C866" i="1"/>
  <c r="H561" i="1" l="1"/>
  <c r="D561" i="1"/>
  <c r="H866" i="1"/>
  <c r="D866" i="1"/>
  <c r="C867" i="1"/>
  <c r="H867" i="1" l="1"/>
  <c r="D867" i="1"/>
  <c r="C868" i="1"/>
  <c r="H868" i="1" l="1"/>
  <c r="D868" i="1"/>
  <c r="C869" i="1"/>
  <c r="C870" i="1" l="1"/>
  <c r="H869" i="1"/>
  <c r="D869" i="1"/>
  <c r="D870" i="1" l="1"/>
  <c r="H870" i="1"/>
  <c r="C871" i="1"/>
  <c r="D871" i="1" l="1"/>
  <c r="H871" i="1"/>
  <c r="C872" i="1"/>
  <c r="D872" i="1" l="1"/>
  <c r="H872" i="1"/>
  <c r="C873" i="1"/>
  <c r="D873" i="1" l="1"/>
  <c r="H873" i="1"/>
  <c r="C874" i="1"/>
  <c r="H874" i="1" l="1"/>
  <c r="D874" i="1"/>
  <c r="C875" i="1"/>
  <c r="H875" i="1" l="1"/>
  <c r="D875" i="1"/>
  <c r="C876" i="1"/>
  <c r="H876" i="1" l="1"/>
  <c r="D876" i="1"/>
  <c r="C877" i="1"/>
  <c r="H877" i="1" l="1"/>
  <c r="D877" i="1"/>
  <c r="C878" i="1"/>
  <c r="H878" i="1" l="1"/>
  <c r="D878" i="1"/>
  <c r="C879" i="1"/>
  <c r="H879" i="1" l="1"/>
  <c r="D879" i="1"/>
  <c r="C880" i="1"/>
  <c r="H880" i="1" l="1"/>
  <c r="D880" i="1"/>
  <c r="C881" i="1"/>
  <c r="C882" i="1" l="1"/>
  <c r="H881" i="1"/>
  <c r="D881" i="1"/>
  <c r="D882" i="1" l="1"/>
  <c r="H882" i="1"/>
  <c r="C883" i="1"/>
  <c r="D883" i="1" l="1"/>
  <c r="H883" i="1"/>
  <c r="C884" i="1"/>
  <c r="D884" i="1" l="1"/>
  <c r="H884" i="1"/>
  <c r="C885" i="1"/>
  <c r="D885" i="1" l="1"/>
  <c r="H885" i="1"/>
  <c r="C886" i="1"/>
  <c r="H886" i="1" l="1"/>
  <c r="D886" i="1"/>
  <c r="C887" i="1"/>
  <c r="H887" i="1" l="1"/>
  <c r="D887" i="1"/>
  <c r="C888" i="1"/>
  <c r="H888" i="1" l="1"/>
  <c r="D888" i="1"/>
  <c r="C889" i="1"/>
  <c r="H889" i="1" l="1"/>
  <c r="D889" i="1"/>
  <c r="C890" i="1"/>
  <c r="H890" i="1" l="1"/>
  <c r="D890" i="1"/>
</calcChain>
</file>

<file path=xl/sharedStrings.xml><?xml version="1.0" encoding="utf-8"?>
<sst xmlns="http://schemas.openxmlformats.org/spreadsheetml/2006/main" count="8367" uniqueCount="324">
  <si>
    <t>Scope/Entity</t>
  </si>
  <si>
    <t>Service/Entity</t>
  </si>
  <si>
    <t>count</t>
  </si>
  <si>
    <t>entity_type</t>
  </si>
  <si>
    <t>scope</t>
  </si>
  <si>
    <t>scope_description</t>
  </si>
  <si>
    <t>service_identifier</t>
  </si>
  <si>
    <t>service_display_text</t>
  </si>
  <si>
    <t>service_description</t>
  </si>
  <si>
    <t>service_endpoint</t>
  </si>
  <si>
    <t>setting_identifier</t>
  </si>
  <si>
    <t>settings_table</t>
  </si>
  <si>
    <t>service_table</t>
  </si>
  <si>
    <t>latest_value</t>
  </si>
  <si>
    <t>latest_value_timestamp</t>
  </si>
  <si>
    <t>Parent</t>
  </si>
  <si>
    <t>AML</t>
  </si>
  <si>
    <t>Anti-Money Laundering Service</t>
  </si>
  <si>
    <t>aml.service.aml</t>
  </si>
  <si>
    <t>Designed to detect risks associated with money laundering activities</t>
  </si>
  <si>
    <t>/</t>
  </si>
  <si>
    <t>entity_service_type_setting</t>
  </si>
  <si>
    <t>entity_service_setting</t>
  </si>
  <si>
    <t>Integrator</t>
  </si>
  <si>
    <t>Person</t>
  </si>
  <si>
    <t>AVS</t>
  </si>
  <si>
    <t>Account Verification Service API</t>
  </si>
  <si>
    <t>avs.services.avs</t>
  </si>
  <si>
    <t>Account Verification</t>
  </si>
  <si>
    <t>Can perform account verification</t>
  </si>
  <si>
    <t>avs.easydebit.profile</t>
  </si>
  <si>
    <t>Device</t>
  </si>
  <si>
    <t>avs.track.request</t>
  </si>
  <si>
    <t>ivs.track.request</t>
  </si>
  <si>
    <t>BIVS</t>
  </si>
  <si>
    <t>Batch Identity Verification Service API</t>
  </si>
  <si>
    <t>bivs.services.bivs</t>
  </si>
  <si>
    <t>Batch IVS</t>
  </si>
  <si>
    <t>Can upload ivs batch</t>
  </si>
  <si>
    <t>bivs.track.request</t>
  </si>
  <si>
    <t>BMS</t>
  </si>
  <si>
    <t>Messaging Service API</t>
  </si>
  <si>
    <t>bms.services.bms</t>
  </si>
  <si>
    <t>Messaging Service</t>
  </si>
  <si>
    <t>Can perform the sending of sms</t>
  </si>
  <si>
    <t>BPS</t>
  </si>
  <si>
    <t>Bitventure Payment Service</t>
  </si>
  <si>
    <t>bps.services.rtc</t>
  </si>
  <si>
    <t>Realtime Payments</t>
  </si>
  <si>
    <t>Realtime Payments Service</t>
  </si>
  <si>
    <t>/rtc</t>
  </si>
  <si>
    <t>bps.ed.ws.gc</t>
  </si>
  <si>
    <t>BARRTC</t>
  </si>
  <si>
    <t>bps.ed.ws.pwd</t>
  </si>
  <si>
    <t>47baa419f3225b2688f395203d3338d8a971cd5e4569b6eeb146ba78f7ae56e9</t>
  </si>
  <si>
    <t>bps.ed.ws.usr</t>
  </si>
  <si>
    <t>EDTESTRTC</t>
  </si>
  <si>
    <t>bps.entity.reference</t>
  </si>
  <si>
    <t>BARKO</t>
  </si>
  <si>
    <t>BSS</t>
  </si>
  <si>
    <t>Bank Statement Service API</t>
  </si>
  <si>
    <t>bss.services.bss</t>
  </si>
  <si>
    <t>Bank Statements Service</t>
  </si>
  <si>
    <t>Can perform the retrievel of bank statements</t>
  </si>
  <si>
    <t>bss.redirect.url</t>
  </si>
  <si>
    <t>http://www.bitventure.co.za</t>
  </si>
  <si>
    <t>bss.sms.footer</t>
  </si>
  <si>
    <t>Graceful Enterprise (EasyAVS)</t>
  </si>
  <si>
    <t>bss.sms.header</t>
  </si>
  <si>
    <t xml:space="preserve">Bank Statement Service. Please retrieve your statements - </t>
  </si>
  <si>
    <t>entity.redirect.url</t>
  </si>
  <si>
    <t>https://www.bitventure.co.za/</t>
  </si>
  <si>
    <t>entity.webhook.url</t>
  </si>
  <si>
    <t>https://api.bitventure.co.za/demo/api/Webhook/BankStatements/</t>
  </si>
  <si>
    <t>message.footer</t>
  </si>
  <si>
    <t>Bitventure Consulting (Pty) Ltd</t>
  </si>
  <si>
    <t>message.header</t>
  </si>
  <si>
    <t xml:space="preserve">Bitventure Bank Statement Service. Please login to your bank - </t>
  </si>
  <si>
    <t>BVS</t>
  </si>
  <si>
    <t>Biometric Verification Service</t>
  </si>
  <si>
    <t>bvs.services.bvs</t>
  </si>
  <si>
    <t>Web Service</t>
  </si>
  <si>
    <t>CDS</t>
  </si>
  <si>
    <t>Card Disbursement Service</t>
  </si>
  <si>
    <t>cds.services.cds</t>
  </si>
  <si>
    <t>Card Disbursement</t>
  </si>
  <si>
    <t>CDVS</t>
  </si>
  <si>
    <t>Check-Digit Validation Service</t>
  </si>
  <si>
    <t>cdvs.services.cdvs</t>
  </si>
  <si>
    <t>Can perform a check-digit validation check</t>
  </si>
  <si>
    <t>CMS</t>
  </si>
  <si>
    <t>Client Management Service</t>
  </si>
  <si>
    <t>cms.services.cms</t>
  </si>
  <si>
    <t>cms.track.request</t>
  </si>
  <si>
    <t>cms.services.entity</t>
  </si>
  <si>
    <t>Entity Management</t>
  </si>
  <si>
    <t>/entity</t>
  </si>
  <si>
    <t>COVS</t>
  </si>
  <si>
    <t>Company Verification Service</t>
  </si>
  <si>
    <t>covs.services.covs</t>
  </si>
  <si>
    <t>Company Verification</t>
  </si>
  <si>
    <t>CRS</t>
  </si>
  <si>
    <t>Credit Rating Service</t>
  </si>
  <si>
    <t>crs.service.afa</t>
  </si>
  <si>
    <t>Affordability Assessment Service</t>
  </si>
  <si>
    <t>Can perform affordability assessment check</t>
  </si>
  <si>
    <t>/afa</t>
  </si>
  <si>
    <t>afa.disposable.income.threshold.percentage</t>
  </si>
  <si>
    <t>afa.threshold.percentage</t>
  </si>
  <si>
    <t>afa.track.request</t>
  </si>
  <si>
    <t>crs.cpb.enquiry.done.by</t>
  </si>
  <si>
    <t>Group Five Partners</t>
  </si>
  <si>
    <t>crs.track.request</t>
  </si>
  <si>
    <t>crs.services.crs</t>
  </si>
  <si>
    <t>crs.services.report</t>
  </si>
  <si>
    <t>Credit Report Service</t>
  </si>
  <si>
    <t>Can perform credit report check</t>
  </si>
  <si>
    <t>/creditreport</t>
  </si>
  <si>
    <t>CVS</t>
  </si>
  <si>
    <t>Contact Verification Service API</t>
  </si>
  <si>
    <t>cvs.services.cvs</t>
  </si>
  <si>
    <t>Contact Verification Service</t>
  </si>
  <si>
    <t>Can perform retrieval of contact information</t>
  </si>
  <si>
    <t>cvs.track.request</t>
  </si>
  <si>
    <t>FMS</t>
  </si>
  <si>
    <t>Fingerprint Matching Service</t>
  </si>
  <si>
    <t>fms.services.match</t>
  </si>
  <si>
    <t>Fingerprint Matching Service - Fingerprint Matching</t>
  </si>
  <si>
    <t>Can perform fingerprint matching</t>
  </si>
  <si>
    <t>/match</t>
  </si>
  <si>
    <t>fms.services.register</t>
  </si>
  <si>
    <t>Fingerprint Matching Service - Fingerprint Registration</t>
  </si>
  <si>
    <t>Can register a new fingerprint into the fingerprint store</t>
  </si>
  <si>
    <t>/match/register</t>
  </si>
  <si>
    <t>FVS</t>
  </si>
  <si>
    <t>Facial Verification Service</t>
  </si>
  <si>
    <t>fvs.services.fvs</t>
  </si>
  <si>
    <t>fvs.track.request</t>
  </si>
  <si>
    <t>fvs.services.liveness</t>
  </si>
  <si>
    <t>Facial Liveness &amp; Verification Service</t>
  </si>
  <si>
    <t>/liveness</t>
  </si>
  <si>
    <t>fvs.liveness.logo</t>
  </si>
  <si>
    <t>iVBORw0KGgoAAAANSUhEUgAAAZAAAABoCAYAAADfCaYMAAAACXBIWXMAABYlAAAWJQFJUiTwAAASU0lEQVR4nO2dS3IayRaGkxs9l3cgeQEK0SswngET4QjNhVdgvIJGKzBeQcNcEUYTSbNGK7gQWkDDCq5YATcSnxRHqcysV1ZVZvF/EYpWIwxFVZF/nndrt9sJAAAAICv/wRkDAACQBwgIAACAXEBAAAAA5AICAgAAIBcQEAAAALmAgAAAAMgFBAQAAEAuICAAAAByAQEBAACQCwgIAACAXEBAAAAA5AICAgAAIBcQEAAAALn449hOW+v2uUO/toUQHyxPW6uf3dX5usLDAwCAaGh0O/fW7bMUiQ79yN9Pc77UkxBiKYRYyJ/d1fmL50MFAIDoaJyAkGiMSDTyCkYSKyHEVAgxh4UCADhWGiEgrdtn6YoaknDYRGNDVsSSuahcdMjFJQXpk+N5d0KIye7qfOH/kwEAQLhELSAkHCP6OdH+vJUWAnM7FbIUmDtMCtWF4SlSoMa7q/NpkfcBAIBYiFZAWrfPY4twzMi1NLf8uzMhBP8xsbcmbFYFvcbAYvFI99YIFgkAoOlEJyCURTXVFm5pbUzk47qlQc9XPy5XlI0NC6C/i3nQ648Nrz0jIUHAHQDQSKISkNbtsxSJb9rDNxSDeGHPU66mgcFCKYoxgG4REilsQ5s1BAAAMROFgJDLaK7FHp5oceaL+JAW8bKyr3RmJF5L7RgmmnD93F2djyo6JgAAqITgBYR29nO2IG/JNTRlz6laOHTu6JjW4hDcl8d3yZ4nBW8AlxYAoCkELSAkDH+zh1a0CKuFuk27/TyxjTJ4405r3T5Lq+OHdvwdiAgAoAkEKyAG8XgTlKYsrL/qO0IrGxK5pTiI3IJZUBARAEAjCFJATOKxuzofioN7aB6Q1WHj++7qXFpHSkSmLIYDEQEARE9wAtK6fZaZU7/YQ19VvMOwmw8dXfgWEBEAQFMISkAMAnGzuzofW/4WC69CQSKyZMH+p93VeSeyzwMAAHuCmQfCXFNKIGYNEA9BFsdCfj6yNgaUSSb5RLUtAAAQHSENlJpqO3Pl+olZPBQXrD3KkqriFd/IbQcAAFERhIBQuquqmdjSLl0VEMYuHoqL1u3zPpZDIvKd/W1KFhgAAERD7QJCC+eYPTRg8YJ5Q8RDcU1iKShD644eP6F6FgAAiIYQLBDe9uMn62I7trRNj50f5JYT1K9LxUOu2bhdAAAInlqzsGjB/If+Vxbgtcn60FN5Q+KJjoW3a5cuqRcSwzSixz8rr1Zf7a7O2wn/FgAAgqBuAVmwgsB9vYch1bVOVmoglTympKFUrdvnLCeTpygvmfB8xVAqAEAM1CYgmvXxuvMOoEXJiiyJTFMMtc+Tlo/yPXRLbHd1bht0BQAAwVBnDIS3N1c78bOaxEPGIX7Sgi5dS+8GU6Ugj+tp/7kp7qNcY6eIhQAAYuCPOo6RhEKl7W7YwKWx45+VgZpkOPHQUiRPLYcMnI9JrHhX4ZEWY/FCv9s7o8B9FvbTGO8fHzKdn36394Hei6cnr+8fH4zuOTo235bX0nTclvd6uX98WOrPTUu/22vTZ5Wf0bn5oOcWqf2xnkdhv87TpOPSXsN0/eR9YL0vq7yGjvezPt8Gu3YK573Q7/YGOTeMzvPneL9hwfOa633TUIsLS3NT8djH/yo8DGlxjH30oip47Lxf1prFfj7msIKs0JdtWSAtet8NOe2Xs9/tLS0JBTf3jw9j7blFj82G3CCc8WNOeK+vroXZBH259QFiktX948O7Rabf7eVxdZr4fv/48C712/H55LnopBVJx/X7bFqMqryG4rCImxJtVvQ5096nc21uj+LL/ePDu0mi/W5PH9GQlQ19j1JNKe13e/J+vC7wfoqPWTYQaanLhcV3R3PDY2Uib7A/5YRAj40Mi+wmr1kRIV8QfFennxX8csubeEE70zTYstFM7rlhSfU+J4adous85KnFMYmHyPj582C7P2yfTz42L+n6iYqvodBc4JyLjNaBSTxcr1/0eyk3iL9IGNLgQzxECZbhnsoFhGog1C77ji3iVYx8vaEYR+IuTLrZZIpt6/Z5TtliLooeuxLPueGxkLhoQMGj69qf0M42FWR92BbNlf9DL8wptQwC9XOd5V4LlTosEL6D2S+YmqiUgTSDv6i0WRvSEpCzSCit9l8yVS+1hf0NdOxFCx73YkEuK7XwXATa3uSa3BVRQq6NmePYs3ypXc8NdaG+JDcMqJ/ou0/UISD8S1eF+2pD7dRdInBGfarWNMiKC8I2YTHw8WW8oMQCoYlVqNlYvndOpQT4CJOb0uV/vk7j5qHn2NwfogIBKbL4jEvYBJR1Dbf0vWwipxQTK5ttguWdmzqysFSm0Yq5r8o6ic6hTbRojxP8jNZYCf17Xz7KAS0Kc5Zg0ElY7Hyx0oSwTaJus6y8VsvLoGy/2/vieN2OYwLlzLHALExBYxnA7Hd7G4fVO0ghAC4RvcuaCUTMUgpPoYwxFQ/xeR1LvIbzMoK/JXGjvewHOh+u6amdAuL7OeXzMmempaVSAWE9oIQ6aeSmKaPnVZJ4jGnRdAX+VglV4T5N0A6lEy9bt8/qsaramrxomTXy90m/27Ol6Hl3YVFWilEs+93e2PElnOZMUZw6ao7SCIjL8sxrfazLSrc0cCHPq54RV4QarmFQ2M5lv9tbOD577s1zCOesahcWXxCXhsd8sbGJB7mrlrR4JGWNWBcJKvZzuTCyws+DKiqse+57iIFgX7gW+UuXi4f+Ztv0bNOmaAbAXxW5UI6dUtxHIVC1gPAvpTqpvm/grWoJr/+BmjTa8tt1eGdgE7593Nyd8nrDsdhIHTR2Xju5Re4cT3G5qFx/i0U8FNMMqb0gH651pO5NYiFqs0BYKq3vBXJoStMll9WvlLnqK1dVPI2h9Z41xlqY8IW7TgGxvXf07gbCtdi7Ejtc7qvYMmtOMYumdBq7Eas6iG7a6fhcIG/0bCuKsUwzuJu2JEK22Ilc5L95OVo7C+afr2V3SDUONpGMbZdtRFad97s9ayGgbHGhB6up7YXtvGwKBreHBpeSHiOUm5thwffRkZln84hcb+AQW9Fps/t5S9/V1B0kslJLLyzm4/f6mnqdB4nHImOQfmQrNCR3UplfMlNGRruCBbut3YyuxIYnz4tX3UwdG4KhwdpwWSZFd/KnKSxbVczp2/UrxfRdyxDgBVect8hamOT+OlEdJMpKK69aQEwf2EcQfat/sXOKx8yWddXQEbuKkwy+2KZVMk8cAjIwCEgI8Y+8fvOV4/ugUnsRVP9N5tRhi0WQlGVahWCX5gYPYaStjwV5zBsP5hQPvRbilZyv11T+blIlMwXTbbvAN4Ve1HrCZiHcRVCvMKcmojY+oUr9lTzX8pPhJ2nNiNptGIKAFEXWary6DnIu9ltXzQhdZIjHgR8UC2gKLquKW7ahZF+5sseSGCekZzft2loJoCXPtqL7prSNTV0xEJ+87phKEg/BCst81n3EzijQho95mDu66g4sv3N8LQRPdP+63EjrInNzZIyDEiT+63jaUTRclBZjv9ur8xCGBWNON+SecgnhPOuIgixULSAmH6zLL5vETNVqFHAzGdN+OSQuA+qX5at1SUjYeuUktWBoBLSozi3X9oQWXOFwt849BZ8XPivDbcgkiH63990x1yJ2a9tH5mKZ7shtlpkgNqq4V5KoWkDUl+zM8Fge+Amc5Lzxf7Vun1e0gM5dTRfl4CcSqrIsEdNNW0WQTfbKeScIVGC2tPj9y+yeXAcTx+YgqXlkdDt2OYyK4jtNtKpTZS4mVOGXJSDfqXVLI7Ld6oqB8MUn74mcqcC5nNtR0DK4oH8vxeRFFgo6KsCH1CqlDNRNa2r5Ujl0kx+LO2PpiA1cOhbaTcR9nIa0G46REM/5nyme025SqnTVAmJq0ZF3gRyLQ2FfkRGTOieU1vmvdFnpMznInVWW718JSBStJRrYRymPWEYrsLSQRT/UyEDaJABX7CCzBUKbkK8JT7tuUqZb1QJiatGRR0D21kcFhX3SKpHv80YwKO7iuxhyy1KRXxfmhH5cVXAUGTnEUQmIOHR0daX2hopr3Ui7sbGKZ96UbApYuwaWCcp0a0QCStUxkIU262KRU0DUl7aKwj75+n+TpcNng0gL6B+P78PPgxLXslxlqUjykTehBTeHgumzDO7Qlefaj7OUVl3ReSBvuH98GNH7xhQ8TxpNLIPU1s4AlKpsu7cLbQ7vHx+G9Pqu8yljUMsi1zGDB6AZ80C0i77f2ZIl4RruoyPrPhbU0LDKG14uKm0pJFJE6BiyHHcSKpvsjL1mVfEPvZWJSFFBW6u4lUiWTDvfTQiv0763HN7kuXeV6lQdRacFSsF1ff9UPcvcEGcdJLihfZzXjiMBRdB5XlC/tbybkLQb2G1ZbWoqdWHR7l0FKrl6ZtnJTqgte9kNDU3IBXXB4iI+v8DqtfKelyKcHFsFrQ2yqtKKY53nwKsfnRax2NwqSe7Da+rA/Y/28y1BKAtfVxZfciUp7NvHVNBO/6QsV3QdWVhqUTxhEwrTXjBVr1Cn3/mCHa+v49iyWpQ6BCQr24a3AE9zXWdNazxIFk2S/z4kJiVkkc18uSXJPZUk9Bcxx9HqFBChdjxUe5HmRpjTya7bzP4kXWhJBYgZ4AKqAnsbj6/vm1FEc6rzkOYL3dTW56NYJlGSgPu0mjYlWHZTw6x0nctYh3pVLiCaWPAsiDRfyJACfd8osO4jG2u/myfXnBJH3wuUj92y/IJ9LrM1QgiQOLp24psAZmeUIuApXC9BZeXRdfjiwRKRojlIYVXmSe8dp+hfZjuvvmKNpVjLdRUSqi/fKZvCl8YlElr189RDoHvFLA2+m/K6SJM5fZPxhtyQQMrFVAZtzzJkXpl2XXldXxPLrvipxEywkWVzsClYO2H7LFmwnkc6H7bjTnVPkYB2DPfKtsB9Wdo1JBE5o/s0q5Bs6F7tpMyIGpEY8PfZpKj/GDo2myvHOjL2II6zsmb4tHa7XRmv637T36KhMghkTceQHl9EOCO4aCbWVzmDhLKv/lWvubs6r7tTaJBQB9WzMlMTdci9IHeI65hcd6Eed9nXkNJb25RJaEp1XdCOfNGw4WiVU4uAiN9isWYL70dK5+14rq0InVeh0Bo1fuct6gEAIETqnAcy1n8vqcI7ZPYBO7I+lFukiJsAAAAqozYBodGxysd6zXpjNWXGRBJPrPPvmAXPJwmzSQAAIAjqnkiot2MX1A8qKe0tdl5nuFMtjHJdNb2+AgDQIGoVEM0KuVQZWbur86Sxm7HDZ7hzwYD1AQCIhhBmor9JXWVtQmKeVeDiTgXIaY6JyjrbkHACAEAU1C4gFDhXRTanzJW1bGA8ZKW5rrhgHEvsBwDQEEKwQIRmbVyr+RsUZE4q0ImFLc1ffyEri7dk+RnA3A8AAMhEEAJCfn9e3TtRjRYpThJTgzcTUjw6rOJ8ylqyyEr0xkwoAwAcD6FYIMqV9Z3+94TapisRGUYsIm/EgwoGL9nfmjhSFABwBAQjIOK3UEyYUCgRORMHEYnNnbUxiAcfGDRg2VgAABAVQQmIOAiFqkaXIrLU3Fk+Om9WgQyYtx3i8RVxDwBAzNTWC8sFBZkXLE6gu4HaWhwhNH6quAZ9lolBPNCuBAAQNUEKiDgsvHNWJyFFZMQX3tbts0yD/au+o3zHhjKt1HxzXQgFxAMA0BSCFRCFwfUzIyHZV2xTjGRacxv4LVWRv9Z10HAonqqr0nibOskOAHBkBC8g4lCx/YM99GanLw4zRsYVC4nqXTVhgmZyWW0oYI7ZAwCAxhCFgIiDQMy1eeh3ZI2s2fPa1CZ9UOLs9A2JxJT3rqICyInhGIfocQUAaBrRCIg47O55HYVipjUoVM8fkJB0PIzDXZGAzXVLgoRjrL3Hlo4J3XUBAI0kKgFRkDUyNYjCjKyCd+mxFCtps58P9MMD3Fs2m3hNP/K1lroFQWI2JGvHdBwjWB0AgCYTpYAoLDt/QS6mOYmJt7gDiYayanQrSFD9yhj1HQCAYyBqAVE4hESQVbEgy0L+d522+pssHWW5dBx1J3cUSIdwAACOhkYIiIIW/GHKAPqGXFQm0mRybciNNkU7EgDAMdIoAeFQAL2TYDlk5YlcYwuk5AIAjp3GCgiHYhfKDaV+F4YgumB9uF7I7bWmIDoEAwAAGEchIAAAAPwTXDdeAAAAcQABAQAAkAsICAAAgFxAQAAAAOQCAgIAACAXEBAAAAC5gIAAAADIBQQEAABALiAgAAAAcgEBAQAAkAsICAAAgOwIIf4PAAzGTi3mSl8AAAAASUVORK5CYII=</t>
  </si>
  <si>
    <t>fvs.liveness.redirect.url</t>
  </si>
  <si>
    <t>fvs.liveness.sms.footer</t>
  </si>
  <si>
    <t>Mokfin Services (EasyAVS)</t>
  </si>
  <si>
    <t>fvs.liveness.sms.header</t>
  </si>
  <si>
    <t xml:space="preserve">Facial Recognition &amp; Liveness Verification. Please verify your identity - </t>
  </si>
  <si>
    <t>IVS</t>
  </si>
  <si>
    <t>Identity Verification Service API</t>
  </si>
  <si>
    <t>ivs.services.bvs</t>
  </si>
  <si>
    <t>IVS BVS</t>
  </si>
  <si>
    <t>/biometrics</t>
  </si>
  <si>
    <t>ivs.services.data</t>
  </si>
  <si>
    <t>IVS Data</t>
  </si>
  <si>
    <t>Can perform identity verification to return data</t>
  </si>
  <si>
    <t>/data</t>
  </si>
  <si>
    <t>ivs.services.ivs</t>
  </si>
  <si>
    <t>Identity Verification</t>
  </si>
  <si>
    <t>Can perform identity verification</t>
  </si>
  <si>
    <t>ivs.services.ivsf</t>
  </si>
  <si>
    <t>Identity Verification Foreigner</t>
  </si>
  <si>
    <t>Can perform identity verification on foreigners</t>
  </si>
  <si>
    <t>/foreign</t>
  </si>
  <si>
    <t>ivs.services.photo</t>
  </si>
  <si>
    <t>IVS Photo</t>
  </si>
  <si>
    <t>Can perform identity verification to return photo</t>
  </si>
  <si>
    <t>/photo</t>
  </si>
  <si>
    <t>OBS</t>
  </si>
  <si>
    <t>Online Banking Service</t>
  </si>
  <si>
    <t>/obs/</t>
  </si>
  <si>
    <t>OCS</t>
  </si>
  <si>
    <t>Online Collection Service API</t>
  </si>
  <si>
    <t>ocs.services.collection</t>
  </si>
  <si>
    <t>Collection</t>
  </si>
  <si>
    <t>Collection submission</t>
  </si>
  <si>
    <t>/collection</t>
  </si>
  <si>
    <t>app.mandate.creation.enabled</t>
  </si>
  <si>
    <t>app.transaction.history.enabled</t>
  </si>
  <si>
    <t>external.status.webhook.url</t>
  </si>
  <si>
    <t>https://api.bitventure.co.za/tca/webhook/easydebit/</t>
  </si>
  <si>
    <t>ocs.df.scheme</t>
  </si>
  <si>
    <t>TTMDGT</t>
  </si>
  <si>
    <t>ocs.easy.loan.webhook.url</t>
  </si>
  <si>
    <t>https://easyloans.co.za/1024/api/Payments/status/update</t>
  </si>
  <si>
    <t>ocs.ed.do.gc</t>
  </si>
  <si>
    <t>null</t>
  </si>
  <si>
    <t>ocs.ed.do.sc.gc.map</t>
  </si>
  <si>
    <t>[{"gc": "null", "map": "null"}]</t>
  </si>
  <si>
    <t>ocs.ed.mandate.default.details</t>
  </si>
  <si>
    <t>{"scheme": "GRPFVPRTN", "tracking": true, "frequency": "MONTHLY", "mandateType": "Usage", "adjustmentType": "RATE", "adjustmentValue": "1", "referenceFormat": "Group5_*******", "adjustmentFrequency": "ANUALLY", "debitClassification": "LRM", "generateInstallment": true, "calculateInstallment": false, "dateAdjustmentAllowed": "Y", "maximumInstallmentAmount": "10000", "generateContractReference": true}</t>
  </si>
  <si>
    <t>ocs.ed.passthrough</t>
  </si>
  <si>
    <t>ocs.ed.sc.gc.map</t>
  </si>
  <si>
    <t>[{"map": "TTMDGT", "gc": "TTMDGT"}]</t>
  </si>
  <si>
    <t>ocs.ed.ul.gc.map</t>
  </si>
  <si>
    <t>ocs.ed.ws.gc</t>
  </si>
  <si>
    <t>ocs.ed.ws.pwd</t>
  </si>
  <si>
    <t>5b0e30511675b5ec3506a7acd2ff64e38122681e0105d33551e6bddf31375bf6</t>
  </si>
  <si>
    <t>ocs.ed.ws.usr</t>
  </si>
  <si>
    <t>TTMDigital</t>
  </si>
  <si>
    <t>ocs.services.debitorder</t>
  </si>
  <si>
    <t>Debit Order</t>
  </si>
  <si>
    <t>Debit Order Service</t>
  </si>
  <si>
    <t>/debitorder</t>
  </si>
  <si>
    <t>ocs.services.mandate</t>
  </si>
  <si>
    <t>Mandate Creation</t>
  </si>
  <si>
    <t>Submit and create a Mandate</t>
  </si>
  <si>
    <t>/mandate</t>
  </si>
  <si>
    <t>[{"map": "KINGBL", "gc": "KINGBL"}]</t>
  </si>
  <si>
    <t>KINGBL</t>
  </si>
  <si>
    <t>OPS</t>
  </si>
  <si>
    <t>Online Payment Service</t>
  </si>
  <si>
    <t>ops.services.cps</t>
  </si>
  <si>
    <t>Card Payment Service</t>
  </si>
  <si>
    <t>Can initiate card payments</t>
  </si>
  <si>
    <t>/cps/</t>
  </si>
  <si>
    <t>cps.chc.access.key</t>
  </si>
  <si>
    <t>a070f78a1b0e32b39d2fa4afe868597c</t>
  </si>
  <si>
    <t>cps.chc.profile.id</t>
  </si>
  <si>
    <t>3512E303-B4D4-4A68-8DDA-CC5C390382E1</t>
  </si>
  <si>
    <t>cps.chc.secret.key</t>
  </si>
  <si>
    <t>4e49b387e60f487bbbda52091483da3eda51a2080907452fa216c60a83894f14c6ec3799ed824508aac1c9811535591fc8a3533aec85418abf6100d2d9d95c1c54fb8b5b9f79493c879164d7d51adf38cec0eee35dea44c0b53e9aa737ad3517143616f0a8ed4c99b1be9eb64b7f02454439a6da92e24a7382a70ad24e381f40</t>
  </si>
  <si>
    <t>ops.logo</t>
  </si>
  <si>
    <t>PD94bWwgdmVyc2lvbj0iMS4wIiBlbmNvZGluZz0iVVRGLTgiIHN0YW5kYWxvbmU9Im5vIj8+CjxzdmcgeG1sbnM9Imh0dHA6Ly93d3cudzMub3JnLzIwMDAvc3ZnIiB2ZXJzaW9uPSIxLjEiIHdpZHRoPSI0NzJweCIgaGVpZ2h0PSI0NTNweCIgdmlld0JveD0iMCAwIDQ3MiA0NTMiIHByZXNlcnZlQXNwZWN0UmF0aW89InhNaWRZTWlkIG1lZXQiPgogIDxpbWFnZSB3aWR0aD0iNDcyIiBoZWlnaHQ9IjQ1MyIgaHJlZj0iZGF0YTppbWFnZS9wbmc7YmFzZTY0LGlWQk9SdzBLR2dvQUFBQU5TVWhFVWdBQUFkZ0FBQUhGQ0FJQUFBRGU4MytMQUFFQUFFbEVRVlI0bk94OWVaeGNkWlg5dWQvdmU2LzI2bjN2enI2VFFNSU9BaUtJb0tJd3VPdFAzTVp0bkJseEYzSEdjWm5SVVhIY1J0eHdCMFlGRVZTV0NBaUNocDFzSkpBOW5YU245N1cydDMzdjc0OWI5Ym9TbGpHUnhEalcrZlFucWE2dXJucnZWZGQ1OTUzdnVlY1NNK09nd0FBWVpCak1BRU14RkFBQ2lNdi9nbVllelVRTU1KZ0FKZmNaQXN2ekFEQ0FEM0pCTHNnRERZR2ZBTzlET0kxd0V2NEl3bEdZU1hET2NBa1VBQUJyc0FWWVlNdkFzaHBib2VxZzJvRnVvQWZvQnRyQURlQWt5R2FBU2JZNk5QREJyTmxTeXBKTmxLMHcrKzhmQVlxcjlvQlFRdzAxMUhCWVFZZEt4QndSY2NSVkVSZFhudHNBN0llaDFqWXFEeUlHREFHQTUwR0gwQjRvRHpXRmNCemVHTUpCbnR4RUdBTktRTjVnMm1DYXFjQlVWRHFzY0tZQ1cyQUwwQWFXRjRCVVJ1c21iYlZydTFzNVBkRHRVTTNRVFVBS2lBRXhBMjFZQTVvWXVyd2R3c0pzS3Z1anF2WkNJVHBQMUlpNGhocHFPT3c0ZUNLZW9TamhNb3B1MDM2c1pRZ2h3L2hob0xXdG9BRE5UR3lnbFR5SEM1cUNHVVRZQzM4N3V6czhiNC94eHhHV0ZBSlNBY2dqNVpIeW9EeVFiNHhmZVJFRjFvQUdLMEFGSVJtakRSeW1KRlJHV1Eya0c2QWFZOGx1WmJWcmV4YlFBVFNENjB3QTM0ZHRBd1JvNGVJUTRKRFpoSEFzbXlKK0JxUHFCRk5ERFRYVWNGaHh5RVJNcUtiay9XOVhydmlEeXQwS1VNYUFtTFJpa0Eva2dCRUVmU2h0RFV0YkEzY3JtejR5dzBTdUUwc0RCQmhReU95RFFsQUltQ0R3cTloZWdZVW9sZTBrMlhBWWhnRnphQ2hrSGJKamtDR3JSZHZkaWVSaUo3NFllaUhRQWRNRUEyUEFCRmFBTG04blFWVmtFd09FTTNRUGkydGtYRU1OTlJ4K0hEUVJpeUpCSUlqT2dISVpDY3dVa3hVaUR1VW5CQjBHVUVSYUd5QUgzb2RnVjM3Nk1XVjJJdGlwekQ1dEppemxRZ09LRUFTR1pLdVkyY2ptTWJObFdkV2JYYm1oWUJRUkVZVlFCaFNDVEdBUXNtMlFDY0tHMEhRUXpiSmpDNU9wUlVqTUFWckJyWUJsQ0FZd0ZjWlZZRUlBQkJYMVF3T2FZVCtseksraGhocHFlTzVoL2U4UHFVSmxhWXV3UHowUmhNNkpvenVnb25LWXdKYjJpSXJBQk5BZjVCOHZGVGE3eGNkamVpQ214MjJkZy9iQkJpRVFFaHZEU3FwZFVxUUFSYVFCb3YyMkFxSlRnOWtMZktYSTBneGlVQWo0RmdVV2lPSDVLSGhoTGpUam9SbjFUSjhUZHNPZWc5Z0tvRlVoUllpWkVDR0RMTm5nc0Z3T1M2MU42bEFPWncwMTFGRER3ZVBnaUJoVndrU1ZNOEtBb3VJeXVwc0lGc1NCUUFZMEFleEM4SGhRM09RVm5pUnZiNTJUczZnRURtQXNzRUxvSXd4Q0RuVThxZVdwU0ZYK0pZQVFCbVh5aGFsV3AyM0hBUlJnRUJxd0FtdXdEekRCMkNqWkZoZ0JJOGYrbm1BeTZYTkhvbmtJOWxMb2VZUTJpeE5lQ0Nhd2xyTGVsT3RqV0hKWERUWFVVTU1Sd01FU01hTnNscUNaZXlnRW1FQU1SVlU2cnRBbnlBUEdnVjN3MWhZbS8rZ1ZOemswbExSS3BBa0JJMUF3QkNnb0d6R3RGY0Zvc0tySUhJYU5ZUWF6MGJhdTZDSW92ejR6aUVtellXTkNReUJpaTVRTkt3NWloQjRaQTFNaTlveVpWbkFJRG1PeU9HYmltVW5LQkFBcjNlWEFJU1ZuRjExWm85T2lIOWRRUXcwMUhCa2N0RFJSa1lDcGNrY0lCQUJDQTFJV1JKSUlBUWJwRURRTzdJWDdoRHUxb1ZUY3BHbFh5aDZ4VVlEeDRUdGdCeHdEQ01wbjdUSzVZRlltRHFPQXNodU9aZ3JUWUVhVWlQNWw1ckFFZ0VpRGxTRUZGcmV4SVNoaWtiS1ZVaHFHd01hbTZlTDAyc0NiU0pTbXJQUVVFcUd5T29DVUg4Q3lISUpEbFYzelBLTzFVbm8vVGFTR0dtcW80WERnb0tVSktVU2oyeFdoQUVURUhBSldwYnZEQTNMQVBoUWZnTHRKQjd2aTFHK3BDVTBsc0E4VFF2bzhFSUlJS21ReURDSloyd01xUDYxYS94UDltU01ic0R6TUVBZFUxaXpFeUZGdUt5RVFFUk9YeVJqRVlBTVVzeW55elc2L3dFUysxZ3pIQXpwdGxRV3IwRUFwSWdJQldpdmltZFhJR21xb29ZYkRoME1nNGdPTUJPWHZpSlF4VEN3ZEhubGdHdUVRd2swWS94M01kaDBXRlVwS01SQURjMGllVXVKU1FMVDBSOGFxMEd0RTAyYi96Z29Db1d3OUs5dlhBbkFJTWdRaWtDRUN5TkJNY3g4UkZMTmlobUVvQmd4c3N2Mnh3QytVaXZtWUtscnBISndUU00yQnljSlV2R3lBdHNBK1lHb3FSUTAxMUhEWWNTaEVYRWE1ZW8xYWx4V0JDVDdJQTBhQlliaGJVSGdNcFIzQVB1S1FkRmx0WUcxWWNRZ0RZaXBYc0lwWWdha3NOVWZsY1BrR1ZiMmNxc2k0NGpwRGhTazFvQWxhK3ExQnpERHk2NFlZekVTR1dJRVp2ZzlOQ2N2M3d0Mmx2Szk5TDVHMWtYQkF5ckxTNVJNQkdFeWtxczRDTmRSUVF3MkhEUWRIeEZFdFhHbW5xL1NvRVJoUXloQjhZQkxZQi84SkZCL3hwemZiS29DeG9VSW9GK1JEaDB3R0RHT0lXSU10S3FkUlNQMXJBTVg3Tll0UUZkMnJTaWVHMERFUkZNaXFVTE1GbzRsSU1aaENrQUtrR1NSa1lpWUdpRmdoaEZJV2RHQmp5b1NHUFN2TXBYUVFJbU9BTmtJS2NDcnlTRTJVcUtHR0dvNEUvb3lLdUF3cTE2VE1SQWJ3Z0FsNE81RmZINWJXaHVGdU81YVFZbGF5SFJDQ2xWS2syQkN4SnRiRVZHWmhLWWZMVHVWSUVhNHdmMlRJa0lnSVlvREtaUzlWSzhsVTZTOFJhNFVzK1ZWK2s2Q2RHSE9Jd0NkUTNDbkNqUGp1cG1LaGxFNW5RUVpvQStwZ2JQbjlHaEhYVUVNTlJ3QUhUY1JTSzg2c3BWV29pa25vc0lUU3NEKzkxWlEyVzd3MW5oaUZsUVpzWnNVbXhpWmV5VG96R2t3d0JBTTJBTW9XWUJnb2o1VXBDeEhscm9xb1g4UlVOWlFBSUNaalZNQUFNWk5oeGF5WXloWTdaaUlDdERpUkdjU2tEQ0hVaWczZ081YVlocEd6ZUxmUGJqaVIxWmtBVmdKSWdSM1pKeUFzbC93MTFGQkREWWNOQjB2RVJKSmZGbVZJQ0JqS2hORFRNTDN3TmdXbFRVRnBoeFdmUk55RWZwNHByaWhHWklNdE5vQXh6S3cxNFFBNkp3SlZnbmNpWFdDL2lLSHFHK1YvdWZ6ckJrVGdzTXBYeDFXeU1wSElHb3JETUNCRmx1VWdDTmp6QVVPMlNjWmlrMU9QMU5rSnBOdUFKRGdPcUhKN1N0azVJU2NRd3RNSUZ0RXUxUGk2aGhwcU9CUWNwRVlzZmNVaERFTlpZUElaQUd4bFFNWUY5c0g3SXdxLzErSG1lR3FLN0RTSFBqRXJWbUFEZUlSQVVlUkRNSlcrRURIdlZqd1NyRlZaNjhDQmZkUXpOeUtSQWhTS1g0N0FvUDNxWmV4SDJSUVNqQUt6TWN3bVFFaUt5SWtSbEVGZ2dwRzRYU3BNckVuNktUU2tnQXk4dEVlQms3QXJTVUJCVmJ1SFZhVmdSOUkySGJIYU9ReERyYlV4eGhoVEhjRWg5d0NJN3ZSOTM3YnRJN0JKTmRSUXc1K0RnOWVJR1VUbHhtT0dLVE1pTWZRVTNKM0liNEMveGRHanNFTEFDdG5XYktxeUpjM1RNMVZsN1E5QXhRdng3SWkwaVhMOFVOWEdQY05HQXdBVFF6RVpBR1NZRkJNUks0SlI1QkhHU1NWZ2RzSGZDZDBHSGJlMGhQNm9TaVJiMUFOOUFLbzlkb2NkcnVzcXBiVFdSQ1MwR3dSQkVBVHhlRndwcFZSNTh5UXNxY2JDTmRUd1Y0R0RqN2JaNytwY0srbmd3Q1RVUG5qYjNGeXY3MDlEV1lERnpGeGVWVHRhUUNCaXBWZ1JLNXBaeTlOa05ER0FVdUR2UTJFcmdqMndwNVVDbFJWdFZmVzF2NFY2WnI3SEVaSW1sRkpTOEVwZERNQ3lySGc4RG1rekRFTUF4aGpmOTZuV0ZGaEREWDhsT0NUWEJBRXFCQUJqa1FMZ2dzYmdiL2JjSi94d0tLNTlFQ0hrZ0lPamtBcUk1ZHdUU0ZvRk1aWHZJYU5RQ3NKOVFlSEp1T3FFMDR3d1UxWWhTRmNKd1U5NzZqcHlBckVVdVdFWUVwRVFzU0FNdzRpYWhhdzl6eU9pV2xGY1F3MUhQdzZTaUFsaHdOb2l3R01HbVFSSSt1ajZDOU1QbS9BSk96WnRhWUFSZWlFcll6a2F3VkZVRVlPSnloUDJLRnJMSTlZQXMySFNMbmlmRjJqdHRkdmNEV3FCcWEvSTBWWkZDSzRRYmxtamZwbzB1c09OSUFoUUVZTERNR1JtRVN1cWVWa3A1VGpPRWR1a0dtcW80Yy9CUVZmRXhoaE5CSVJsUFpZTmFBeitqa0p4VThMcWQ3UUhNRHdHb3hMYmNEUVJNVVJHSnBDU2VYVlJ1b1dDQWdXaEtzRW96OTlxRjJmRG1RMWtBRjNoWWhVOVE1V29YZDE0Y2lTc3g4YVlhaTFZeUZlMENGU0p3cVZTaVpsanNWajB5QnBxcU9Hb3hVRVRzVklLREpDaWN2aFBFYWF2bUg4QzZMT3NTVElLUHNOQWF3dWFZY0xEc00xL0pzVFpWaTZOcTF4dUJCaExselJQQk1GdXIvQ0VRd3NRcXdNMWxybjRhWjdIekN3d2dvN01HYWVhV0lNZ3NDeUxtZSs2NjY3VnExY3JwWll1WFhyKytlZTN0N2ZINDNFcGxvL0VOdFZRUXcxL0hnNmFpSFY1RExJR2h5QUdUU0hZNDNzN0hHdktWaTZDbVBGWUVjRnhvQmorMFViRVhGNkFZMVZaUmVRcXpZR1VZbHU1UVRqcys3dWNjQ2RVSjVBQXA1L3VxVXlWTG5Ia0lCV3gzSmJsdUljZmZ2anpuLy84enAwN0J3Y0hGeTFhQk9CVnIzcFZNcGw4eW55cEdtcW80U2pGUVYrM2N0bkg1WVIrQ01xRGhyMzhFeHpzdFZFMG5nOWZLUldEVXZCZGVENGt5dWZvQVVtem5LbU1ncWJLZ0tVUTJvYlA4T0hZVnR6eGZXOXZVTndJc3dQSU1aNjlzanlpQW5IRXdyN3ZhNjFMcGRJdHQ5eXlkZXRXei9NYUd4dW5wcWErOWExdmlYZkNzaXpYZFkvWWh0VlFRdzJIaklNa1lxNEVwUnZTbG9hYWh1a0Q5MmthMWV4ckk1T0tLa3RHVEVjWEN3dElLbGxpS0dsUGtaR2pBTUVvR0F1c05mbVduaUsxRitGT1lJcklKL1ZVSnE0dWg0OW9TSkRZaDBVZGpzVmljK2JNY1J5SG1XM2JIaHNiVzdod29ldTZ4V0xSR0JPTHhZN0VCdFZRUXcxL0hnNTFKWWNCaTRCeCtMc0R2OC9DdEdZbVk4TWM1Y2tNMG1VSEJqR1JJV0tTcUxZUXhHQ04wSUd4TkdEcEluTWZlenVBS2NBRnZHY1llUDBYNjJ4V1NvbEI3ZGhqaiszdTdrNGtFckZZVEd0OTVwbG5OamMzSnhJSldhLzdpMnhiRFRYVWNGQTRTQ0l1cjJuSkRSY1lDMHA3akQraXVLUU5ZR2gvSXdFZmRaYUpzdWxNb2plSkFTTnhRU1RaUThSR0k5UkVwTWtQelVpeHRCZVlBa3FBRDRUNzA5cUJtYUJIWm4vRnJDWkZzV0Rod29Xbm5ucXFVbXA0ZUZpa1ljL3pBTVRqOFZwUFJ3MDEvRlhnVUNyaWtDVmRvUUFNZW00L3dyeUZVQUxQUUQ3SUw1TVVtMHB6OEZFRWhtSWlRekRFaHBqTC94b2daREl5K3c2c2lNQmM4UDB4WUFJb0FoNFE4RXdmSFo2QmhRODdGNHVKdUxxRE9aMU9uM1hXV2RKZjk1clh2Q1pTS21yR3RScHErR3ZCd2ErcUV4ZytOQUZGdUlOQk9HNlRyMUJKZGlldkVvdWpnT0RBSm9pL1BFUWFWZ3pJUER1NWp3RndTS295RTg4UWtTRUVoa3RGZjl5eEN4cXg2cE9LTVZDVjJYeVZMejR5SmdxaFlQbFg0aWFVVXZQbno5ZGFkM2QzWDNycHBVdVhMZ1VnNjNVaUhCL1c3YW1oaGhyK2ZCeHMwY1JBQ1BKQkxsQW91U1BHNUd4RmxjamdBT1NDdkVwakEyTy9Fdkl2RHdZQm1xRzUwbG5IVkc1TU1SeEFNVFRBeklaaFNCRnB6YVhTbEk4OEVBQWhVVVRFVDd0ZlIwS2FPTUNScHBSaVptWXVGb3ZUMDlNN2QrNGtJdGQxZmQrM0xLdkd3alhVOEZlQmc3ZXZ6ZVNRRlV3d29uamMwajZva3NrbXpYVEVJRk9aUG5jVUlhcUFGWXpNeUZNTUpWdk1CZ1FvQWd6WUVGZ0REb1Z3aDNVNERoakFZaG5qUkFBSFVkSnhsVVpCenhUKzlod2lXcU5EUmFZSXczQnFhc29ZTXpFeHNXYk5HbmxZSXBGQXBTNnVvWVlham5JY0hCRXpFQmhqV1E0TUlUOXBTbnNzR29US2czMlFCc1VORWlFNW9RcFllMUFNVWtlUkxBRUFyQkFvK0pwRHl4akxzR1ZJRzFLR05GbGdoZ21Ba0JDU0NTa0lsRHR0RjNaYmhiMEFnUk1nRlJvQWdXVlh6SGs4ay9GWjhjTWRYaGhqSE1jeHhrUXFNQkVsRW9sTUpnUGcxbHR2ZFYxWFhHc1NtSG1ZTjZlR0dtcDREbkRRSDFTU3p6WXoyRk04YmFrOFZMa2lOcVFNV1FhS2lRMFpRekkvNmFnQ0E0YktYeXpFU1V6MGxEVTNBaE5EYytCZ2luaTZQRkt2akVwUDNRRXpRNTUrZnNkekRPRlcyN2Fqb2xocnZYVHAwdGUrOXJXTzQyaXR4OGZIQzRXQ21JaHJyb2thYXZpcndNRlhUQXlBUVQ3Z2dnTEpiWWdXc1lDd0V1TDdWSGZYWHlNTXd4ZkxSTlYrUEF2YkhxR2RsY1U2cFpTSUQwRVFORFEwK0w2L2F0V3ExdGJXWkRJcGZDMUpRRFhVVU1OUmpvTWxZcUx5bVBvU3VNRHd5cVVpcTNLTVF6VGZzK3hnKzZ0bVlRREdjQWtvQVI1Z0tqN2lTang4OWZDbUl3WHBXaGEvUkNRV2gySDQ4TU1QejVvMTYvV3ZmNzFROFBqNGVLbFVxaTNXMVZERFh3VU9YcHFBQWd5NENCUVlIaWdFb2tDSnFvcVkxUkc0VGovc0lNTW9BUVdVOTdSOGI5VUo1a2c3UXlLMVFacVlKWFE0bjgrdlg3Lyt1T09PTytHRUU2UUtqc2ZqMWZIRU5kUlF3OUdNUTB2bk11QVNjeEhrVjV6Q1VoSExZaFVCVm9XQ2p5N1h4TUhETUx4eWkzTkV1RngxOXBKQjFIejRjNGlqRnlRQzRIbGVNcGtVcDlyOTk5OS8xMTEzOWZiMk5qVTFmZmU3MzJYbUN5NjRRTnpFdGVHaE5kVHdWNEZESldMNERJL2hTVndPR3lKZFBWNlRBSm5jakw5eUxtYlpUZUlBWkxneWRicUtkcU13ekNOVWZzcGdPbU1NRVJVS2hldXZ2Lzc2NjY5LytPR0hpZWl4eHg1NzhNRUh0ZFlQUHZqZ1JSZGQ5T3BYdjdxV05WRkREWDhWT0RRaVpuREE1Y1k1M3IrMTdJRHBRVkZueDE4bmlKbkRTanhiOVY1VTE3OUhkTzkwQlFEdXVPT09yMzcxcTA4ODhVUlhWNWVrVEJoandqQzg1WlpiK3ZyNlZxMWF0WGp4NGlPNWJUWFVVTU9oNGRCOHBncEVudWQ1bmdjaWFQME1uV2IvRjFBcEtoVUFWWm5wZ2I5Y3BTbUgydmY5OGZIeGUrKzlkOXUyYlFzV0xIamxLMS81azUvODVMYmJidnZlOTc1My92bm5BL0E4NzJjLysxblY5cy84ZXFGUStJdHNlUTAxMVBCTU9MU0ttQUN0eUNiU0V1NVRXVUNxTnRKR3BmRmZiVGtNZ0lsSUU2d1pwMFRsQjM4Wnp3UmcyL2JFeEVSOWZiMHg1dmJiYisvczdHeHJhN3Y4OHN0VHFSUVJ0YmUzTS9OOTk5MjNkKy9ld2NGQkFFUWs3YzV5dzdidFpESjVKRGU0aGhwcStGOXh5Qld4bzFWY1VVeWlMeXU1NlZIWHJ3UUFIWVV4bUFjTFVoUURIRUFEcXJJbVY3MWZxdkoxaE9DNmJuMTl2ZXU2anVOa01wbXhzYkdlbnA1ME9oMjVLVG82T3JMWmJDNlhlL0xKSjYrLy92cGlzUmgxZjZCU1VOZGFuMnVvNGFqQ0lUTkl6TklwcmVLeUtFZGlsbUNaUDZTT1RDRGtFWUZTRkFPRWl5dkhTbUkwQk9VcEpFZXVLSmJRbjFnc2RzMDExL2krTDFKRHNWaEVKWHJDR0RONzl1eHNOcnR1M2JyUGZPWXpOOTk4c3hqYUlnZEZxVlNxT2R0cXFPR293aUZJRXd3b1VBSXFyVlVjWEpraUNsU0dHWE81dVdPbThmZXZGcXdVSllBazRNZ0lLSllwUytYc052eEZ2TktGUXVHeHh4Nzc4WTkvdkczYnR2YjI5clBPT2tzaWZxVExZOWFzV1pkZWVta3NGcnZ2dnZ2NisvdS8vZTF2MTlYVlhYREJCY0xDU3FtYW9hMkdHbzQySEhRTUpwZGI2ZUxRYWEzaWhna3cwS2hVeE5GMU9wZWR4WC9kVUlyaVFCeXd5OUlFTUNPNUhKZzFjU1NndGQ2OGVmTVZWMXd4TURDUVNxVXV1ZVNTU3krOVZEeHRXbXZSSEo3Ly9PZC82RU1mZXRPYjN0VFUxTFJ1M2JvYmJyaGhaR1FFUUQ2ZmwyZVEycm1HR21vNFNuQkkwZ1FUMklaS2FCVXJqMDZpNk5sMHBkL2gvOFJpSFpRaUJ4UURyS3I5ZUJiVjVVanM3RGUrOFkwdFc3WXc4NFVYWHZpKzk3MHZrVWdRa1ZDdzFscDZvT2ZPblh2eHhSY3ZXTERBY1p3SEhuaGcrL2J0cUVqRFlSaldOT0lhYWppcWNBaDV4REJFSUlLS0dVb1pUbGJHTm5PVWFnWld4RXFCaVk4Mld4dFZrakdxaG10SUljOFNVTXhsYVFVTXdNRDJxUjZVQlFncTJoZFZidDg0MERkeEpGajR6anZ1ZVBpaGh5eXRWeDUzM0w5OTRoTjEyU3dSaFVIZ1ZKU0hXQ3cyUFRVRllQNzgrYTkrMWFzU2ljVGc0T0RXclZ2eitYdzZuUVpRTEJacjA1MXJxT0dvd2tHSC9oZ1FrNFppYUl1Y0RvTVczM05BRmpnaytBUVhGQkxieWpnd0RBNytncGJicHdGRC9BOFZvWmNZR3JEQk5xd0VvQkdHQ0QzQXdGTFEycWRFeVo3bHg3c0FBK1NVOGl3TnNCVjRDaEFhRDBHQmRId1FRRGpzdVpPand5TzdkdXpNcGpOblB1K010cmIyNmNrcDR3ZGFXd0FWYzNrd09BZ3ptV3pnZW1Ca1VtbmJzb2hJV3FLVlVxVlNLWjFPaTBaUlF3MDFIQ1U0dU1VNkxsZUdyS0doa3NwcU5xZ1BlZGptb0JMMUsrT1JxMkp4amphWm1HZDZsQm1BVUtkVTh5ejJPeFBGUjRTSXdXa0pkWU1OQW55Q1hURk1SL0tMcVVyYjBFZGcyYTY5dmIyanZaMk4yYnRuVDI1eXNxR3BDVUFwbndlUVNLVUFURTFPSnBOSk94NzNTNlhmL2U1M1UxTlQ2WFM2cTZ0TGpHdU80NFJoV0xNUzExRERVWVdEcTRqTGJjdEdNMkpBblhhYVNXVURWbUFESXJBaXRva3RFdGRFK1JMK2FISk5FSU1Db0ZvaE5ZQUJHWEJZSm1KbGdSUU1RZ09RbllqWDJVZ0NGcUFyMDBhaDFOUHUxcEhZMHpsejVoeDMzSEc1WE82T08rNzQ4WTkvekVGdyt5MjNmUGF6bjczaGhodThZdkhPMWF1LytNVXYzblRUVFJ3RXQ5MTIyKzIzM3c1ZytmTGx5NVl0azZVOHBaVHJ1clhBK0JwcU9LcHcwQnF4QW1EQW9RMmtZTFVydXlXa1JGQ1pod3kyRkNzZ0JNTHlGTHVqaW9ncm9jbFM4WllEbENWS1F0UmhSZEFhb0pDVjRialNtVmlzUVl0OURSWllTeFZkbVVBVUZmdEh6c1EyYTlhc2l5NjZLSlBKOVBmMzMzUFBQZVBqNDF1M2JyM2hoaHZ1dmZkZUo1RzQ5OTU3Zi9DREgyemN1TkYxM2J2dnZqdWZ6emMzTjU5MzNuazlQVDJvZUpCckp1SWFhamphY1BBVmNXVUdNcEFCT2l5bmgreUdBQmJMdFQ0VFdCRkpVQTdLNDBTUExwaHlnZzl4T1VBWklXQm1sdWtVbUpSdk5GUmRMTllLMUFNSndBRnNvZ09VSEs3cWRUNVN1Nm5VUzE3eWtwNmVuc2JHeHVucGFhMTFYVjFkTHBjVEl3UVJNYlBqT1BGRW9yKy9QeDZQMTlYVm5YTEtLWlZmVlRKQ3FlYWFxS0dHb3dvSFdSSEw4bGE1ZFM0T3ROcXhPVmFzdytlRUlZSUtLdXFxQVJrbU9ocG4xaEV6bUlrQlpxbU9xY3kvSUFNS29EZ2tGU0twckRZcjNnTmtBV211cytrWjJiWlNFUjhSUGJ5K3FTa2VqenVPNDNsZXNWaGs1aUFJNHZFNEFOdTJHeG9hWE5jTmcwQXFYNlZVUzB0THFWU0toaXFoMHVoY1F3MDFIQ1U0SkIreFNBNnNnU2Jsek5QTzdJRHJBa1ZNUGhESUlMdnlrTTZqemtVOGswbkVNRElEdFhJM0d3cU04cUZNQUIwaVE2b0g4UVZBRm9oTGkvUE1hZVhBeEFteHdSMkpIUWg5M3krVmZOOFB3ekFlanljU0NXYk9aREphYXc0Q3JiWHdzdFk2bVV6YXRxMlVJaUtsbE1Td1daWmxqS2sxMTlWUXcxR0ZRODJhVUFoTUNKTUZkWkhxOGJrcGhHTlU5VklZbFF2UG82d21GdGNhS0pxd1Y3bEhzYUV3SkQ4RWg0Z0gzTUNZQlpvRHBKa3ROay9sMldvV1BuTFF0cDNMNVFENHZ1ODRUandleitWeUVoSlBscVcxenVWeThYZ2NXazlPVHVaeU9abWw1RGlPQ01UaVlEdVNHMXhERFRYOHJ6aElJaTczUUJpUXJ5enhiTFVvYTI0c01jK29ETmtPVkdpQ0VwZ3BrYlRpc1pERG82d21wbktPR2hoa0tzV3dBaWowUFcyVHNsVEpENHR1VE9sT2JTOEd1b0UwNFZsY0JuUWtWK29FeFdKUk1pMFRpWVRuZWFMNVdwWUZacy96VXFtVVpBQjVuaWZWc1hCeG9WQ1FwcnVhUmx4RERVY2JEanByQWtiRUJ3OElEQUJrbGU1Mll2UGRvTTRQRTFDMmNpeEF3d3ZDd0NkOXRMbUlpVmt4MUl3b2dYS2pIV2tpcFprY2c3UzIybVB4ZWJEbkltd0d4NS95SE0vd3paRWk1R1F5NmJxdTUzbSs3NHRZWE02T0lQSjlmM3A2V2pyb0pIbzQrcWtvRmN5c2xLb1pKMnFvNGFqQ1FVc1RoZ01nWUFTTUFKSkZyTHNTeVNXR3UvMndpU2tCT3c1bCsyN2crLzVSdDFZSGxNbVNJc09ET0VGQWlsaFpZWmcwcHRHMlp5ZFNpeEdmQmM1VURXeCtocWM2c3VXd1Z5cFpsaFdHWVgxOWZUd2U5MzIvVUNpRVllajd2dkg5WEM0WGk4VzAxb1hwYVdPTXlCZVNsZ2xBS1JVRVFjMUVYRU1OUnhzT05nYVRxZHcreGdybGJBWkNJOVM4UkdJNXV5WFgzeFczQ2lBR2ZHUDRxSzI3S25XNkFoUlgvQTRjV21HWWdlbTByZm1JejRQSlBLdndjQUFMSDZGQnpwWmxUVTFPam8rUGgyRW9wZTd4eHgvL3ovLzh6NHNXTFZKYW4zUE9PYTJ0cmNjZWU2eXdyWFJ3MkxadGpIRmRONUZJaUZJY0JJSGNxS0dHR280R0hPeW5rVUNhd1FTYlFRUTJESVU0VVVjNmMwb3BLUG5GYVdWOHgvSzFwUXdVaDg5V1R4NTVNQUNxZU5kQVZNN3RaQUJoYUpoaWJOb3N2Y0N4RmdHZElBY1FkaFd6MXdITWU4RGtwQ08wZHFjc3l4aVRUcWRseVM0V2k1MTgybW5ISEhOTU1wbUVVaTkrNlV1Zi8vem5pNVV0bjgrTHAwSlc2Z3FGZ3VTMEhkYk5xNkdHR2c0QkJ5ZE5WREtHTlpkTnRTV1FaMWdEamJDV3hXUExMYXNyTkluUWtGS2tsRDZxQW44QVZGeHJoc3R4RTZveVQ4UUF5b1J4aXpwVHNjWGtMSUNwQnltalFpQ29OSDJFbFdTSkF4cnFEaGpUZDlqM2VYeDh2TDYrbnBtMTFqSUoxSEVjWmc0OUQwVEpURWJaOXRUVTFQVDB0T2Q1K1h4KzkrN2RBQ1E4UGd4RFkweXRISzZoaHFNS2h4Q0RTUWJLc0FZVW9VVGtnZ0VUZytsRVlta2lNOSt4RzQxQkdJWUtTaDA0Yy9NdkRpNDNOQU9WWlRySWVEMUZXbEV5NW5RanZSajJMQVRwTVBRQWp4RlUrUGNBRm40cWpvaHQycGg3N3Jsbno1NDl4V0t4dGJWVjFBazdGbE5hYTl0R3BWUER0dTFUVHoxVktUVTBOUFR6bi85OGNIQlF2TVBNWEN1S2E2amhhTU5CRXpFQkhCcmpFMkFEbG9KV29nU2JGS3dlcEZmQVh1UUdMVzZRREVIbEh4MG90WW95RUgxRmhiYjRHYXFUZ3F1K25sNnZaYWJRVU1qbEJqbTVqNTd5cGNBYXJCRzFaOHR6a1dSaXdIRE1VRE9qQjNvKzdQa3dUVEJPYU5UK0cvKy91aUtPQk1FTkR3L2Y5YnZmRFF3T2R2ZjBuSG5XV1EzTnpRQkFCS1hZR0JsUFY4em5VOW5zbTkveWxxNnVydUhoNFYvODRoZVBQUEtJck5kcHJXV2kwaEhZMUJwcXFPRlB4RUZuVFNqQVZwWnRLUmdDWjRBVUE2RkNRQUExd2pwSjE1MXZwVS8zcU1kbkJTMkpFNXFoRENNMEhISm9ZQXdaVnFGUm9WSEdLR01VUXFLUWxJRm1xSm1rZHVpWnIzSncrMzZFemhRRzJnOHNMOUIrcUVKRC9EUU16aHBzZ1cxR3pNQXhaQmxTQkswVmFjdFhPakJRWHBqMXdnWHgrdWVqOFN5WU9XQUxHbzZWQkdJRUc3QWtmUzNLTW42NkF4TUpIYzhOSFF0WE1uUFVmeUh1NFBISmlYMkRBNGxVc250V3p3dGZkSjY4Y3FsVWROMFNXZHFPeDBDd0hCdUVSVXNXLzlONy8xbGJsbEpxMjdadFVnaExCYTJVa3BlSUdEa0lBajc2aEtRYWF2Z2J3Y0ZyaFN6SlBsVjNFQmhnRFlPRVFnZXNnbzZQV2p3WmhoT2VONUNBQW9lUy8xTU9kNkNuZE53eEpNTzRIRlZ4d0kvd1ZPdHUxS2FNaW1LZ0tqNnpTcGZHekc5S0FWN3VvTlBLTW16QWdlRlFLV0tLTVJvWVBjbk04WWdkQTI0SFl0SHZLYWcvbVZlZjQzSllLVFU1T1JtUHgyWGx6Zk84UkNKaGpIRmlNUkI1dmwvZjBKQktwNDB4UkJSUEpPUzM4dmw4S3BXeUhRZUE3VGkyNHppT0kzM1BRc1RSZER0NXZPLzdsbVZwcmFYMXVkd1lVa01OTlJ4WkhOS25qdmF6YWtWbUFnSUJOblNUblo2cmFieVFuL0tMSm1GUEFIa0FJRVZLRVVudUpFc3FXNlhFTmNRZ0JFUUhEQnlscDZGZ25pazhpZGtLck9vcG5seHVYRFlnTGxNeUs0WUdHR3dJVUtIUmlxQTVDTG5rVzR5c3RoYkdrOHRWOWlUUVBIQjhSaDM1aTJKNmVycXVyZzVBcVZTeUxNdHhIR09NVW1yNzl1MldaU21scER0T3pNS0pSRUlvVldZZ2VaN25PQTRSeGVOeHJmWFUxTlJkZDkzVjJkbDU1cGxudHJlM0EyRG1ZckZvMi9ZQk01UGtTZjRTdTF0RERYL1RPUGhQSGRIK3JnR21tUkVWQUJ3Z0RkV2prcVZZNEFjQkVLd0RwZ0dDWXRpS29SaHMyQ2hTZ09GS1dBNUZaVGFCeTJYc2dTOE1VUzNLbyt3SklHSW1TYkFrVlduU1VFd2hreXpLeWRNemxlZlVLY1dBN3lPbW9Cd09xT1FsU2Zka1VpdDE1bVRRUXFBWmNNcTdJbU9hK1MrVzRwbkpaS2FucHpPWlREd2VMeFFLbG1YMTlmWDk0QWMvdU9XV1cvYnUzVXRFcFZKcGFtb3FtODFHelJwRUpEUWFxUkRpbmJBczY3SEhIdHUyYmR1Sko1NTR5U1dYbkhYV1dRME5EZEdRRHQvM2d5Q0l4V0l5Nys0dnM3YzExUEMzRFRwSVpiRFNrQmJwQUJRQ0lZTUFtNWs0aE5ZQmFBSVloYnNEcFlkNThtYmlYY1lZQnBGbFFhc1FKdVNBTklNTXdSQ3o4RG1CeXZZeXF2YUJ6U3l0QVNRTGJtQXRwS3dRRVBJQWcyT0F3M0FNbEZFQmt3L2xBZ0hCRUd0bEhESnhNbkdBb1YwZ0RKbGNyZy9WSENleEtwWStBODV5Y0JzNHdXUXFPY1dXQ1lrWmY2a0NVYXBhQUs3cmhtSDRzNS85N0txcnJ0cTNieDh6SjVQSjV1Ym1GNy80eFIvLytNY0JTRzFyV1JZeis3NHY3Z2poNHBHUmtXdXV1ZVlQZi9qRG80OCtLb0dac1Zqc25IUE9lZDNyWG5mYWFhZWxVaWtBMHV0aFdWWXRrcTJHR3Y1U09GZ2lSb1dJNWJjbFdEMEF3SENNMFd4Z0VhQU1LQWVNSTl5TThWL0NmeUx3SmtQT0thdWt0TS93alFtVjBpaVRMOHFtdUxMYUcvVWZZLys2T0pvcEZ4RXhLUVNFQW1DQUdOZ3hjSmlVSVdZS0NUNG9JQmpGcEl3Rlk4SFlBQ0VkUTk3THVRbkU1cVViVGtIbVpPQVltSFkyc1lCQkt0UmFYR2phaEpvb0dzWnhwT0c2cmpFbUNJSzFhOWYrOEljL3ZPT09PMHFsVWpLWm5EZHYzbGxublhYZWVlZWRmUExKdnUvLzhwZS96T1Z5cDUxMjJwSWxTMFQ1SFIwZC9jTWYvckIxNjliamp6LytCUzk0QVRON252ZjczLy8rbW11dWVlU1JSd3FGZ3VkNXJ1dSs0eDN2T1AzMDAxL3dnaGRFL21KbXJ1a1NOZFR3RjhGQkUvSE00aGtMRVFjVklyYVlIWkVWeXQwUzVBT0Q4TmFqdERrb2JQYUNiVnIzV25xTU9NKyswWlNCU2NBa0FHTGxzM0tOTGdDaFlodXNuOEdRRzJuRTVRS1p3SVFRTUV6UmNwd3F6L0UwdWp6SkZDSGdWN2JUZ3Qxb2dzWUFjK3prY1ZSM0d2UWljSHNRMk5wQ1lLQzFVUWdCQ2cwUmFYbU52eFNrbnIzKyt1dDM3ZHJsZWQ3Y3VYT2Y5N3puWFhycHBjY2RkMXdZaG5mZmZmZVh2L3psUng1NTVLS0xMbnJ2ZTkrN1pNa1MrYTMrL3Y0YmI3engybXV2VlVxZGQ5NTU3M3JYdXpLWmpJakl2L3ZkNzM3MG94ODkrdWlqV3V1UmtaRVRUenp4d2dzdlBQdnNzK2ZNbVNQbHNQcExuWFpxcU9GdkczOG1FWE5FeE1aQXFZUVlnNDBCQThxQ1JnQ013ZC9wVFQvcXVvOHB0Y21pUGRxTXNWK3lLUVVUaDBrQUNoRVJVNmlNUTZ4bnBHTkUvK0xwRnRGa1pqUURJU2hrTWdDa2NabllvdktJT1FaOGtHeG5zdUMyMk1sbGR2cEVKRmRCTHdXM01Wc2hvTFE4dStSMnFqQ0UwZ3BQZWIwamhoMDdkdnpYZi8zWHJiZmU2cnF1NHpqSEhYZmMyOTcydHBlKzlLVUF0bS9mL3BXdmZPV21tMjV5SE9lZi91bWZMcjMwMHZyNmVnQkJFSlJLSllsZXUvMzIyNy95bGErc1c3ZHU4ZUxGSC9yUWgxNzg0aGVqMHMxeCsrMjMvL2QvLy9mT25UdjcrL3Rqc2RpTFh2U2lONy81eldlZWVhYld1cFpCVVVNTmZ4RWNnalFCb0pxUFJacGdjUmlYY3h6a2kwQ0F4UURsZ1QzdzErZW4vdWdYTjlyb1M5ZzVGUlpoZ25KNVN5VHhPeURBRGFMS2wwV0xZSUxveS91M2hFQ3NGN1lEd0lRK2h5RTRVTXFRR0NkQ0gwVFFOc2dHV3dpVUNhZ1lOS1Jhbm9mRWNZZ2RDOHlDNlRTaE5nVFMwT1hxSG1VWkdtVVovSEFUc2UvN1dtc3BSVVVYenVmemp6LysrTWMvL3ZGTm16YjV2dC9lM243SkpaZTg4NTN2Rk1QRFRUZmQ5SjN2Zk9kM3YvdmRraVZMUHZyUmo3N2lGYStRNlJ1U1VDeUZyZHhZdDI3ZE43LzV6VnR2dlZWci9lWTN2L21kNzN4bmEyc3JLam5GMy8zdWQzLys4NS92MmJQSDg3elcxdFozdk9NZHIzM3RhK3ZxNnVTcFhOY1ZUeHVBMGRIUnBxYW13M3dZYXFqaGJ4b0hUOFQ3eTdZQVYwSVlxSnk1enBCeEZ0SXFFQWF3RlN3MUNmUWozR3FLVDNqRlRjYmZwWG5Jb2tsTkpTQUFHeGhHQ0dPTVNraityNnAweEZXMENLWDMzNGl5enkwSVBDaEZUS3BpRmdCNW9BQU9JUWdEVC9sQkFtaTByRmJiYm9FMUM5a1RZYzJIbWdWdUFpZENBMUlnQllJUGhPVWVQSlRMNHlPUXFGWXNGaE9KaEtSVGFxMTkzNy9qamp2ZS8vNzN5OXJhaWhVcjN2cld0Nzd3aFMvTVpyT0ZRdUdMWC96aTZ0V3IxNjVkKy96blAvK3l5eTQ3OWRSVE01a01LbWxxcnV2R1lqRm1kbDFYM01lYk4yLysydGUrOW90Zi9DS2RUcDkwMGtudmZ2ZTd6enJyckh3K0g0L0hsVklQUGZUUS8velAvL3ptTjc4WkhSMnRxNnM3OTl4ekw3dnNzbVhMbG5tZUIwQk9DV0tBcXpWRzExRERZY1VoRVhHRm55bzFvNmx5VTJoVVdMaHlid0FURW95akRKQUhScm00dVpqZldDcHVzRlN2VFFNV0pqVThCUWFzY29sTmxZcGFLbUlqSHVXb2FXM0dOUXd5ckh3UUVUbUFCUkJNQUhaRDluWGM4WHp0K2Frd2JGTnFRU0srMkVvdGhqTVg5aXlnWGhiM2hNc1ZBVEJnQS9DTUFEMGppaHgyQXNybGNxSW5GQXFGNzMzdmU1Ly8vT2N0eS9KOS8yVXZlOW5yWHZlNjV6M3ZlUklaOGNVdmZ2RzIyMjRiSEJ5Y1AzLytSejd5a1lzdXVnZ1ZDaGFpak9peVdDeHFyY1Ywc1h2Mzd1OSs5N3ZmL3ZhM2s4bmtHV2VjOGZyWHYxNWtDb0huZWRkZmYvMlZWMTY1ZGV2VytmUG5kM2QzZit4akh6dmxsRk5rM3JNeGhwbHQyNjVKRmpYVWNGaHhrRVRNTTZJRVYxMjhrNVMvakxLYnVNekZobUVJaG9Fd2dLVXRUUUFLd0JqQzNhWGNCcGdkeHQvR3dWNXR4aHhWVkphQmhpa1VRQWZXWC90L1d5VWZFd2ZHSTBWS1dhUnNrQVpwZ0F6c2ZFbUJHclhkWTl2emJHY0o3QVd3WjRGYmdMcG9QNVNLQ3ZmS3puRFZxeEJtR1Brd3czWGRmRDcvdGE5OTdidmYvVzVqWStQNCtQZzczL25PTjczcFRkM2QzUUQ2Ky92Lys3Ly8rMmMvKzFtcFZHcHZiLy9JUno3eWlsZThRaUlqUk5PUU4xRytsZnVscXJWdFcydmQyOXY3bWM5ODVuZS8rOTNZMk5qS2xTdi84ei8vODhRVFR4UVBzdnpXMnJWcnI3enl5anZ2dkRPVHljeWRPL2RqSC92WXFhZWVLalYxallKcnFPRUk0T0NKV0loTGdXa21wcGVxTFdmbHV3d2pCRURRQUF4Q1prTmlISVlCU2xJZHc5MXBTbHNEYjBzWTdEU21YM0ZCczYyaFFDR1YxZDZBbEFIQ2NzTmJtWUpWeGMxbXdWaUcyY0FORVJvd0k4RmNGNXBtYmMzVjFqekhXYUFTODJDMUF4a2dEazZDeTQ5VDJpZ1ZWZ0l3b1pRdHg2UGNPQjJGV2h6bUxqdVJKanpQdS96eXkyKzQ0UWJMc2hvYkcxL3ptdGU4L2UxdmwyYU5YQzczalc5ODQxdmYrbFkybXgwWkdibjg4c3ZmL3ZhM3gyS3hpRW1yRVRWM1JQZUlYcngyN2RvUGZ2Q0Q2OWV2ejJhemMrYk0rZEtYdm5Uc3NjY0MyTGR2WDBkSEI0QTFhOWI4OEljLy9PMXZmenM1T2ZtODV6M3Y3VzkvKzRVWFhoaHRYblZYZEEwMTFQQ2M0ODh0ZHFMSmIxVDVQb0wwTUFkZVlObU9JcFpDTmd4QmNMUktBUTFBRTJLdEtqYmJDV2V6dTdWUTNCRjRvK3lXbUFPR0IvS2dYRVlKcWdUeWxUTGw1bWN1aTlGZ0JiYTFTaHUyUWphR0xGWUpVQVBwTm9XT1ZNT3hvQzZvVGxBOWtBQnNaZ1FoQUhBSUlpZ0p6WUFDS1dZejQ0Mm1xTmRQdnY4emo5RC9na1FpTVRrNStlbFBmL3JtbTI4T3d6Q1R5YnpsTFc5NTk3dmZEV0JxYWtvcGRkMTExLzM4NXo4Zkd4dnpmZitOYjN6amU5N3pIaUlLdzFEYU1TVEVSNUlpbEZKUmdSeGRROGp5M2NxVkt5Kzc3TEtycnJycTBVY2YzYlp0MjFlKzhwVlBmZXBUWFYxZHdzS3U2NTUyMm1uejU4OFBndURlZSsrOTk5NTdtYm0rdnY2TU04NFEzMXVOaFd1bzRiRGlVSW00M1BzcjQrZ3JGL0RWUlRHclNnTzBSTzVvUUl1SndwVDFXQ1lyQnFvSEhPZ0dTaTVOeFNZUWpHQjhLM2dDS01Ea1FreUZQR2t3elNnWTlzQXllNWpLUFIyc0diWWZ4SlhLV2xaYnpPcFVzVGx3dW1GM2dPcUJPQ0RDc1dLRURHWWlLQ2pTcEVneEFCMlY5S1NVS1FjT2dRQk5kRVFTM3N2NDhJYy8vT0NERCtieitkYlcxczk4NWpNWFhuaWhWS0NTTFBIem4vOTg3OTY5UFQwOW5aMmRWMXh4aFZnYWpESFNpR0dNa1ZSNDEzV0pLQmFMQ1FVTEwwc1NoU3dEWG5qaGhidDM3Mzd5eVNmcjYrdHZ2ZlhXcnE2dWYvM1hmNjFlNGt1bjAxLy8rdGN2dSt5eU8rKzg4Nzc3N2t1bjAvWDE5Y3VYTDQvTUdEWFVVTU5od3A4di8wVXRjQlQxSVljVWhQQVpQb0VzSjhac1lCUkFwQUFGcGNBR3BEVklneTFRSEtnRERMU0Jua2JiWEpneG1BTENhUjFNNkhDU3paUkJnZUV4b3ZnSXFZZzFZTm4xTFZCMVFBdlFBWFNBRzhBWnNCT0VBVFNVWW9hcDVMbVJVbEFJaWNRVng5RmdVRlUrcTVSakxJNkFXU0xDcHo3MXFZMGJOMjdhdE9ta2swNjY0b29yemp2dlBCbTlBWUNJUHZ2WnoyN2F0RWxyYmR2MlJ6LzYwVXdtSTd3SndQZjlxUElsSWhFUWdpQ3diVHNxaDJWZ25UQXlnRmU4NGhYcjFxMjc4Y1liMCtuMGRkZGRkOEVGRjV4ODhzbnliTksyNTdydWU5N3pudkh4OFQvKzhZKy8vLzN2R3hvYVB2N3hqM2QwZEloQWNhUU9TUTAxL00zaFVGMFREQkNNS3EvSWFVQ3hBaEFTSm5ocWZkL0doemF2V2JweTdna3R4eWRSbDBKR3dUTEcrSDZnb0J6SG9mSktXK1VwUXhCa25VOTZvMTNBU0lvRkVGVDY0cDR1ZWdMeWF4WVFxM3hKRmF5OU1DQ3RxQ0w2R25BSVF3WnhaUk00Z0UrZ1lyR1FTV1JnOU13S3BJSXByemtTVlV2Z3p3V2t6aTBXaXpKOTJYR2NhNis5OWovLzh6LzM3dDNiMGRGeDVaVlhubi8rK1pPVGszVjFkZkxJTDMvNXk5LzV6bmVtcHFZc3kzcjN1OS85NFE5LytOQmV0MVFxeGVQeElBaVVVbXZYcm4zZis5NjNlL2R1Mjdibno1OS8zWFhYTlRRMG9KS2ZLVXR6R3pac2VPdGIzem93TU1ETTczNzN1Nis0NGdyeHNWRUZBRHpQVTByVjF2RnFxT0U1d1NHMXRGWVJFNWU5eEF3VHdBUUdZWW44WVg5c1hkL0dtOWZjL0lQN3Y3OTVlSFB2Wk84a3hqM2xVWXhOTEN4U3NRalBnd21vN0RnR3dSaHdBSVFLbkFWYWdEWndKN2dIUEJlOENMd01mQXdRZlMwRGxnSkxnS1hneGVENUhIYUZRVU1RSkkxeEdKWUJhVzBUTkpkWDlwU0N0bUJyWlUzN2VROUJnS0NFWXUvSTd1SHBvY0IzWlU4cS9kbGNUanArVHF0aXFYT1pXU1o0T283ejBFTVAvZnJYdng0ZEhlM3E2cnIwMGt0UFB2bmtNQXpGcXdDZ3Q3ZjNkNy83blpnZkZpMWE5UHpuUHgrQWZIdXdpSVlrS2FWbXo1NTkzbm5uU1lybXdNREE2dFdycFZpV01EWWgxdmIyOWs5KzhwUFpiRllwZGV1dHQvN3FWNzlLcFZKU1ZvdEpybEFveUVEUzUralkxRkREM3pxZXMyd0JFNFp5WFI5SExCbFBobjY0ZDAvZlk1dldYdld6Yi96NHpoL2Y5Y1JkTzhQdFU1Z3NJdS9CTGFFUXdBM2dCK0NRRUJpd0xPNXBCRUZvVEZoaGVBQlY1VzlrTHA3NVFoakFoQUNSMXBhbHJjcHFWVGswRXdoRDR4RUNoVkFqREZGU05vOWllTVBnaGh2ditjVWpteDdPQnpuWGxHYktYbjRPSytEOUlQSEJ3cVJoR0laaGVOMTExOTEzMzMyZTU1MTMzbmx2ZmV0Ykd4b2F3akFVOHk4Ui9mclh2MzcwMFVkRmFqai8vUE5QT2VVVUhHb1doTXdZRmJtanFhbnBra3N1bVRObmpqRm1hR2pvK3V1djcrdnJrMWVVYlRQR3RMUzB2T1FsTDNuVG05N0V6SnMyYmJyNjZxc0hCd2VqQVV0U1dUOW54NldHR21vNEZDS21wLzlPYVUxS0FXUkJOOVUzTmpjMXA5TVpPMmtIZGNIVzZTMi9YSFBqbDYvOXI2Lys1aXMzYjd6NXljTG1JdkxUbUhSUjlGQU00TUUyY0dCc3NJSjJOR25OVkE2akRJd0pRZzVDbGdnTEV5SU0yUGpNUWJtaFQyc29WVFp0aUtNdUJFSUtjMTV1MnA5MlVZSXlBWHdmcm9mU0pFODhOdmpvYng3NnphL3V2Zm4yUDl3MlVoaXBhNmlMSldJZ1V5SGdtZWw0eisxaVhUUWdBNERuZVhmZmZmZWFOV3VNTWN1WEwzL05hMTdUTEtQbkFPbFVIaHNiKy9XdmZ3M0FHTlBWMVNVUkUvbDgvaENLVUpsaUo2MTBRclhMbGkwNy8venpwVTFqL2ZyMWYvempIK1dSWXNDUXlVeEJFTHpsTFc4NTU1eHpsRkk3ZHV6NDRROS9DTUJ4SE5kMWxWSlN0dGRHSzlWUXczT0ZnLzVnYzFXN1dkUjlSaWluNW9Uc0d6S090dU5XakJrbGRuMWRZRTFrYU5xb3lmR0ovbHpmMm0yUFplejBpY3RQYmtqVXQ5YTFOY2Fha2tnb2FBVWlhQTJMb0VJT3d6QWtrRmFXcGFLbEo5bUNxczRMQW9jd2JFSVRHbUpvUTVZQ0VNSW9SOElqZkEvdU5IS0RZd043K3ZidUcrOS9kTWNqSlZOS09uRmtxTG1ubWFCOGVKbzBzWXIya09pNXQweElRU3BNbXMvbnI3MzIybDI3ZGpVMU5iMzYxYTgrK2VTVEFVeFBUOHVDR0JFOThNQURUejc1WkRxZHp1ZnpaNXh4eHVMRmkyVlUwaUc4cmtnSzBaQTZ1Zk1sTDNuSjlkZGY3N3F1NTNtclY2Kys2S0tMNHZGNExCWVRENGJFRERVMk5sNTIyV1ViTjI0c2xVclhYSFBOV1dlZGRlcXBwMXFXSldjVXNWSkV6MXhERFRYOE9UaTBVVWt6UEVYUi84ek1ZQ1pMV3lrbkdiZGpKakFsNVlVeHc0bzF0R0psalBFQ2I2bzBhWVhXOXIzYnN2RzYxdnJXOXNiMmp1YU85cGIyMXVhMk90UnJPRFljSWlKTGVrU0N5a3FlSmxLU1MxbXRIb1RLaTNRS1V4WXFRaGMrZ0RHTTlZMzI5US8yN1JzWkdCNGRIaGtmblN4TitIRVhHcVNSYUVpMGRMWXl1QlM0aXEyWXRzdHlOVlZHM0QzWEVrVVUrTHRwMDZiZi8vNzNwVkpwOXV6WjBxa3NYYzVDbEVUMG05LzhSdXJUaG9ZRzZVZ3VGQXIxOWZWUld2eWZEc2xVRTdxVTN5MFdpMHVXTERubW1HTW1KaVlBUFBMSUkwODg4Y1J4eHgwbnB3cnB6UlBIMjlLbFMxLzcydGQrOWF0ZkRZTGdaei83MllvVksxS3BsR3hrTk52ME9UdytOZFR3TjRzL2E3MUZGc0pNRklxcGxHWVlJSTFVT3BHT3hSSnNjNG1LckloQW1oUXhLUTJqUXQrWVJEcVJENmEzVDB4dUc5NWliN1ZUaVZSZHRpNGJyMit2NjBySHN3ME5EVTJOVFhXSnVpU1NGaXdGSFNDMG9DM1lWS0ZpQTJQZ2FSaUd6MENJY0JKVEk3blJrY21SeWVMVXJ2N2RVOFdwMGVteHljS1Vaenl5bEpXeFk4MHhtTEJVS0kxT2pmWmt1NXVhbXdGS1dza1lZbVZQY1hWN0NzMDRwSjlEakkrUFgzLzk5Vk5UVTdObXpmcTd2L3M3YWFtUVNsT0t6YjE3OXo3ODhNT2lVUnh6ekRFbm5IQUNNMHY3eHFHVm45WHRIcElkWVZuV3VlZWUrK0NERHhhTHhjbkp5ZnZ1dSsrNDQ0Nkx5dHVvZmNNWTg5clh2dmIyMjIvdjdlMjk1NTU3N3Jqampvc3V1a2drRGpHOTFSbzlhcWpoT2NHaEVIRjVZYTJTUXpuajBRWEJRR2xGWUFTQUlVVmFzelltQkxNaG82U3BUUk5wbXZJbk5XbmxLRmdvY1NrWFRBOVBETnZrUExIdlNSVnFacllzT3hWUFp0TjFtVlEyRlV1bEVpbGIyYloyYkcwVEtQVERJQWhENC9wY0tQcTU2WHh1TWpjMVhaZ3VlQVUzOUFJRVBnTFlJSXRNa2huR04yNGhuQTd5SVdsWTJvckg0KzJ0SFcxT08wSDVZUkJUaWFvT0RvcWkzU3AxOFhORHhzS3pRME5Edi83MXJ4T0p4SklsUzE3M3V0Y0ZRYUMxanN3U0FMWnMyVEk2T2hvRVFUd2VYN1pzV1NxVkV1L3cwL1kwLzY4NElEak5HR05aVmhBRXA1NTZxbTNiNCtQam1VeG03ZHExekp6TDVlVDV4Y29tTCtjNHpxdGYvZW92ZmVsTGc0T0RkOTU1NTdubm5wdE9wOFdHVVRNWDExRERjNFdESStMOXJ0aG5WQWxJdEFTUnJKNVJFb241cytmZHYrVVBkdHl5MkdLanlyOE1ackFSeWNGR1FDRVFjT1U1bUR6aWtneXZJeVppR2cySXhvbkdsR0tsV0pFaGdpSlc4bE1DR1FwRDdSa3F6MnhtWW1qREZqTXh5OWdPWWpZTVloQXNpelVvWUhhVVk4RnV5Ylk2aU5sd1l0b3AyK2dPM0RkK2JzdGhjUWRmYzgwMWxtVk5UVTFkY3NrbDFTYXdNQXlsSnIzNzdydkZMQ0VDc1RpT2d5QjRkaFptNW1xaElLcXY1ZCtvbEk2azZvYUdobU9PT1daNGVEZ0lncTFidDI3ZnZuM2h3b1d5QVZKOVo3TlpvZHFYdnZTbHQ5OSsrNk9QUG5yNzdiZGZjc2tsWjU5OXRqelZvYkh3MDZvcnhwZ3dESlZTMVNXMjdGRk5nNjdoYndHSDhsZCtnTWUyVEZyeXNXZWxRQm9xcG14Yk96QlFUTXFRWXFJb1JnZk14SWJZa0FtVkNaVUpkT2pyTU5DaFovbWVYWEx0b3VzVVhhZm8ya1c1WFhJS0phZFFpaFdLVHFIbzVDdTM4eVduVUhTS3hWaXg2SlJLVHNtMVM2N3RlWmJuYXovUVFhaENVeDdid1FTaFpTZ21CSERZeVRqWkdPSVdiQXIyYjJpdWpyVi9Ua0ZFKy9idEUxUGFnZ1VMbGkxYkpxVmxHSWFlNXhsalpQbXJ2NysvVUNnQW1EVnJWazlQajNUS1NkWmxzVmdNZ2tBb08zcGFHVzFIUktvSzRqWVR5d1FBWmo3Z1Z4b2JHeGNzV0pETlpzTXdIQjRlM3JadG16eE1odGVKUWkxMWVsdGIyd1VYWE1ETXBWTHBqanZ1S0JRSzFVOTdzQWRCcVBhQVhjam44eElVZDhEaHFyRndEWDhqT01RL2RIN0tMZmxNS2xJS1NvTVNkaUlSU3dLS0VTV3o3UmNwejRTbzIwSm0zWU0xUVpVRjJ2MCs0TXhnQTJQSU1JV3NRcU5DUTRGUm9WRWhVOGdVVkw3TVRLeGxOTHl1SEV4aGdTMWlTN05GSGhJVWIwazNPM0EwdFBIM1Z5Qm0vR3ZQTVJNcnBSNTk5TkgxNjljejgrbW5uNzVvMFNLNVg3S0RoWlIzN3R6WjI5dmIyTmdJWU83Y3VkbHNOZ2dDQ1lrSFVOMitYUDIwQUh6ZjkzMC9DQUlKRVVhbHZ4bFBWMXBLK2RuUjBSR0dvZS83d3NVQWpERmFhd2tWa205OTM3Y3M2N3p6enV2cDZUSEczSGJiYmR1MmJZdDZwcXZKOUdBaFZiRGNsbmFTNlA1b0YycW80VzhFaDZnUkEyVWhvbktMaUlncmFjUWFPcDFJcDFLWnZGOG94N3RIa0xvWkRDYWljdWNGS0VwNVVBb2daZ0pGTTU2bGxCYnhnc3FoYUR4VGlJTVZWK2VrUlduRlZPbjZLNytDYkxvR0VITENpYmZVdHlnb01KaWZTWUtncW4vL1hJaFcrK0NERDVaS3BZYUdoalBQUERNV2k0bjRXeXFWcEJpMGJidS92NyszdDFlU0h6bzZPcExKcEdWWmtYd1IzWEJkVjRwS3FhYWpQaEVoWXExMUxCWkxKQklpZlVSRGp3UVJlODZiTjYrdXJtNXljbkprWkdUanhvMmloOGlQNUliVzJ2TTgyN1puelpwMTl0bG5YM2ZkZGIyOXZZODg4c2l4eHg0YmNlakJRdlpVL3BYU1c3WXdla0Iwd3BBcXZyWWVXTVBmQWc3QlIveVVkRWdHRVF4RFUza1JUeEZsa3VsME1qMDBPY1JFWm44cVk1RXVLLzF2cU5nVEFCQ1ROcG9ZWld2RXpPcFoxWDhWT2lZUUV5c1FFMVdZVjU2TXl2MXhSRkhmY3BtT3lUQWJCU1RpOGNhR0J1Rm1WaUVVOE5UOWlqTG1uZ3RJWi9CRER6MVVWMWZYME5CdzNISEh1YTRya3pnazB3ZUE1M25UMDlPelo4OXViR3k4NUpKTDVzNmRtMHFsNUJlbnBxWUdCZ1pLcGRLMmJkdW1wcWFHaDRlSGhvWkdSMGNuSmlaeXVaenJ1aExKSmwzSXRtMG5FZ2toNG13MlcxOWYzOWJXMXRiVzF0cmEydDdlM3RuWjJkalkyTlRVZFBiWlozLzR3eC9ldVhQbjQ0OC9idHYyMk5oWVEwTkRFQVNTSHhRbGFzcThqK2MvLy9rMzNuaGpQcCsvOTk1N1gvdmExNHJPZXdnc0tVS0tsUFlpUG9nbE9aL1BIeUN0aUlYdU9UcjhOZFJ3Vk9OUVhSTXozKzFmTmxZYVBaTHhaREtaTWhNei9vUG84VngranYyNXZFeWlSRXlLcWZJMFpldENkZDVQaFcvbFA4TzBuNnp3bEJabHd2NzNNRUpsMmZHNGsxWkpzZDZSQlZEQVpUT0k2Q1JWTC9jY1FTbTFjZVBHYmR1MnhXS3hSWXNXZFhSMGlGOUNBaWlDSUJBK092MzAwNWNzV1RKdjNqemY5M2Z0Mm5YWFhYZHQyclJKOUlxZE8zZE9UMC83dmkrRmNCaUdRbFdpcm5xZUY0WHlsRXFseWNsSjRlVkllNVVhTnBsTU5qVTFDVFdmZHRwcHMyZlBQdU9NTTZTem83VzFWUjZQU2kzc09FNGtHaXhldkxpNXVYbHFhbXI5K3ZXYk5tMWF1WExsSVI4SElmRm9URjhRQks3cnlnb2hxbFlkYTFQeWF2amJ3U0g2aUo5S1VqTWFNRU1SSlhROElZMndJSjVSb2l0cXdRRy9WTVhWckl6aHFQYXQxcUlqQVdFLytWQ0ltS0xYcnZvRkFrdGxUVFBpaURFY1dyWVRTOWdXeFBSc2xLVU1RbE41c0RvTWJYV0NCeDU0b0ZRcUVkSHBwNTh1NlpSeXY2eVBpUWtoQ0lMZTN0N2JicnR0elpvMWUvZnVIUjRlRnVVaHVrNHZsVXJwZExxMXRiV2hvU0dUeWFUVDZYUTZIWS9IMjlyYUFEQ3o3L3VGUW1GNmVsb3E1UjA3ZG5pZVZ5d1dYZGNOZ2lDZno1ZEtwWUdCZ1hYcjF2MzJ0NzgxeGpRMU5jMmVQWHZ1M0xtclZxM3E2dW82K2VTVEplTEh0bTFadTVQcXVLbXA2WmhqanBGNi9MNzc3anYrK09NUGJhSm9OR1J2MDZaTitYeCt3WUlGemMzTlJDU25wZXFBTjNuMVdyUlFEWDhMT09pLzhzaE13QUFwamxSZUZkRXRnUUViVmx3NWxxRlFzL0JwVldNeVZ4NVZlU1p4dHBYbDR5citwV3JPWmQ2UGlNdEtncFRBVll4QW9teEU5WFQxYzRoZ29XSEZWRXhETVF4RjNTakN3dFhiRmUxbnBXZWxzdldSNkh3QUR6Mk51RkdOTFZ1MnhPTngxM1dsbkpSaTBJU2hFNHVOalk2dVg3LytsbHR1ZWVDQkIzemYzNzU5ZTExZFhhRlFNTVprTXBsTU90M2QzYjFreVpKWnMyWXRYcktrc2JHeHZiMjlvYUVoRm90SkZxV2txVVVVSm1LeHJNSVpZMFpIUi9zcTJMbHo1NDRkT3dZSEIyM2JucDZlMWxxUGpJems4L2wxNjliOTlLYy9yYSt2NytycVdycDA2ZW1ubjM3ODhjZlBtalVySG84TEZkcTJ2WFRwMGwvODRoZXhXR3p6NXMyeW9IY0l4b1pDUHA5T3B6ZHYzdnlGejMvK3pqdnY3Tzd1N3VucFNhZlRLMWFzYUd4czdPbnBtVFZyVmx0Yld6S1oxRnJqa0pic2pxcGx2bHBWWDhPZmdvTWpZcXJvdVFac1lBQkRSS0lNV3dBTUF0ZFFqRU50UW9UejJtWTlzdWwrenc1WmVjVEVNd3R1UW1hUnBsSHQ0S1dxSHBIcWoySEZmSUVEbTkzS09nV2U1dk5YRG8zWTc5R2syQzVNdUN2UE9ONkdrMFNDV0ZjMGF6VXplbHBWbGgwWllBTU9HSUZSSEpLTThMQUllbmR2YjBkclJ6S2VsSmRoTm9IeExXMFJWTEZZa3ZKV2pNTml6aDBmSDkrOWUzY1locTJ0clQwOVBiSTVoWHgrNS9ZZHExZXZ2dlhXVytXbkl2Sm1VdW5HK29iVFR6MnRycTZ1cnE3dTRvc3ZYclpzV1Z4VWdtZjRaRmZMcWJLK0Z6V0pORFkyenBrelIwWit5Q3lQL3Y3K0o1OThzcmUzOS9ISEg5K3laY3ZnNEdDaFVGQktGWXZGTFZ1MmJOeTQ4YWFiYnVycTZscStmUGxKSjUxMCt1bW5MMTI2bEpuUFB2dnN6MzN1YzhWaWNXUmtaSFIwTkp2TlBqc1JGNHRGT1ZWRXJTZy8rK2xQdi92dDc4eWJOeStYeXozNjZLT3BSTEtZTHp6ODRFT080enp5ME1PZTUvbStINHZGV2x0Ylo4K2UzZFBUMDlqWU9HL2V2TWJHeG82T2p1Ym01bFFxNVRpT3Npd0FISWFrdFZjcU9mRzRDUUs1MDRRaFdmcW9JbUxVdUxpR1B3R0hkTjNISUdJRFpqREFHcnJNZ3d5bGlCVWJzQVVyN1NSc294UVlNQ0F4VDFDRmZTTTd4RXlwVEx6Znd0cisyRTlQZm9ZZlBPMldIdkJnSXFhWTVjUlYwb0ZEMEFqQm1va3FMR3dBR0diRHJBeVVCaWp3WVV2SnpRQlB1N2xjcmxBc2VMWnlvTXBYMEpYV2lmSUxSbGZURVRsNm50ZmYzNzlueng2bDFNa25uOXpXMXRiWDEzZmJiYmZkZWNjZEQ5Ny9RT0Q3QUd6YlRtZXpuWjJkcTFhdFdyNTgrVEhISExOZ3dZSlVOdnNmbi83MFhYZmVlZnlxVlFCODE3WGpzZi8xL2FtR25BeUVoUUVZWStMeCtMeDU4K2JObTJlTUtSYUxFeE1UZS9iczJiUnAwL3IxNjNmdjNyMWx5eFp4d3ZYMjl1N1lzV1AxNnRWZFhWMmRuWjJ2ZmUxcmlhaTl2WDF3Y0hETGxpM0R3OE5OVFUyUm9maXBpUHJ1b29hOW4vLzg1NS85N0djNU5FOXMzdXk2N2t0ZThwSVh2ZWhGbnVmdDJiT25yNjl2Mzc1OTQrUGpVcDd2M2JObllOKytCKzYvWDg1aFd1dGtNdG5ZMk5qVjFUVnIxcXlPam81c050dlIwZEhaMlpsTUptZk5uUnRXaUZocHpVZFRSVnlqNEJyK1JCeGk2TTh6L2EwclJVeUt3UmFzVERwaldYYkY1RkN0MWY1bC96NHA3c1Rqc1RpVmkxNkVKaVRObWl4UzRtTUdFVUtFSWNCZzIxRkE0Qm12NEpWeWJqNVhMSlJLZnVDYXBteWlXaUVWK3g0QkV1WlEvWHJpQWVqdDdlM3Y3MCtuMDlsczlrYy8rdEgxMTEvLzZLT1BwbE1wMTNVVDhYaDNkL2RKSjUzMGdoZTg0UGpqajI5dGI2L1dQSGJ1M0xsdTNicGpqam5taFM5OG9WM1ZDZjBuSWhwL0o5K0tGQXRBWnRrbGs4bFVLdFhWMVhYS0thZE1UMC9uOC9sZHUzWTk5dGhqdi8vOTc1OTQ0b21wcVNrQWc0T0R3OFBERHp6d3dPTEZpNE1na055ZnNiRXhBS1ZTNlpuRzJVV21Demt0M1hubm5WLys4cGZ6K2Z5YkwzM1QwT0JnSXBGNDg1dmZQSHYyN043ZTNvc3V1c2l5ckZLcDVMcHVMcGVibUpnWUdCaUlKSlJ0MjdhNXJqczFOVFU1T2RuYjI3dG16UnJmOXozUHkyYXpUVTFOWjU1NTVpYys4WWxZTWhsNlhyRllUTmZWSGV6eHFhR0dvd0hQNlVwSXhVaHNZQWlVU1dWVDhkUm9PRXFzTUdPRXFIcDRSUXVlMFhlZjg3YmlwNENZWXJHNFk4ZktMNnZMU29naG84cGxyd2tSR2lBRWgyQS84RHkzTUZXY25pN21TMEdKUVZyYjhXUkNXWG9tWXZncGJYZ0hMR1RadHYzb280KzJ0YlZOVFUzOStNYy9saG5NcVZRcWtVaWNkc3FwTHp6MzNCZS8rTVd0SFIwQS9GSUp4a0RrVVdNS2hVSmpZK1Bldlh1Ly92V3YxOVhWblg3bW1RZTd2OVZFS2JRWXVTbFFzU2lJdUp6TlpyUFpiR05qNHltbm5QTDJ0NzlkV08vdXUrOWV1M2J0d01DQTR6amJ0MjhYejRaUzZzRUhIenorK09Nem1jd3p2VzRzRnBOelFEd2VmL0xKSi8vMVgvOTFiR3pzYTEvNzJ2bm5YK0NYU21FWTl2YjJmdVFqSDVHS3U2NnVycWVucDYydGJlN2N1ZDNkM1FzWExseTFhbFV5bVl6SDQ0bEVZbXhzYk0rZVBidDI3ZXJ0N2QyN2QrL0F3TURVMU5UT25UdUhob2I2K3ZxS3hXSXNtZFNPRXpWYzErclFHdjdxOE53Uk1VVkVMR3R4S3FWVExmVXRlNGY3bEZIeTQrbzF1K3FxdWlvQitIQkVBZSszbGN5SU93bkhqdUlPWktLZG9mSUlaeE1pS0xIcmhvRWJzQWxNWVdxS3d5QkFFSERBbGlnbkhIS290RDVncmE3Y0ZsaFpMaFBLQzRKQWtpSzJiZHVXeitjQkpCS0pxS2ZqYlc5OTY3Smx4NVMzSXdqSXNxVG01U0FncFh6ZlQ2YlRjZ0crZHUzYVgvN3lsOTA5UGJQbXpqbTRIYTVzcElSaFJsbVhJa1lma0FjVUJJR2tFb2RoT0gvKy9Qbno1Ny9tTmE5NThza250MjdkZXZQTk4rL2N1WE53Y0RDZnorZHl1ZHR1dTYyam8rTTFyM25OTTcydVBKdldlc2VPSFovNjFLZjI3dDM3OFk5Ly9KeHp6bm43Mjk3R3hzeWRPM2ZIamgxMzNYVVhnUDcrL2gwN2Rqejg4TU1pYll0aG83Nit2cjI5dmFtcGFkYXNXYzNOemJObXpWcTBhTkdwcDU2YVNDVGtNY1BEdy9sODNoaFQzOVFraDA0N2p1KzYxa0ZLTjRjVlZEc3IxUENuNGRDSm1DcG1nNW03ZEpsRU5iUUJITVRhbXRyVmtGS3NVZmFmY2JrVm1tWWFReW94WnhTMXloMCtFQU9HRXJGa3pJbkx5eG9ZbDB1S3RHczhJUS9YTHhXQ1FzRjNYWjlOeUJRWVJZQUdhd1lSTTB4Z1RPaHJTOWErQU1OUGJSU1g3alVwQ1FHc1hidDI3OTY5UVJBa2s4bTJ0cmFYdi96bHIzNzFxNXVibThIc0Zvc3h5WU5YeXZpK3Npd0o3SGw4NDhacnI3MTIzcng1RHo3NG9JeTcvOVd2Zm5YcWFhY2RMQkZIcUU0WGtxMlMwaGlBWkZtSXcxZnNaYkxRSncxN3h4eHp6UExseXkrKytPTEhIMy84dnZ2dSs4TWYvckI2OWVySEhudHM5dXpacjNyVnE1NXBzVTRwSlZHWjMvakdOKzY1NTU0UGYvakRmLy8zZi8rWlQzLzYzbnZ2SFIwWm1UdDM3dmo0K1BUMGRIZDN0emp0V2x0YmZkOTNYVmMwazZtcHFYMzc5bW10WlM2SmJkdlNwZExVMU5UZTN0N1kyTGg4K1hMTHNycTZ1bFlBdnU4N1dvTW9ETU9uRjBwcXFPSG94cCtaUjB3SGZHK01JWkNHWnJDR2JtL3EwRVlybzVnZ0MySFN2TXd6VmU5K2lXZUhmNW1GaUZVaWxvenJPSUg4TUNoNXBaSENxTkVNZ0kwSmZkOFAzUks3dmdsOUpoaEt4cFBNSm1EZkdNTXdtclJXbGlKRmlwNjJlcGNyL1VnaEZZL2F6VGZmL01RVFQ1UktwYmU5N1cwdmU5bkxvaFQyOGdGQU9YbWhYSjh5QXhnZEhmMys5Ny9mMHRMaWVaNnN0azFNVEl5UGp4L0NQcnV1eTh5TzR5aWx4TmFXU0NRT2lCNUdSYWFRUXQ1MVhTS0tmQmN5QjNyNTh1WGQzZDBubm5paTY3cC8vT01mTjI3YzJOZlhGemxBbmhiRHc4TTdkKzU4eFN</t>
  </si>
  <si>
    <t>0ZWNja2xsOXgrKysxWFhYVlZmYll1Rm90TlQwL0xnTDVpc1doWlZudDcrOGpJaURTblpMTlpyWFVZaHFWU0taL1BOelkyeWdsRDNOQmpZMlBidDI5WFN0MTg4ODJPNDF4d3dRWG5uSE9PazBqQUdCZ2p4cEphRVZyRFh4MytUR2tpdXJJVkR4ZVltVUFLaXNFRVZaZXNVMFlyMWd3MkFNaFV1WEdsTWlZK29wOGNJcEN0SFFjeGdNSXdMQlNMWTVOakpmWWN4NEV4WU1NVUdtM0kwWTV5bExJQ0x5UUNnNGhVMlhWbmdKQlZXZk5tTTVOMFFRQXh5N3JrekQ0VkNvVjc3NzFYZkxodmZPTWI1ODJiaDBvYVpLbFlqTWNUY2toVTlhcVgxclp0dDdXMTVYSTVyZlhrNUtUMFBqelR5dGl6WU9QR2pYZmZmWGRmWDE4Nm5XNXFha29rRXVsMGV2SGl4Y3VYTDMvS29TRkpvNWZhVTFvNWhLbGpzWmhVeXZYMTlTZWVlT0s4ZWZNZWZ2amh5Y25KWjJub0VOZUViZHZISDMvOFc5LzYxdjcrL3ZlODV6MlNZWlJNSnFlbnArUHhlSDE5dlp3a0NvVkNKcE1SZDUzdit6STN6M0djZERvdFNVYlNWQktkU3lSU0k1Zkw3ZG16WjhPR0RVMU5UWmxNSnBWS0tXWmwxeHBBYXZqcnc4SC8xVkwxUDF6bExRWUkydFlBQ0lwQUZLcFpiYlBUaVV3cGNKMllYWER6UVJDa3NxbkFCSUh4UXhPQ3BINk05SWdqUWNpYXJHUXlSVkFFR0poY0ljZUt5ck9UTlJHSVNiRkNTT1ZJU0ZLa1NTa2l3OGFFSVl4UlVMSUdaY0tRU1ZtVlQ3NVMyc0FvcFNSWWZXeHNURUxVcHFlblIwWkdqREZ6NTg2dHI2K1h3dE54SFBrWGtMUERnZnN1SVF4eWJTNnBFYTdyU2p3bXF2cUFJMFR0RlFkb0JiRlk3RWMvK3RIbzZLaldXbnhwbG1YOTY3Lys2MU9KV0JCeGZYV3hMTnFGM1BaOXY3dTcyL2Q5cGRUVlYxLzl6Ly84encwTkRWSEtzUEMxTUxqdiszVjFkVmRjY2NVRER6endtYzk4Wm1Sa1pGWlB6M1NocUpXU2tsem9WZlIwU2JRUUxoYkl3cUJvMmJJeFFSQkVPKzQ0ampGbXpabzFsMXh5U1VORFExMWQzWVVYWHZqZXl5NTdwdmY5bVlMaURqaGM4dVJ5V1NPQlNxN3Jsa3FsVXFua2VWNFlobE5UVXpMUXI2MnRyVHFSV1E3SUFWY1kxWjJCQjZ6ZlB2VmJPYzdSQmtSSFB2cTNodi9ET09UeWdiQS9jVllYdHRLOVpwTnR3OGtrc3VQVDR3aFpRNGNjbU5BRW9jK1JWN2o2NnA0cmY0aUg3NitPQVpDbGJFU1NRQ1UvdnZ5ZERONERxdHF1MlVET0dkTHNBVEc1cWFlNCtLSStQdEZHby9DRWUrKzkxeGhUS0JTYW01dmo4Zmgra2UxRVJnYktFVW5hR01rQVZTQWFheVRqbG9XQXN0a3NHNE9xUHVBSTFZUlN6ZEhDYnRKRExPTTVvb3loZzRKd29xeW5KWk5KeDNGMjdkcDF3dzAzYk4rKy9RMXZlTVA1NTU4ZmlSNFRFeFAxOWZWQ1NibGNibXhzN0VjLyt0Rzk5OTQ3Wjg2Y3dZR0JaRHdoMlJyUmFxR2NQR1REWks4bEJsTjRUUUpDcFpEUFpyT1pUQ2FaVElxQ2tVNm5FNGxFWFYxZE1wbGs1dTd1YnFWVTljNVhINGZvK0pSS3BXS3hHUFY4ajR5TStMNWZMQlp6dVp5bzFSSzQzTi9mTHlFWXhXS3hVQ2dVQ2dWNS9QRHdzRzNiTFMwdEN4Y3VYTEpreWFKRml4WXNXQ0E1U3RYSFgzWk5tcm1mbGt6RmZCSVpiNkx6aEd6blU5L2ZHdjV2NDg5Y3JKdWhZK1l5UVFBZ0tNMldRN0RoTmRjMTkwLzFCYjV2S1N0VWdlLzVBUWVXb3l1TGRsVldYT2xHUHJ5K0NRSmcyVFlxbmMzTU1zNUQzQkJsajUyRVZDaFdEQUtIVUNRc1hIWkVNeE5ZRWNvdDBWVmdJQWdDeDdiRmZzRE0vZjM5TjkxMFU2bFVhbXBxV3I1OGVYWHdMZ0JtVnBZbHRSTXBSVkk5TVllK0w2YmFjcWxPcEpTU3EvaG5TbmlRSHdtRlJRUVhWVmd5SGlrU0h3NGh4REtxdFlub0JTOTRRYkZZdk9PT08rNjg4ODdKeWNuKy92NDVjK2JJcUdrQTRtbnpQTSt5TE1keHZ2S1ZyL3pQLy94UEpwUHA2K3RyYVc3bTBOaVdGWXZGeE1Jc0hqN2J0anM2T21LeFdDYVR5V2F6ZFhWMXdybnhlTHlycTB2MlJaYnNZckdZdG0wUWhaNG5OMlR6QXRkMVhYZDZlbnB3YU1oMTNYdytQems1T1RFeElhcU81M2s3ZHV3SWdzRHp2RktwVkNnVXBNS1ZyR2R4aWNpSkpNcmRsMnEzdWo2VmY1UEpwT3U2ZTNiMzl1M1orNGQ3NzR2Rll1bDBPcFZLblhiYWFiTm16VnF4WXNXaVJZc2FHaHZCTUdIbytWNTgvNm81S3ZDaklGQjV2NTQ5WjA3MG9vTjl5MnI0SzhLZk96dzBRdlhGRklFc3NvakpnZFBTMEdydHRUelh0UktXWWlXS0JHbEN3Q2puRWRQK1QzbDRWK3pZd0hGaUJDV3ZIQnBURVZjcW04K0tHTVFLVUFSaWhNd2hsVE13V0JFcFFBT0tTRVhKR1JWUDNnRkhvMWdzM24zMzNZOCsrbWlwVkhyUmkxNTA4c2tuUnc4UTJVRXBGZnErdG0yaFlJa1dqc1ZpMm5FU2lZUW9zMkVZU2wxY0twWGsrcGYzci9XZXR1NnJ6czJSbDR2NnJhdDFoajhkUXZFU29EeDM3dHozdk9jOWl4WXRFb2Z2MnJWcnYvM3RiMy9pRTUrUURqcFphcE5VdVc5Kzg1cy8vT0VQczluc205Lzg1bE5PT2FVdW04MmswdkZZVExLS2tzbmtqREllN1lVeGtUb2hyMXNxbGFhbXBzYkh4OFZvSVdOSzl1M2JKeDBvazVPVDQrUGpvdHNNRHcrYnlna3B5cWlMRmlGNWY2QktINUNUbGxiS3JseXk1SEs1NkRDV1QyeEVBQXI1dkZUcmlzaUVZYkZRS0JXTG95TWpqMi9jR0kvSDYrcnF4QTI5WXNXSzQ0NDdidmFjT2MydExiRllUSjduQUU4MzlxOThaV3ZsMUZ1ZDQxR0x5Zjlid09GWjJhaVkyR3c0TFkydHRvNlpJRWRRQkUxVUdTY3N3UlBsUngvUkZidFlMRVlWdzNQSWhxa3E2a0thQUJrS2l0a0NjY2lHRUNwRklsb29oaVlva0NaVlRnaXE3SU1CQUxKc1M4d1NBRVpIUjMvNXkxL204L2xzTnZ2eWw3OTgvdno1cUdwMUUybENLWVV3aEZJZzBvNlRFTlU0REhPNVhHTmo0K1RrWkxGWWpINGxGb3NKTjBSVUVsM2VIb0NJakFxRlFpcVZHaDBkbFl2ZlNIYysySU9XeStWRUZoQ0MwMXFmY2NZWjczakhPejd4aVU4ME5qYmVldXV0TFMwdEgvakFCMnpiRnJJRzhMM3ZmZStiMy95bTF2cDFyM3ZkKzk3M3ZtdzJPem95WW9LUWpmRjlmM0J3TUpmTFRVMU5UVTlQdTY0N05EVGtlVjQrbjUrZW5wWTdwWkx0Nys4WHJUYWFQeUw3NnpoTzVHeVQ2dHV5ck9ucGFhdmkvNk9xMlZGeUhZQXFZcTJXQlFSU0NFZXNsODFtb3g5RjkwZXlmdlQ0NkdqWDFkVXg4OVRVMU5EUTBLT1BQbnJ6elRkbnM5bFVLblhjcXBYZFBUM0xseTlmdEdoUmUzdTd4R1ZFRlRFcVBCdVZ5ZEhMUlVRY0JZZlc4SDhZaDVaSGZFRE1HQU1nUmZ2VnRnd0FpblJMWTNNaWxwaFNGcGpBckpTRzVrRDZoNEZLVVR5akdCOXVNTFBRaEx5OE1RWmF0bmNtazBnWnpWQU1EVGFHcFdkYkJBeldVQXFzQ0JxcXJFdVlpbHBjWHNFa1k4cExWVnUyYkhuNDRZZVR5ZVFKSjV4dzBra25BZkE4N3dEZkdFbFlzT2ZKUFdOalkxdTNidTN0N2Izenpqc25KaVpFSnBhUGZmVkMzRk0xeENoOUxlSWErV0QzOVBTODhwV3ZIQm9hRXVJWUdSa3BGb3ZWZ3VhZmlHaDBhZVJiU0NRU2wxeHl5Wll0VzM3eGkxL3MzTG56VjcvNjFZb1ZLMTc2MHBmS0J0eDIyMjFYWG5ubDNyMTdYL25LVi83RFAveERFQVNYWFhiWnpoMDd2SkliK0g2eEFpblZwY2FzcGlRUlZVU1ZqZ2lSaUNSZVdTUnYrVlprZCtIRVdDd1dWWjB6VldTRlRlWEF5VnNmSGIyS21BYXRsSzdTMll1RlFuUThsVkpXSmFLemZGSEN6TVp3cFlIYkdGTXFGaTNMY214YmhDbGpUT0Q3VTFOVHQ5NTZxOUphTENKZFhWMkxGeTlldW5ScFYxZlhDU2VjSUgyRDhwN0t5VWIrT0t0cHVvYS9FUnp5aEE1VUFpU2xKcXlzU096UHhRUnFTRFZtVXBueHFYRkdhSXhScENCOFpFVWZpWWlUSzgvMTUrL1dzNkxjM1l1Wmk5UEtLODRFWWhBMHM1SitRREtHTkFrWEUxaVZNejhKUktoYWlvOXNlVkVRKzdwMTY0ckZZanFkZnNsTFh0TGMzSXhLazdGSWZwN25sWXJGYkxZdTlMemg0ZUhObXpjLzhNQURqenp5eU02ZE95Y25KNld2UVVqSHNpd3AranpQWTJOby8rbHpBdEUwcFZ5dHByT21wcWEzdmUxdFVzUEtJSXhDb2REYTJub0l4MDNpakRPWmpNVEdXNWFWU0NRKzhJRVA3Tm16WjNKeWNtaG82SnBycnBrM2I5N1NwVXNmZXVpaGYvdTNmd3VDb0t1cjY5SkxMMjF0YmIzODhzdC84NXZmRlBMNXVreldoS0dVdDdLUlVpRkc0bXhFZjhMTEI4alpjbytRbzlTSnBWSko3b21hYUtKSEhuQ0RuZ0xacWVpbmVBcEJZLytWTlBrMktyUUJpTm9UaG1FOEh1ZEtmRE5Ydk9SSzYwUWlZWmpsQ21CZ1lHRHQycld5di9GNFhES2dWNjVjT1gvKy9JNk9Eams3Rm90RmVVQjB6RkVsME5md2Z4V0hLRTFFaEZ1Wk5uZEExRUxVZFVmMWFFcmJXY3V5U3NyejRUdGtFWk54UTB2YnZOOVEwZkxranNQS3dyS1ZXcFV6NFppTUtRZGZzZ1JpekN3L01nUE1ZSktWT1piZE5KQndPRkl6enljWmRKVjh6ekEwU3BlUDZvNGRPOFE3Y2VxcHB3S0lFaDVrRUZ5aFVCZ2VHdnJCOTc2L2VmUG1SeDk5ZE4rK2ZVcXBlRHdlaG1ISmRUT1pUR3RycTZTUlNmdWhaZHZsQytlS3Npa1o4UGw4M25YZHdjSEJZckU0UFQwZHFhZ0FpS2hZTE02YU5jdHhuRmdzSmszRG1VeEdESFlIZGVqRWw1YkpaSVRDNUtvaUNJSnNOdnNQNzM3MzZNakltalZyN2wrejVxRUhIMXk2ZE9tdmYvV3J2cjE3NC9INHh5Ni8vT3l6ejc3Mm1tdCtkZlBOSmd4UE9mbVV5OTc3M253K1B6SXkwdC9mTDhFUm82T2pzaGZDWW9nRWJzQlVjYWpjcUJaTWhRU2xrZHB4SEZsd2t5Tjh3TVVCbnFLcWN4UnF2Zis4QWE2VUZKcXFpSy9jZlY5cEFxMHlPMHNCcTVTU2hjcW9ncFlPbE5BWUp4YlRpclJTVk5YbUV3WkJQcGZidUdIRCtuWHJmZ2hrTXBuWnMyY2ZjOHd4YytiTU9ldXNzektaVEgxOWZTS1JFTm1hbm1zS1BxaVBXTTI2Y1dSdzZNSHd6M0lQVkZUa3FnUXk4OW9XcjkyMTFrKzd2dTBTUXVXcHVsakdOMTVJb1ZGU2EyZ0FUTldwdzRjTGp1MVlwRFRZQVkzbnA4aUNaU25QZUVRS1JDRklnUzBPQ1NaUXpJQWkyOUpPWUFMRHh0SjI0SWVLdUM2YkRrRWFJRlVlUnEySkdBYVIxQkNHbG1WMWQzY1hDb1dHaG9iZi9lNTMzZDNkanVQa2NybXRXN2Z1MjdmdmdRY2V1T2VlZTBaR1JqelhMV3VnZ2U4NFRsMUQvYUpGaTNwNmVsYXRXblgrK2VmZmNzc3RuL2pFSnp6UFU1WldscDZjbnVyZHM2ZS92My9idG0xNzl1d1pHaHFTNEp2UjBkRjhQbDlOUGRGaWxOaWtBSlNUampPWnRyYTJwcWFtRlN0V3RMZTN6NTgvdjZlbnA2R2hJWmxNU25adzliSGlxdkdkY2cwZWhxSHJ1dWwwV2g1Z1dSWUg0WWtublBpRzE3MSs4K09iSE1mWnRQRnhNS1lucHhUb0pSZTgrRTF2ZXZQajZ6ZDgrVXYvcFVuVjFXZi83Uk9mcUt1djMvekU1bU5XTEQ5dTFjcTZ1cnJ1N3U2QmdRRTVvNHlPanZiMzkwdlkyK0RnNE9EZzRQall1T2U2aFh3K2w4dkphVXo4MTZLTmlPd2JTY0J5dFNHRmRsUkNSbUp1dGN3cXg2ZE14OHlXWldtbEFZUW1OS0VCUTJsbFc3WXd1MVM0V210bEthVjFvVmdrUlpabHBkTnBPWFBJSzJKLzloZDJ0cXI4eXd3WVBMMVpaWHB5YXVQNkRSdlhid0R3WDFkK3FhdXJhOW15WllzWEw1NDNiOTdzMmJObnpacVZ6bWFqekdWNVk4Q01aeUpvWmphR25sYmNZR1oxNEFlTXdiN3ZWNld2SElnYUZ4OEJITFkycExKZ3FpdzRqYWtXeTdaZGxkY3haVXhvazYyaFEwT3NVU2xMeXY4ZG1iVmhtZDBrK2NMbHFwd3IzMU81UGE0OExKcmtnVm9hQXhtS3dRYkVaZnJkNzArMHNtaEgwZVhrb2tXTEpEdnQxbHR2N2VycXV2dnV1N2R1M1RvNk9ycHo1MDRadlRFMk5zYk1UVTFOaXhZdm5qOS92alM4clZpeFFuUU1BSzk5M2V0YVdscy8vL25QcjFtenBxNnU3amUzM0hMZC8veFBzVmlVS2hpVkRQaW8rME1nUkJOZEk2TWlHUVBJNS9NN2R1ellzV1BINzMvL2U3bEFibWhvbUQxNzl2TGx5NDg5OXRoWnMyWXRYNzQ4V2t1czdsQ0lkR3FaWjdxZlFrMTAxcGxuc2pGOWUvZG0wdW5oZ1lGNExMWnM2ZElQdlAvOSsvYnUvZmZQZkdaOGJNd1k4KzlmL25KemMvTXJYLzJxd2FFaEloS1Btb3g5bWoxN2RudDdlektaYkdob21EdHZYbU5qWXlxVnNtMmJnSDE5L1o3clRrNU9EZzhQNzkyN3Q3ZTN0Nit2YjN4OFhBYXRUazFOU1l1S0tPbkdtT2JtWmpHb1JWTlpSV1dPQ0RwaTRUQU1UV2ppanNPRy9YQ21lVVFweFliSHg4ZWwwSloyUGltOVJTOFMvaFZGSXBLdDVlMUFaU1V3T29CY2tUNytSRXhQVFczSjViWnUyYUsxVGlRU2JXMXRQVDA5cmEydHA1OStlbnQ3KzV3NWN6bzZPMlZwOThEZk5DYnlvWlBXaURUeHB6d3lNQlh4U3NtYlM3YnRQTzFIcjBiQlJ3eEhvQitVV3B0YjAvRk1JWnlNSnhPbFlySHkyU2FnbkJhUC9TajRDS2pFaHhGUjRwcFM2b3d6emxpMWF0WGRkOSs5YWRPbU8rNjRZKy9ldlpzM2J5NFVDaUlRSzZVV0xGand3aGUrY042OGVTdFhybHkwYUpGa08zREZKU1lDd3Jubm5pczM3cnZ2dmtjZWVTU1JTQWpiQ2tmVTFkVzF0TFRVMWRVdFdiSkV6TG5TNWhETnhHUG1hSVRkNU9Ua3dNREEzcjE3UjBaR1pDVlFrb1hIeDhjM2JOanc4NS8vWEdzOWQrN2NrMDQ2NmV5enoxNnlaRWsybTQwS1NSRmhvL1k1NFpxcHljbHN0ZzdBOXUzYjU4K2ZuMHdtZCsvZW5Vd21MNzc0NGdzdXVHRFczTGxmK3NJWC92Q0hQK1R6K1E5OTZFTW5uSERDNTcvd2haR1JFZHUyUjBkSGZkK1g3b2xrTW5udnZmZm1jam5aZnBrL25VcWwwdWwwSWg0L2Z1V3Erb29uYk5XcVZiSjNqdU1NRFEwVkNvV3hzYkhSMGRHaG9hRzllL2Z1MmJOSEZBOVUyTkN5TEZuVzh6d3ZtVXlHWVNocmd5Szd4Mkl4UzF1NTZXbUtIbTlic3B1aENWUHBsTHlWbnUvSjQyM2Jsb3BZYXkzUEhKWGJRUkNrMCtuSU14ZkpJTS9VenZjc1NLVlNWQW53S3hRS08zYnMyTDE3dDliNnhodHZsRGo4T1hQbUxGcTBhTm15WlV1V0xHbHZiN2NkcDF3YUh5QmlIRURCNVM0bEFsRGgzeHFPSWh4MklpYWdLZDFVbjY0Ym51aTNTSWQram0wT1RTZ0ZKeWd5OFphTDBiOXFGZ2FncW9iSXRiYTJ6cDgvZjkyNmRjYVk5Ny8vL1JNVEUxLzR3aGZ1di8vKzQ0OC8vdGhqanozcHBKTk9PZVdVYXExV0JGQ3R0VFNEUkQ5NitjdGYzdHpjSEl2Rjl1elowOVRVMU4zZExaZXVYVjFkalkyTjJXeFdHSnoycjMwaVlTRktqUkJSVmV3S1c3WnMyYk5uei9yMTZ4OS8vUEhlM3Q3SnlVa1JQV1hOOEwvLys3L256NTkvMWxsblBmLzV6ei8yMkdQYjJ0cTRLdkJleUgxc2JHenZuajEzL3ZhTzdkdTJQZmpnZy9sOFBoYUxyVm16WnVmT25TZWZkaHFBNjM3eWsydXZ2ZFoxM1FzdnZQQ2YvdW1mcnJ2dXVxdXZ2anFaVGdWaDJOTFNjdEpKSjNWMGRJaTBzbnYzN3M3T1RvbjFtWnFhRXJORUlwR0lPYzY5OS94ZVZaYm1Fb21FTkhva0Vva0ZDeFkwTlRWMWRYVjFkSFRNbno5ZlhNbmlhWk1nK2RIUjBZR0JBWWt3SGhzYjYrL3ZGMkZYR3VTNFlsSVdnbzdzMVZGclh4QUVJSEppTTZHYW9URkJHRHFPdzJCcGQ1YTZVbm9DSTBmZ0FaN2ZnN1ZzUDNYb2lRVGhaektaWEM2M2FkT21EUnMyU0V5b25JQlBPKzAwbVdjNGQrN2NsRGhiakRGaHFDck5RYWg0VWFSajB3OThWSVRzeW1ORFkwdzhkdEF6QjJwNERrR0gxU3R1QUE5Y1FPRjdhNzUxLy9iN0tHMG1wc1pTZHBLWVdCdER4aWpESUdKTkxIUHNwYjN1Y0cyU0ZkcUpNUDJtOC8vZldTMm54aEVibUJ3ZG5CeG1KL1JDWHltYm9SaWttUjBURU1OWHlwRGkwRmlXRG94dllMUld4Zzl0c2x2cVd0b3puUllzWWpYajVhTm80QjBCbUo2ZXptUXlWMXh4eFU5LytsT3Q5V2MvKzltTEw3NjRVQ2hNVEV3SWRVcm01RE10aUV0ZEhJL0hJNUZYY252UE9PTU1WSFZxSE5UblBNcTlCQ0RyV3VKLzZPL3YzN0JodzZPUFBycGp4NDR0VzdaSSs2OWtMS1RUNlZXclZwMXd3Z2tYWG5oaFkyUGp4TVRFeG8wYnQyM2J0bTNidHZYcjEvZnUzdDNXMHJwaisvYjU4K2NYaTBXaHAzUFBQZmVESC95ZzcvdnZmT2M3ZCsvZVBXL2V2TzkvLy92OS9mMGYrdENIeGljbXZNQlhXci9wVFc5NjE3dmUxZG5aR1liaDZPaW9VbXIzN3QyVGs1TWlEUThORGNtTnlZa0pTK2w4TGpjNU9TbUJjTFp0UjlwQ0pNaktLcUtjaytiTW1WTmZYOS9hMnRyVzF0YlkyTmpRMEpETlpoT0poT1JzNUhLNTBkSFJmZnYybFFQbUo2ZDI3OW9sL2MyUmwwNklLYnFld1A1MkN5TTlTRlZ5Y0xUMFZ5M1FSNjdrZysySWkyd1lxQWhLOHJTdTYwYVNVZlErRXBIcnVxbFVxcW1wcWFPalk5NjhlU0p0U1lnem5rNG01bWNlci9OVUhLaSsxWERZY05ncllzT2hKdXB1NjQ3dGNMeWdxSlUyektvOHdrNUZmeFJIdEtQamNNTDNmZHQyQUVoVks1NHpHVkF2SFJueGVGeEN5TEEvalVZdVd2bFdLU1dmWVdQTTlQUjBYVjFkWjJkbloyZG5wSFZXcC9ESVN4endQSUppc1NnNkthb3E3dWpYcFVOaHpwdzVjK2JNZWZHTFgrejd2akRzQXc4ODhNUVRUK3paczJkOGZQd1BmL2pEeG8wYmYvYXpuL1gwOUlqRVhDd1doUkhxNit0SFIwY1hMVnAwNXBsbk5qYzM3OXExNi9iYmIvLzFyMzh0ZTcxbno1N096czVQZnZLVGxtVjk3V3RmMjc1OWUzZFBUMkZzOU1VdmV0R2IzdlNtenM1T0FGcnJscFlXSWhKWlBNcDdBNURQNS9PNTNQRGcwTlRrNVBEdzhQajQrTVRFeFBEdzhMNTkrMFpIUjhmR3hpU2lYbm85WE5lVlpLV0hIbm9vNGtldGRUcWRibWhveUdReTNkM2Rva2QzZG5aMmRIU1VoUmZiU1NXVFVrR1BqWTBORFEzdDI3ZHZlSGg0ZW5yNnlTZWZsSTYrcWFtcFFxRWdSVFFSYWNzeVBOUDNFZlZmaUkyRUtuMTZVbG1qeWs3M0owSTBLNUgraFhObHdiRDZIVVNWRWkwOUlFTkRRLzM5L1E4Ly9QQ05OOTRvOHM2S0ZTdG16NTY5WXNXS1pjdVdkWFoycGxJcEVTNUlsOC82VWZ6aFFXMWVEWWNKaDVlSXBVeFVXdlcwZEtXc2xPc1hIY3NoVnBabEJXRklNaXlKS3MwVS95Y1FzWURJcVUxTlRWSE03dHExYTcvLy9lL1BtVFBuZmU5N24xQ2tWR3J5V3dmVXRtSVhBMkJaVmwxZEhTcWh3RTh0Z2FVQldtNVhsMlp5Vy9vZDVLZFAvZDNxeDh1SFgwcXFON3poRGZ2MjdYdnd3UWZ2dXV1dVAvemhEOXUzYjI5c2JKeWVudlk4ei9POGVEemUzdDdlMDlQVDF0cjZkeGRkdkhEQkFzdXkyam83ZDJ6ZGFveTU3YmJiYnJubEZnQXRMUzJ2Zk9VclR6NzU1RTk5NmxOYnQyNXRhbW9xRm9zclZxeTQ5TkpMcGNsUXRHK1JjU1d6elZSMVNTU1R5WGdzMXRMVUxIV21LS0VjQkpJVUlhcjMyTmpZeE1TRTJDMTZlM3VIaG9hR2g0ZkZ4aWRwRWxJRmE2MDNidHdvakNrcVJ6S1pGS05JYzFOelEwTkRWMWRYVDA5UFoyZm55bFdyTXBtTXBGNEVRVkFxbFNMMkh4b2F5dVZ5VDI1NVV1TDBKaVltU3FXU3ZIRlJrUjZKSGlJRUhZTDVWMzVGVHE2b25JOWxVUUg3TjFKSzNTMHBkUEwyeWJuSEdPTzY3cG8xYTlhc1dmT3puLzBza1VoMGRIUXNYYnAwNWNxVnMrZk1XYlppdVZRRDVRbGh4c2cyeDJKSDBXU1R2MEVjOW9wWWd4alVuR2xPNnVTRVQwNDhGZ1NCMGhxaElRYVJZbVpadER2TXZyVWpCQ0dSZkQ0dkhpK0pyN1FzNjh0Zi9yS3NrdjNIZi93SEFPbE1NL3ZQamdNZy9sUFA4MFpIUjRsbzd0eTVBRXFsa254NGhFcXFaMjJJa3lHNko3cGVya1owSlZ2dEdkQ1ZqRGQ1VEdUbmlnSW5tNXViTDdyb29wZS8vT1hyMXExNzhNRUhmL0tUbitSeXVZVUxGNTU0NG9uSEhIUE1zbVhMRml4WUVJdkZPQWlKQ0VxNWhjSzgrZk92dU9LS2ZmdjI3ZDY5dTFBb0xGdTI3QU1mK01EVlYxOTl3dzAzRUpIak9KWnR2K3RkN3pyNzdMT2w3a3VsVWxOVFU2bFVTcmIvZ0NnY3BaUzJyQU1pUE1peVV0bHNLcHR0a3A2VUtDd1BBTE14SnAvUGo0Mk43ZHUzYjJSa1pIeDhmR0JnUUh4K3c4UERudWRKanBydisxTlRVMExRZS9mdTVjcVJsUGNybFVyRjQvSG01dVpNSnRQZTN0N2QzZDNUMHpOcnp1empWcTFNeE9OTlRVMWlONVFCMkFNREEvMzkvV05qWTl1MmJSUGRhV3hzYkdwcVNvSkJvcFBLUVNHS3g0dThHVTlkOUl0Y01hVlNxVm8vRVdPZm5CS0V3WDNmSHgwZDNiQmh3eTkrOFF2THRydDZ1bWZObmgwMWtqUTFOZFg2cDQ4R0hQYUsyTlk2Uk5DTXBvN0dqdEdCb2RIcFVXVXJ5N0VycmdrVDVhQWRtWVU2WVRvQUFRZmxtQUw3NmVNYUJKWmxoV0VBZ21WWnhwUjd1dVFabmhZaVRZank0THJ1N3QyN3BXSzYvLzc3WC9lNjE3M2hEVzlZdFdxVlhNbEdOVzh1bDB1bjA2N3I3dHUzNy83Nzc5KzJiZHU2ZGV1ZWZQTEpKVXVXL01NLy9NUFpaNThkajhjOXp6UEd4T054NlRBVzZWQnFMbEUyNVU3Sjk0cXFZS1dVNjdyVmtRdDR5cHFlSUdKdzZmcXJwbytWSzFldVhMbnk3TFBQMWxvM05UWFYxOWNEOENvOTJhUzFWeXhhbGhWTEpsR0pVUzZWU3RsczluT2YrOXk2ZGV1dXZQTEtlRHd1UFNadmY4YzdMcm5rRWxTVVVBQ1pUT2FwdlhNenB4T09zanc0c2dFWTMvYzhMeTVTak54Wm9XTWl5dFRYWityclo4K2RXeWJveWdsbVltSkNPSHA0ZUhoZ1lHRGZ2bjBEQXdPVGs1TWpvNk9pRVVkQmx4TVRFMEVRREF3TVJNc25vZ0RJVWw1N1cxdGRYVjE3ZTd0SUhPM3Q3U3RXckpEUU9FbnNkRjEzYkd4c1lHQmdlSGc0bDh0dDM3NWQyZzVGU3lrVUNpTEJSNmtkMFRreXFxQ05NZUtUazFOc1pHY1dUVjlxV0RrZkM4L0tMMGJQSms4bGZ5R1JxYU84QWhtR3ZiMjkyM2ZzdU9PT094ekhhVzF0WGJSbzBUSEhITlBUMDdOczJiTEd4c2FXbHBZb1RBTVZ2YnU2Qm8vZUhja0NGTlUrT3AzTHF4K3c3QlFKWWsvN2VYbVdqOTdmRkE2L2E0S2hpU3hZM2MxZFQrN2I3R2c3VkJ3YVUvR3VnY2lZSSt1VWlCWTZEc2VUUzB5YXNOWDN2Ly85WC8vNjErbDBlbkp5OHZMTEx6Lzc3TE5YclZvVlBWS1d0dnI2K29SMkgzNzRZVEhKU3BOWW9WQVFKOFBERHo5ODhjVVhMMWl3QU1EdTNidGQxeFVla2Z6Y3NiRXhVUXhLcFZKVU54RlJQQjVQcFZLeFdLeW5weWVielRZM053dUgxdFhWMWRYVlZmT3NsRlFSK1ViQzlBR0xnWXNXTFRMR1NEa1pOVllBOEYzWGljZUZJdk5UVSs5Ly8vc0hCd2UxMXAvNzNPZEtwZEovL01kL0pKUEpmRDZmVENhZjk3em52ZVV0YjBIbHN4M0pLZkpHUkxiYzZCV2xaeVB1eEdhc1Z4S0NZOXR4MjRZeGlGSkxLeHc5ODQ1V21iZklHR0p1YkdscGJHbnBtVE5udjNmTG1GS3BOSjNMaVFkdWVIaFkxT2RDb2REYjJ5c1N4T2pvYUM2WDgxMVhCNEZ0V1h2NytucDdlOWV1WFN2SFI1STVKU28rblU0M056ZDNkSFFJUVV2RXozbm5uU2UyaWpBTVJVc1pIeDh2RkFxYk5tM0s1L09qbzZQRHc4UER3OE1URXhOeWJLUFpLS2hpWjJIVnNwY0RFUE9pRUdLMHJCZXQrc3J4OUR4UERySnNvUkF4eS8xSzJiWnRqT25yNjl1elo4OWRkOTJsbEdwcmEydHZiMSs0Y09HQ0JRdm16cDA3ZCs3YzJiTm5PNDRqYjNkMENvOCtOWkdVSVdjRjJVSmg0UU0rV2RGVnpwL3k4Zm1ieFdFbVlnWVlGbWtMMXZ6dUJmZHUvTDJ0SGRhK2daR1FTVUJ4cGNuMHNDYkNWOE1UV1JibG12RzVmZkpJSGI3dXV1dSsvLzN2NzkyN2QrN2N1Vzk4NHh2Zis5NzN5bXRKaVRvNU9mbnRiMzk3Mzc1OWE5YXN5ZWZ6ekp6UDUrVXYzcktzbHBhVzd1N3V4eDkvL000Nzc5eXdZY09HRFJ0bXpab2xWVlZmWDErcFZCb2JHNU9QdHl5bVI0NHIwWGtqUm5aZFYySVFKUGxYUWhxN3U3dGJXbHFPUC81NHVlNlcrR0JCRkhSd2dKZWpVQ2hJKzNYVVUxZjJNRmlXSFlzWjMxZEtsVXFsNzN6bk93ODg4SUJ0MjVkZGR0a0xYL2pDeXk2N2JOMjZkYjd2TnpRME5EWTJYbkhGRlUwdExhaTBIYUlTcENDMzVUb2pxdW5rb3Q2eUxKaXFGakptUkJmcDFSVldKRkJJSjZIVyszV2RQY3RiVEJSUEpHTHhlSE56ODVJbFM4b1ZkeGlHWVpqUDUwVWpsbDZTZ1lHQm9hR2hmQzYzYWRPbVlxRXdNVEVoMUNrYWhjaldzbVlvMnkvc0xDSDY0dWhvYW1vU211N3M3R3h0YlYyMWFwWGpPSEtKVXlxVnhzZkhSMGRIcDZlbnQyL2ZMb05UOSs3ZE96ZzRLS2tqOGtjbEVsTWtYSWl6SlpQSm1BcFExVFNZVHFmRlFHMnFFcEJKS2Jma1NpbXR0ZGJXREcvMjcrM2IxOWYvMkNPUGFxMVRxWlEwajdTMXQ1MS93UVhOemMyZG5aMnlVSUZLQVNIUEdaMi81Uyt3bXFsTkpkMi9WdlArS1RnU0E3NFVLNHVzcnNhdWhKTlVybWI0WEE3VUVSZXh3ak8wZmg0T0VKSG51bHkyTFFzUkg3VHIvbG5nKzc3anhINzcyOTllZGRWVjI3ZHY3Kzd1L3J1Lys3dVBmdlNqUkNSVUs3WE1FMDg4OFlNZi9HRGZ2bjB0TFMxaVUydHBhVm0yYk5tS0ZTdFdybHg1eWltbmpJNk8zblRUVFRmY2NNT09IVHZ1dWVjZXgzRWtuVXQ2cHFQUG0vQ2pkR0dKdUN6M3lNV2pmSHJsdHlZbkovZnMyZlA0NDQvTEZiU1U3VEttZnNtU0pVdVdMRm00Y0dGSFIwY2tGQWdueW1kZStFTDJMZ2lDZUR4ZUxvZ2tHdFMyWWN3Zi92Q0hxNjY2eW5HY2w3emtKZTk0eHp1Ky8vM3YzM0hISFRLWHhMS3NLNjY0WXU2Q0JSeUdaT25vazFrc0Z1VTAwTi9mZi9QTk42ZFNxYzdPenVqY0VJdkZNdW0wQ2NLWTQ1UWo4eVdVU1JpblN0Q29ycmFxUC9aY0NSSmk1bGdVeVg5QWFmWVVWYjFzQ0dsb2tHKzdaVHBxWmFxSUU0dDV4YUpJSEtPam8xSXk1L1A1eHg5L1hCWUpSZVVRczNZK241K2FtaG9aR2Rtelo0OGNVcTVrQmdrTE56UTB5S214dTd1N3JhMHRtODIrNEFVdmtHWVdVVG5FdHVHNjd2cjE2OGZIeC92Nyt3Y0dCcUp6UUJpR01vYVZLd05OcUtyeEwzb3RxYWJGbjVldHF4UFc5aXFab3ZLWWRDcUZpaW95T1RFeE9UR3hZL3QyMjNGKy9KT2Z0TFMwekowN2QrSENoZktuSXYyaTFVY3Nra3Bxbkh2SU9QeEV6QUNUMWpxRGJHTzJjV0I0SHpPVFVnZ0pyQUN1TE5JZHVWVGlrdXNhbUlpSXpYTkt4STdqYk51MjdWdmYrdGFlUFhzYUd4dlBQdnZzRDMzb1EwUWtvbXEwTU9LNmJtdHI2OEtGQzhWK2NQYlpaeTlmdmx3c1hJVkN3WEdjK3ZyNmYvekhmenoyMkdOLzhwT2YvTzUzdnd1Q1lNNmNPWTdqZEhWMWRYVjFTZGF0MUZiU0t5elhvVkZGS1ZmQnJ1dEdsOWh5Q1N3WDRGTlRVL1gxOVpPVGt3ODk5TkQ2OWV1bFY2Szl2YjJycSt2MDAwK2ZOMi9lNHNXTFcxdGJveW5Pc2pRa0ZaQTBFMDlNVE96ZXZidDM5KzVNS24zMk9lZHMzN2J0NjEvLyt2ajQrSklsUzk3M3Z2Yzk4c2dqUXNwU2lMM2pIZTk0MFl0ZmpEQThJQUJCQ0hmMzd0M1hYbnZ0OTc3M1BhbXlwWVRNWnJPdHJhM05UVTA5WGQyWmRMcWhvYUdwcWFteHNiR3hzYkcrdmo2WlREcFZreStxLzJpTTcwZDBRRkpUSDRBRHlPS3BmM0UwRStoYUxkRllqZzBBaHAxWXJMMnpzNzJySy9vTkRnS3lyTkR6SktWZUNIcGtaR1I2ZW5yejVzMlJ1ME5rYVBGeWlQbzBQRHo4eEJOUFZLKzJBUkJmY0V0TFMxdGJtNmdjZFhWMXh4OS9mQ2FUcWF1cmk4VmludWNKUVpkS3BhR2hvZEhSMFQxNzl1emR1MWZlV1NGY2thcXE5UlBKaDV1ZW5sWmF5L0FVVlVuZ0RNTndjbkpTS3VYb0xXYm1NQWhzeTVMV21QdnV1OCsyN2NiR3hzN096dWJtNWpQT09LT3pzM1ArL1BsZFhWM3BkRm91eThJd0xKVktjcWFQOUc1UnFHc1RScDRkaDdlaEF3eUVBTUdENityaWpadCtzWHI5NmdtZVVER0xQSXVNQnJHaE1MQmNCbXVqaWRVUmFPZzRjOUh6L3QvSnIwb2pOVnFZNmg4YkNMUVhjRWhrUFcxRGh5WVZoZ0dUVVpZeUprVElqbkl5c2N5c3BqbFAyOUJoREQ3NHdRLzk4cGUvTEJhTEwzN3hpeSsvL1BLRkN4ZEc2M0lBcEgyNVVDamNmZmZkQ3hjdTdPenNsSGJiNmVucGJkdTJMVnk0VUM3L1IwZEhtNXFhQU96WXNlT0JCeDV3WFhmcDBxVTlQVDNKWkZMWVNqUUhBSHYyN0JGaEVZQzBpa2hHNVFITEk4YVlYQzQzUER6YzE5YzNOamIyMkdPUDlmYjI5dmIyUmh3Umk4V0VuWnVibTN0NmV1Yk1tVE4vL3Z5bFM1ZXVXTEdpcmExTitOMzMvU2VlZU9LQkJ4NTQ4TUVITjJ6WTBMZDM3Mm1ublByQ2M4L2R0R25UMVZkZnZYejU4czkrOXJQTnpjMGYvZWhITjI3Y0NDQ1JTSnh6empsZnYrb3E0L3ZsWVJ3RVdkbVhqZmQ5LzZxcnJ2cXYvL292S2ZsbEZWU1d4WXd4WVJBb2tLcWtaUXBIeTVDNnJxNnVSQ0loUXp3N09qcmEydG9rdXFpdXJtNUd0WkRtTjYyZnhSNHBJNzRxdDJmV0NjV09jbUNKeDg5YUsxUzFFWmUvTlFaYWh4WDVZbXBxYW5Cd3NLK3ZUK3JvNmVscGlUZVNkVHdoTERrYlJadEJsY1NQWEM0WGFmMnlxdGJhMmxwZlg5L1QwNU5LcGVUOEpNZFFNdlY3ZTN2bDdkNjNiNS9VMFpMa0o3S3ZyUDVWSzh1U1JDcUx2YWc0V0VpcDZYeE9WYlYwVndzZ0VoRFkxZFVsMmFlU3M5elMwaElkRDNrM3ExZi9ub3BhRVMwNC9FUWNBQW9CZTY1VldsZGFlL1Z2dmp2Z0RxcTRyWVNJQWFNQzMzSnhCSW40dExrbnYrbDVyOHNnUFZxWTJqYys2RkVwaEhtdWlQaVBmN3ovWGU5Njk5alkyTUtGQ3ovKzhZK2ZlKzY1ZzRPRGJXMXR3c1VTTkNIVlFXOXZiMWRYbDlDbDUzay8vT0VQYjdycHByLy8rNzkvMmN0ZUZzbStqei8rdUczYlM1Y3VyZDZMeWNsSkVld0toY0t0dDk3NnBTOTlTYXlqZFhWMTczclh1MTd6bXRmSXc0ckY0bTkvKzl1UmtaRzJ0clo1OCtiMTlQUkVDcTlzak91Nm82T2p2YjI5VHp6eHhOcTFheDk3N0xIZHUzZG5zOWxjTGxjcWxXemJUaWFUOWZYMTNkM2RuWjJkTDN2Wnk3WnYzLzdRUXc5dDNMaHhaR1JFTG52QjdMdGVRMzM5OFBDd3pFTjYvL3ZmZjlsbGw5MTAwMDJTNG5qeXlTZC8vZXRmajhWaThWU0tneUEweG9vNXNyL1NqbnpqalRkKzg1dmZYTHQycmRDb0NLWmlqOVZhbXpCTXhoT0I3MWZuRndzcDVISTV1Y0NYaEUrSmhOZGFMMWl3SUpQSnRMUzBDRlZKUmRuUTBCQ0x4YlJsemVqRk01azRxQ2Jpc0pLdmo0cnV5Vkc0c1BCeWFPU2hNejg2UUpJR1VQRkNFRkUwQkN2U1ZaVmxnUWhoQ0VBVWcvSHhjYmxlbVo2ZTd1dnJpMXh4VVlVcmxwaHlsVnBaeDR2V0EyUzRhamFibFRxNnBhVWxrOG5JY1pBVldqbm5DZm51M3IxN1ltSkNsdW42K3ZvR0J3Y2xoalFhVUJ1dG5YcWU1L2wrdHI3T1ZMV1FSQTBzb3UvTGJTS1NEVWlsVWl0V3JKZzNiOTZxVmF1T09lYVkxdFpXK1pYcVF1UUExSWhZY0FTa0NRYklJdTFEejRyUHpsQjJOQmhEQ0VNQkt3T0F5WlFYdjFtR0FCMUdmWUlCVnZBNTRNb3JLaWdHTVlFazlKZkF4R0ZsRVo0cUFSaGN5V1lyZjF0NXRxZHU2WDMzM2FlVXl1ZnpiM25MVzg0OTkxemY5NldjbEQ4NEdSNmF5K1ZXcjE3OW05LzhKcDFPZi9ZLy9pT1pTam0yUFR3MHRHSDkrdHowZE5rV1JsUXNGSDcyMDU4KytlU1RiM3pqR3hjdlhyeDU4K2FkTzNjKytlU1RXdXUzdmUxdHg1OXdRaktaRElPZ2QvZHVTZm5aUGp3OFBqWVdiWWxiS3QyL1pzMlBmL1JqK1lnMk5UVzF0YlV0V0xoZytmTGxzMmZQN3Vqc1RLVlNVa2dlZi96eGIzN3pteVVTNko2Nzc5NjBhZE9tVFpzR0J3ZW5wcWEyajR6czZlMnRyNisvK2FhYkt1OG5hNjBsZ0thNXFmbitOV3NtcDZZTTgvUE9PT05OYjM3ek42NjY2dmJWcTdWbEJXSFkydHI2b1E5L3VLNmlKNG9mSXZRRGJWdU80d1Mrdi9heHg2NzV5VThlZWZqaFpjdVdUVTlQTDEyeVpQYnMyWVZDb2IrL1g2d0Z4VUp4YW1vSyswOFNrbVV4SVJkampNeTZqejdQMjdadHM2b1VDY3V5WkQ1cGQzZTMyTTZFbWx0YVdob2JHNU9wVkRLVmNtSk9QQjYzWktWMC8vTDVRTk9WdlBGaTN0ai9SNkhuelJDOTFqTS9OUVpLYWNjcGZ4OUoyMXFEV1FFeVJMVjc5dXlxVjJISnpwZmdabG15NiszdEhSMGQ3ZXZyaXpSaTZTazN6REpGYW1KeWN1ZXVYZkx1eVBBQjBSL2tLcUdscGFXOXZiMit2bjdldkhuWmJQYUVFMDk4NllVWHl0U1ZYQzRuRTZwRWc0NlNTT1V0R0orWThIeFB6bzZSRDkxVXhvRUx6MG9ZNk1UNCtPVEVSSDlmbjZ4VlpyTlptYVo2d2drbnpKczNiOUdpUmMvNHNhemhzQk14Z1ZWSVNvZXVpZWw0RnRsajI0L2J0N1l2MUlGbnU0RVZzUEF2YThVeXhvNzRjUFoxTUxGbnZQSGNCSU1BbFhTU1h0R25qT1dIb1VQaWVESU00MmttSml0VUNzb1l3MFJRRkxJQlFFb0ZiSEtGZkxHdWxMYlM1V0ZKZ1ZHYW1EZ0lnMTI3ZGcwTkRVbWVaUFM2cHBKZEFHRDc5dTNmK01ZM2Z2N3puMmV6MmVOWHJVb21VeUtQeDJ3blpqdHArUllBa0Vva0xhVWZlK1RSdFk4K0poOERBR0VZMXRmWC8vTS8vaE1ZSEladXNSU3puZEFQUWovUXBKTHhCRUlEcFRnTU02bDA2UGx4eS9ZS3hmN0MzdjQ5ZXpjQWQ2eGVMVS9mM2RNelo4NmN5eTY3Yk1XeEt5emJCbEJYVjVkS0p1Zk9tdTNFNDZIdi8rWTN2K250N2QyOGVmT21UWnQyNzk2dGlGelhsY3pNbDc3MHBZc1dMVHIzdlBPZTJMVHBsYTk2VlN3UmIrL3MrT1NuUDdYcGljMWYrZHBYaVVoWldpbjE3NS85ajJOV0xKZERGQWFCZEdkb01VSVE3ZG5kKzhsUC9OdmF0V3NYemw4d05EQzRiTm15TDMzeHlua0xGb3dPRHpjME5FeE1UTWpjNVgzOS9kSTROenc4UERrNUthdGh4V0p4Ykd5czJ1WWxSMGF5T3lJUHRWenBTK1Q4OXUzYkl5OHdWZExYSE1kcDcraW9yNjl2YTJ0cmJXMXRibTRXWmJhK3ZsNmE2K3JxNmc0TTlqM2dDbElxYStrOVFYV2hYV0Z6cGZhVExMUUdVQlpxSkxKeS8rZjBYRmRwcGJXTzJZbFlNdEhZMHJ4dzhhSnFUNWpNU1JITllYeDhYQ1FJVWFXbEMxd21BOFJ0eS9PODZYeHVPcDhibjV6WTI5OW5IaXNia0tXYWxoMk1DSHJSb2tWMWRYVno1ODg3NGFRVEpZUFVzaXhGYW1od1VCcGtCZ2NIWmFWaGFHaElUTmtTUThyTWlVUWlIazlJVm5Vc0Zpc1dpekE4R1pvLzl1NjU3L2YzcHROcHgzRWtYbm5seXBXTEZ5OXVhMnVycTZ0TFp6TFJVWXJlTzFsR2poWW4vblp3dUN0aVpqSUVwUzBiaGhNcTJabnBhSERxSjgyNGg5Q1FEeUt3VnFFaXBpUFJXMGRzeVBnY2VDZzcyQlJVQ0FZcGppcGRRcWhZTVZFWTFjaVZjcmdTMmNsQXpJb2JzQWtDUzFuS1VqSVF1bFFxaVJNZ25VN1BtalVMQURQTFpiaTgvcnAxNno3eGlVODgvdmpqeHBqUjBkSFRUejk5WnRPZWtyRkNUL25DTTkvRzA5Mm15bElvUlZFdmxhUzdnWDM3SmlZbWVudDdGeTllYk5tMjFGKzMzWHByM0lrdG1EOS8rWEhIdmZ6aWl3SGtwNllHQmdaMjd0eTVldlhxbnA2ZWM4ODlkOG1TSlVvcElaVFBmLzd6cEtoWUtuMzVLMThwdWU0WHZ2aEZlU3BTNmtNZi92RHhKNXlnSzVXcFlWYk1icWtVZDJKUXlpc1dMLy9vUndmMjdXdW9yMWRFM1YxZEgvbndoK2ZOblF1Z3NhR0JsS3JMWmxjZWQ1d3h4cEZEeEF4alhOZWRuSndjR1JtUkMzWXA0WVdqeFU5ZEtwVUdCd2ZsR2x5R3l3bmppTHFOaXRvZ0RDNE9rNUdSa1VoUEZ6MUJ0S08ydGpiUlhxTjFNNkdQam82T1ZDcVZ5V1FzOFkzOEtUNDVJbG0wZ3B3emlOUUIxK2xWTmJnVGo4bVdlSzRyNWEza01xUFNUMkhaZG4xRFEzMUR3OEpGTXdRdEZ3b3kwMXBZY3RldVhXTFlFSWowNFU1TnlYS0NId1NGWW5GMGJLeDN6eDdoWEpGNlJPWElaRExpT0V5blVvc1dMS3pMWnR2YTJrNC83YlNtcHFab0l0Znc4TEI0K3lSRVNZU084Zkh4c2JFeDJWRFBkUWxJeE9NRVRFMU95amlTWDk1NG95d0xpd0dqbzdOejJmSmpPcnU2WlA2V0hBRjVhLzdXK3YwT2YwT0gvSkVwTURNQm5lMGRUUTNOazdseFlxVXEyc1RoM29ZSUVuTVNoSDdSSzdEVFFBU3RsY2NIUm5kVCtiSFBwcElZR0FVMTAwVlFDZHlTR3NGVW9uc2oyeGtSL2ZHUGYvejg1ei8vNElNUCtyNi9lUEhpZi96SGZ6ejNuSE1PMDU3K3IzQmRkMng4dkZRcUpaTkpXZFEyeHR4enp6MnJiN3Y5bkJlODRKT2YvR1JuWnllMFRtVXk4N1BaMXRiV2M4NDVSMWJiOXV6YTFkWFZwYlQrOHBWWFB2amdnME1qd3gvK3lFZE9PdW1rZi8vM2YvLzk3My9mM2QzTnpDOTg0UXYvMy8vN2Z3ZEV5Qk9SNHpoUUtuRGR6M3ptTXc4OTlGQ2hVT2pxNmhvY0hMenl5aXZQT2U4OERnSUVnWWlxK29EUElSR1VpaVdUcmNsa2EwZkhnVHNUaHRJZEp5T2paQkZzb0lLaG9hSHA2ZW1ob2FISWI4dVZPQjVoT2dsMmlMUmdJWUpkdTNaRmJkOVNRUXRmeDJLeFJDSWhLWlFpZExTMnRtYXpXWWxqem1hemlWU3FtbGdEMTlWYWsyV1ZMNG5FOHN6c3UrN01XbG5WNC8wd2tNYTRxR09DSzNHbTFTN2Q2SkJXZDdpSlZWa2VmOVpaWjZGaU53eUNRSzRNU3FYU3VuWHJKTUowYUdob1lHQkFOT0pjTGlkdlZpVDFEQThQTXpNYmMrZHY3N0MwbG91SldDeVdUcWZyNnVwU3FkU0NCUXNhR2hwRTUxbTZkR2ttazVIVzhQSHg4YW1wcWNuSlNSR2dSZlVXVDdRRTlvK1BqMDlPVG03YnR1MldXMjR4eklsVWNzSENoZEkwdjNqeDRtT1BQVmJzbU0vQm4vaGZGUTQvRVN1RjBJQlVHSWJRYUdscWFXNW8zamEyUmNVMHNhSWpTY01BQUFhN25qdGRtR2FIb1NRcUpTQlNsWDZTY3NWSTVlMTZ4aG85Uk9qQTBkWk1nSnhqTzQ1dHo1OC8vOEVISHhvZUhuN3l5U2RYcmx3WjlScnQzcjM3VTUvNjFMcDE2MlNvODN2Zis5Nnp6ejdiT2lCTDRRZ2lGb3NaNWt3bUF5cVBuYzVrTWxGWWU5bDd3Qno2dm5hY2Rldld0YlcxalkrUHIxNjl1cm01K2ZXdmYvMkdEUnV1dnZycXFhbXBjODg5OTUvKzZaKysvZTF2LytRblArbnA2Wm1jbkR6NTVKUC8rWi8vT1ZYeHBVclNwbkNmMGpyMC9HOS8rOXMzM0hCREdJWmRYVjE5ZlgzdmZ2ZTdYLzNxVjhNWW9XQ3ZXSlRUZzVTY1hLSG1ad3VHMGpxUlRpZlNhUUJsc1pVclU3bURvRmdzbGtxbGdZR0JpS0FsWTFNV3g2U0NGayt1UEZuVTR5ZVZOY1RqYUl6c2hYQ0V4TStqVW1lSWhKMUtwUm9hR2tUZkVJYXFyNitmUFh1MkVQVE05YjdXVU1wKzZ0VTNNNWp0eWhsSXpnSFJrMWQzMEIzd1BrYWJIYmsrb2dJLzZ2NlFoYnN3REJjdlhodzlYbHh1UXRDN2QrOGVIeDhYMHBSQmdoTVRFNlZpY1hKOEFoWHBRSzVDWkxqaUF3ODhFTVZ5YXEwbFV6Q1pUQjU3N0xHSlJLS25wNmV4c1hIQmdnVmRYVjFSUEhjK241ZGxTYkdPOVBYMWpZNk5EUXdOOXZYMWJkdTI3WmUvL0tVeFp0YXNXY3VXTFh2WnkxNTI3cm5uSHN5ZjgxODlqa1JEUnhuTUladVV5clExdFZ2YjdOQUVpalhEbE5mRWp1QjJ1TDQ3WFpneTlRWUUyN1lSbHBTVzYzZ1dLaWFhVWF1ZlNiTU9nZ0FXUE05VDBKWXRLenhjTEJWN2Vub2sxSHpMbGkwbm5YU1NDRjY1WE81akgvdlkrdlhybFZLbm5YYmFaWmRkZHVLSkp3NFBEeFBRM056eXRNOS91QkdHb2FRT29SSStLVlZWTXBtVUpPSlVPbTNDMFBPOGJaczIvY3UvL012QXdBQ0FSQ0x4M2U5K2QyaG82SXRmL0tJMGEzenVjNTliczJiTkQzN3dBd0N4V0t5cnErdnRiMy83OHVYTHViTENKc2RLVkw5aW9mQ2JYLzM2aHovODRjaklTSE56OC9qNCtNdGYvdkovL2VRbnkxbm1TdlgxOXQ1d3d3MzkvZjNTQjlqUjBTRWhsazFOVFhWMWRiSW1LWk15WnZxYm40cnFvVUdXbGN4a2t1bDBvOWlxakVFbFhFbXF4WW1KaWFtcEtTa1BveTduNmVucC92NytRcUVnQnBJb1hGZ1dxYUx3QjFRU0w0V09wVUZ1MjdadDFmRVJ6Q3dTUjNOenM2UWtTd1V0cnZCME9pMVI5OGwwV3BSbDMvTlFxWlNyT1RjcUVxdU5IS2hZN2xBUnlpT0hXY1RGMGNtREt1M2owZWFKMjBSeTVqbzZPcW96UmlSMmFucHFhbUpzZkd4MGRPL2V2WktqSkdaSDBVQ2lrVlRpZFNrVUNscnJEUnMyeUVoWkVhTVRpWVJTcXIyOVhZeDNzMmJONnVucFdiaHc0UWtubkpCSUpMUmxLVXZuQzRWU3FkVGIyM3Z0dGRmZWZmZmRPM2Z1Ykc5dnJ4SHhjNDZ5TzE1cjdRV2V0cTN1OXU1MFBPTWJYNW1BTmJncTJlWHdOM1F3RTVmODBuUngyaUNVSzA3Mm1IUlZTZ0ZJQmpVejhDeXFkYUZRU0dWVHpHdzVHa0NwV055N2IrKzZkV3Z2di85K3VSSzg3cnJyWHZqQ0Y3YTF0WVZoK0ozdmZPZWVlKzZaTjI5ZVoyZm5oejcwb2VPT08rNkdHMjU0NUpGSGpsKzE2cFd2Zk5WaDN1V25SeGlHdHVPVVNpWGY4NXlZZzRxeFh4cHowK20wY0V6Q3RtT3hXRzl2citkNWl4Y3Yvc3huUHJOaXhZclBmLzd6dDkxMjIrTEZpei81eVU4QytKZC8rWmZwNldsbXp1VnlsMTkrK1V0ZitsTHNiMHVTeGp6Zjl4OSsrT0Vycjd4eWVucGEvRS9MbGkzNzlLYy9EVm5LYzV5cDhmRnJyNzMycXF1dWt2eGx6L1BTNmJRSUd0SnNWbGRYSi9hUFRDYlQwZEVoMlE3TnpjMzE5ZlV5UXNteUxHaDk0TkFnWUNZWUtBcXMwRHBtMnpIbVZEYmJ4YnhreVJMSTFSc1FCa0VZaHVQajQ5S0lNVHc4TERLclhNTHYyTEZEVXRaeXVaeEU4MFFWWCtUNWxVNDI0V3RqalBSRGI5Kyt2ZG9KWjFtV1ZKRWlROHY1eG9uRkZpOWRra3FuUlpodWFHZ283eFJRS0JTazRlS0Fpamg2M2VpZWlMTGxoYXBOYWRIOTFjOGdMc0RxSndSZ1dWWjdlM3RIZXp0QTBlV0YvRmhhN2FVNmpnN080T0Rndm4zN3hzYkc2dXJxWkJKajFMaGZLcFdDSU5peVpVdGtaUU9RVENhYm01dnI2dXVkZUt5dXZuN3g0c1ZOVFUzSlpGSWlCcDhsVk92L0tvNklmWTBVUWlhdEVSQUIzVzA5TGZXdDArT1RnZFpHR1M0WG8wZmlFcDBKRE9PR3BieWJNd2d0eUNxTnVFbERLWCtaVUs3UXFaS2QvWFNJeCtNS3lvNVpvVy91di8vK24vN3N1dldQcjkreTVjbFVJaTBpVjI5djc0WU5HNXFhbXY3NHh6OSsvL3ZmTjhZa2s4bjN2T2M5eHgxMzNPam82QzIzM0hMVFRUZDk4NnFyanNCZVB5MmlPdTZBOEIxcC9acDVITFBqT0RMZy9kSkxMejMxZWMvNzZuLzkxODkvL3ZObHk1YTk0aFd2ZU9sTFgvb1AvL2llVFpzMnRiZTN4Mkt4bDcvODVXOTR3eHNBeUNTNnloT3dmUElmZnZqaGE2NjVac3VXTGZWMWRiTm16VW9tazEvNHdoZGEyOXNEMTdWaXNjQjFmL3JUbjk1MjIyMmU1OVhYMXpjME5FeE9UazVOVFZtV0phM0RxR29LRUhhVzYrN0lvVlZmWDU5S3BXYlBucDNKWkVRZmtBa2Rjajh6ejlUUkZhRVdBTFJHeGUwckVDSnI2K3hzQStaWEhUR3ZXSlQxUFpubkpIazlZaWVZbkp6Y3NtWEw5UFMwa0xVWUFDS1RSdlFNRVVFTFIwdHNVMTlmMzh6eEo0SWliVm54ZUZ3U0ttUXZVcW5VOHVYTEplUmVCcEhJdkNqWjJ1cDRoK2g5ZkthMjcycGpTWFVEUzZsVWluVHcvZjVRR09KNlptYXlMR2pkMnRGUmx1bmw4a0lwRUlXZUYvVjJTeUxWd01DQTY3cDlmWDJyVjY4V21UNGVqMHVnZGhBRXNxaElTbVhyNndyRjR1clZxN1hXTXJ4bTVjcVZ4eDkvL0ovMFIveC9DSWViaU1rWVZncWhDYlcyRkNtQUc5RFltR3JjUFdwcjQ0Y21yS3pZSGQ3T2tncVl5UVR3WGVNYUdJWWhJaGhVR3piSzNtRndsRWIwdEppWW1LaHJyUU9ReitjZmZ2amhXMis5dGVnVkd4b2FUTUR6NXk4NDVwaGp6am5ubkJlKzhJV2pvNk9yVjY4ZUhoNk94V0lmK2NoSG52Lzg1d01ZR2hyYXRXdVhUUEU1L0x2ODlJaWFGMUNaUlM4ZnkzZzhMZzRLeTdLMDQ0UytMemtWcjMvOTZ5OTl5MXNldXYvK3E2KytlbWhvNk9LTEwvN2dCei80alc5ODQvYmJiKy9zN0J3Ykd6dnp6RE0vOXJHUGlRUVJzVEFxTERBeU1uTFBQZmY4OUtjL2JXNXNDb1BBOS8wcnJyaGkvdno1SUxKaU1ZVGg2dFdycjc3NjZwMDdkN2ExdFVrTHIxaUFvdzRMUWRSa0lXbkNVZWRMRkxhQVNtT2V2TFRvdHJLWUpnVGQydG9xWmJXMGtBajcyTFpkN3JOQW1kdG1ETCtWZERjbmtYQVNDUmlUVENhYm1wcm1MbGd3Y3pDRGdDeExNaWdpZ3U3cjY1TitHYm1RbDdWRTJWUm1sbDZNS0t3bk9sREdHTDlVS2hhTG82T2p1M2J0a3IyVzZ3bnBWSmIyUWltWk01bk12SG56NnV2cjI5dmJwZGxkMHU2bEVWSHRueUl2cUNadUlvb0s2bXJIbUN4amx0TjhwREZkNjRqc1p5NHNJbWNlczNhY3VzWkc4WXpQbVROSDJYYm9lZHB4ZG03YjF0L2Z2M3IxNnNiR3h1cUdGTEd5a0ZMVDA5UGluaXlWU2sxTlRlZWVlKzVGRjExMHdRVVhQSWQvNm44Vk9Pd1ZzZElhREcxcHNJbFpqZy9mZy8vOFU4OSthUE5EbVd6ZGxKbjBnNElUajVsQWVFSGhjSzZYTWhDWUlCVkw5QTN1RFplSG9YRWR4MGttRXBQRmFUdXVBQzdQelNzM3l4a0dNei85QmtXRlF5S1JrTDcrNXVibVN5OTk0eG1ubjdsczJUSHBkRnBPTE92V3JidnZ2dnVNTVc5Kzg1dFBPdWtrdVZQU3VGM1hMUmFMaDNGdm54V3lHQlhKaGJJZUpkL0dZckZVS2lXK0JhMzE1T1RrVzk3eWxnOWZmdm1XelpzLy9lbFBqNDZPenA4Ly82TWYvZWhqanozMjlhOS9YVUkrWjgrZS9ZRVBmS0M1dVZtR2JxRFNPemMrUHQ3UTBBRGdzNS85N0kwMzN0aloyZW1WWE1keDN2T2U5MXp3MHBjYTMvZUtSU2VSZVB6eHh6LzFxVTlKdFRoMzd0eDN2dk9kYlcxdDBWUWttY0V4T1RrcG9xMVlaUnNiRzJVU0tJRHFvRjVSQ1NLYldqNmZIeHdjSktJSEgzd3dlcGd4UnZxNXBkTWhtODIydExSSTY3Qnd0SFNLaTAzTmRweW9XUmtBRzBQVmxiVXg1WUthMlVrazJydTZaaklvS3IvbFZnTGpoYU5IUmtaeXVWeHZiNi9ZeThTSzU3cHVvVkFvdVM0VVVTVlF1THpDV1dtakVON001WEs1WEs2dnJ5L0srcEYySWNrbkVadWRKSFUwTkRTSU9GdFhWNWZKWkRLWmpKeDRvai9kYXEwNU9oK2dTbTRtWU1aR0xaeDdnT1p6d0ozTUluRERHTzA0ZnFuMG94Lzk2SjU3N3BIcElWRWJudXhPRUFTbW9sLzd2dC9WMWZYNjE3LytkYTk3bmFoNWYydkdpU08wV01kRy9taTBnb29qbm8zWHR6VzBqeFZHUW0ya05KQUxKRVYwZUxPSmlVbVQ3L3ZGb0dnUTJzb21NakJSREdkWnBTWld3c0tWVEtLbktZd3R5eXE2eFlRVmwrMzNQRy9seXBYdnUreDlnUi9LekRvaUtwVkthOWFzZWVLSkoxcGJXODgrKzJ5cGYyV2RoeXV6NHc3anpoNFNSSXYwZlovemVRbGZYN1JvMGZ6NTg5MUM0YXRmL2VxZVBYdTAxcC8vL09majhmZ0hQL2hCOGVGMmRuVjk2RU1mT3Vta2t3QlVzN0QwZGdQNDBwZStkT2VkZHlZU2lXS2g0SlhjZDd6OTdXOS8rOXNoNm1RaThmQUREL3puZi81blBwL2Z2WHYzY2NjZDkvZC8vL2N2ZWRuTEFPU25wbExSRlFPejc3cTVYRzV5Y2xLV2lYYnMySkhQNXljbUpzWXJHQnNiRTVxV2FFb0EwbG8yODdHdm5HbVl1VkFvNVBONWtRVWlMUldBR0duajhiaFlIYVJQV3NLR3BJTHU3dTZXSDZYVGFkdHhabkl0S3E2NDZOd21GL0lBWXNsa1d6TFoxdG01MzRFMnhuTmRHYnNuYnR6aDRlSEpxYWw5Z3dNVGs1TkRRME1qSXlQU3dDSlJRUkpyS1dsQlZKa0pJRmN3Y3I4NFF3WUhCMUg1MjVNS1d2eDIyV3kyb2FFaGxVcUp6UzZLNVJUcEk1MU9QMU1QUmVqNVdtemowYmtuRWpvcUs1OHoyYVRNMERvTVErMDR4Vnp1TzkvNXpxMjMzaW9oeTBxcGFJNlVuQXlZMlErQ3FkeDBPcE01N2JUVFh2LzYxMTkwMFVYQ3YzOXJMSXdqUmNRR2dBSERNQ25sSU5hZ0d4Yk5XWFRQaHY0d0Z1cVk5a0xmVWhaUk5HN2hNRUpaNUh0K3JqU2R3M1F6VWxvek1aSGt3SUZCSUVNQU1STXI0Sm1YNjF6WGpkWEZORFFZc3R3OE5EVDArM3QvLzd6VHpwQUhGSXZGL3Y3K1hDN1gwOU56K3Vtbml5aUJ5cnAyNUF3OW5QdDZLSkJLV1ZwKzVmSmNoaEo5NDJ0ZnUrKysrL3I2K2o3em1jOGNlK3l4SC8zb1I3ZHQyNVpLcHgzSGVjdGIzbkxSUlJkRnp5QXNIQVNCMU1JMzMzenp0NzcxcmZIeDhlYm1acy96WHZheWwvM0RQL3lEc20yUmh2djM3UG4ydDc5OS8vMzNXNWJWMWRYMThZOS8vSnh6enJudE43K1ptSmhvYlcwVjRwTU9OenNlYjRqSDYrdnJ4UTV4U3RRTHd4eDRuc1JPZXA0bmpDd2o1aVFJVFdMWGg0YUdwTjFHVE5QQ0M1N25pZjJMSzVOQUpmVkdsSUhLMDgvWXlJZ29uVTZMblZhY2F1S0N5R1F5UzVZc2tUdWxtbzRLeWYxYW44dDNoY1lZWmR1aWRUUTBOL2ZzOXdaQUhBamk1NVhwSGhNVEUzdjI3QkYzaC9nNnhPd2hleTEybDFnc0pvNE8rVVhKdHBadU45ZDFKUzJQbWUrNjY2NUlXNWRJdGtRaTRUak9nZ1VMMHVsMFUxTlRhMnRyNUkrdXkyWmpkdFhKUm1BTWlEZ01xZExYSTRjcEl1aENvWkJ4bkdLeCtLdGYvV3I3OXUxTlRVMkZRaUVNUTlHMVJVZVdnTlo4b1pESlpsN3oydGUrL3Yrejk5NXhkbDNWMmZCYWU1OTY2MVQxTHN1V0xWbnV2WUpOY1d3Q3R1a0o4R0lnT0RRSFE2akdUa0o1UXpIZGtMelV3R2VDd1NFSkphR0VZb01kY01XNFc1SXRXMjJrcWJlZXV2ZjYvbGozN0RsenAyZ2tiR09EMWsrYTM4eWRPL3Z1Yys0OXoxbjcyYzk2MXN0ZmZzUVJSL0NIUjJ0OXNMTHVpUWxFbENBME84R2pCT21BZStqcXcyNis1NmFXMG81d2RCSUJvOTRUUEJFQ1FpRlNIVGVDMm5nNDN1OHQ1RHJPem04N1ZoZE1FeU5MTEdaTDBEdnBsWUR4c1FuT2NHKy8vZllycjd6eWxYLzVxbE5PT2ZXSUk0N3dmWC90MnJWWFhISEZtOTcwcHFWTGx3TEF0bTNibGl4WnduZDcvcE1uaHhmZnIrQ0dHcFp0Y3hzNnR2Rzk0V2MvWXpBOTc3enpYditHTjN6d0gvN2hXOS82MXBJbFMrcU54a1VYWGZUcVY3K2FCVXpjRW9rM2tScU5SbTl2NzYyMzN2cnhqMzg4VGROaXNUZ3hNWEhTaVNlKzlhMXZIVmk0Y0dUUG5vRUZDNkoyK3hPZitNUXZmL2xMdGdSNzI5dmU5cHpuUHZkYjExMTN4UlZYdE52dFJZc1dzU3locDZlSDY0ODVpV015ZE9YS2xiN3ZsMG9sYmtSU3JsVEtQVDFnZE1TNVNLT0lEZkxaUzRGTEdMZ211TkZvUFByb28yd0F6MFJIRkVWYzM4R2VvcVpwaU9HZHVjWjZmSHg4eDQ0ZGtJTnBicjdYMjl2TGpwMDgxWEs1dkhidDJsS3B4TzVvTE8zd1BNKzI3VWs3T2c0aVVrb1RTY2ZtVGEwWjM1MGtTVGlYcjlmcnBvSnVOSk9Yc1RzRU4zeGlzMDFqVWMzelo0RUUzMitpS0dvMEdpYTV2di8rKy9rd01XdlI1SG1lNTdwclZxMnVWaW9zdk9OZ2JwcFpEdHUyTzB4eExxVmdkMVBtOGZtK0ZRUkJzVmhzdFZwc0Q4UWVWWVZDWWVHaVJXKys3QzNQZWU1emUzdDd1WmFFZHhlWUVILzhQdFJQZzNpeWRNU0lRZ3Jla2tNVUV1U0t4U3Y2cXdPTlZnT0lFRUZySllYOVpQU3NROUtvMjFGclpIeDQ3ZUxETEdGTGFRa1FOTVdjdmxQSlRKM3k1aGx1RUVRME1USFJYK21yVkNyY3RQenUrKzYrLy83N1AvYXhqNTF5eXFsdmVNTWJqajc2YUtVVXQ4WUl3L0RlZSsrOTU1NTdMcnJvSXE3bVpBYnpLUWpFZkIwRzdiYnYrNjd2QThBRDk5Nzd6Ly84enlNakk0Y2RkdGlWVjE1NTQ4OS8vaS8vOGkrSEhITEkvZmZmLzV6blB2ZU5iM3dqYXhJOHoyTXhBQUNNalkzMTlmVTk4c2dqSC8zb1J4OTg4TUVsUzVaczM3NTk3ZHExYjNyVG13NWR2MTRueWNEQ2hYRVFYSFBOTmYvMVgvOFZocUdVOHBKTExubnQ2MS8vNjV0dSt1UW5QNG1JNVhKNTU4NmRMTjVxTnB1UFB2cW96bHpNRFNieTVwdHhodVNsOStMRmk3bENsOFVTN0Z4c3VXN1ViaTlidG16bHFsV1R5YW5xaE9sbHh6clpScU1SUmRFamp6ekN1NVQxZXAxN3pUSEdtUW9PSXp6Z1d6STN4MktTNFlFSEhtRFNsaVVmN0FIUG0yeWQwdUZTYWZYcTFRYTRtYTN1NmVueEN3VWRrOHdPMEZCWVREWHdzWE96cXlWTGxqRGFHcjF0bXFidGRydERjZFJxdTNmdlpoVUhIeFFIbTIzcWFRMUpkZFlWaFF0Ym1FTVFRbGhTUHJidFVabHA4a1RtWis4NGpybkI1TjhDVmt3UERnNjJtODM3NzcrZkRWSllMOEhuaXYrODBXZzRqblB1dWVlKzdPVXZQK1gwMHlBcmE4N3Y4ZjZweFpOWTBNRkJRSnBBWWkvMnJWcTJhdGZXbmFsS2hCQ3BVaFk2V21sNGdsbFRUVXBZSW9xaTBmRVJXa3dXV0k3dENDRTFxQ3o3UlNTZ2prSGlyRUNaSklsVGRyZzA3cm5QZlc2NVV2elpEVC83M3ZlK3Uzdm4wTTkrOXJOVFR6MzErT09QbDFKeW51aTY3czAzMzd4bHk1YUxMNzRZWmhJWVBYVWlpcUtlbmg3MmFyQTliM3hrNUYvLzlWOXZ2UEhHaFFzWFhuMzExUUR3N25lLzI3S3NuVHQzcmwyNzlvMXZmT01oNjlieFpjd2JMSndOOWZYMWpZMk5mZnpqSC8vbEwzOVpMcGQzN2RvMU1ERHd4amUrOFp4enp3VUN6Z1MvL3ZXdlgzdnR0Uk1URTBLSUN5Kzg4SjN2Zk9jOWQ5MzFnUTk4NFA3NzcxKzVjcVhXbWdzTjhreE9mcm5OYTNCR1BaWHI4RVpFcFZLSjA4OWlzY2dldnRWcWRmWHExU3dJTTQzN1N0V3FsREp0dDN0NmVub0hCdFlhZXpBaVVvcFZFT3kvenU0MnhzdWlYcTl6ZVJqNzdMQWNncjBhT0Vsa1dTN1hqTEFkTzI4ejd0MjdsL1VNbG1XeFl4elAyZk84bnA2ZXZyNitVcm5zZUc3L3dNRFNwVXZaZTRnQnVsUXFNZHVlajd6SkhQOVlxVlFxbFFwMy91Wnp3Z2s3bXhUelZCOTc3REZUNG15SURuWVJNZ3FOeWVhemlBS1E2M3A0UUNsbHE5VVNRdXpZc1VQa1d1cVo5a3RzWnMzeXZyMTc5OXEySFFTQjY3cG</t>
  </si>
  <si>
    <t>hHQmFMUmU2NHVHclZxZ3N2dlBDbEwzM3BpdFdyb3pCazFRUXZwSUlnMEZyelRzT2ZWRHdaUUV5c0xwSVdzQTBOQ0FsU2dyVjYxWm83ZDl3eGtZVFNrM0djb0kxYUszeUNrVmdwNVZtMkJocXZUU1NRMkFDTzdVZ2hUSHJRS2RoaVdRNy9QQk5nSWlMVGkyRVFlYjU3eHBsbmJqeHFZN0ZZK09MLys5TFkyUGo0K0RodlNUT1VJQ0l6ZmFhaTN5d1ZuOUNEUGJCZ1lMVTlMNDJpcjMvOTYvL3hILzlSTEJZdnZ2amlZNDQ5OXMxdmV0UG16WnVYTFZzMk1USHhudmU4NTR5enp0SktDU2w1SGNvdXlldytmczAxMS96MHB6L2xYZytWU3VXU1N5NTUwWXRlWkY3Z0I5Ly8vaGUrOElXOWUvZjI5ZlZ0M0xqeHJXOTlheHpIbi9uTVorNjU1NTZsUzVmeWhsdWxVZ21Db0ZxdG1xSUprZXNRN0xwdVBpMmxyRDBhKzYvWDYzWFRySVE5aTV2TnBtM2JKak5scVhLeFdGeStmRG5MdnhZdFdzVHV2ZVZ5bWR0L09MNC80UHNEVXhFd2pTSitPZDZoWldrYU54dGxQcGVwajdHeE1YNThmSHdjcGxhMXNSc2N6NTkzRVptUzNySmxDd0hZcmdPWnJvQS9ZMHhvc0FtUkthRTJKa1NMRmkxaXRyZnJUY3hYMXZtK1h5Z1VGaXhZQUFDOHB3b0FmSzlsNlU0Y3g5dTNiK2RPTG52MjdHRXJwYUdob2RyRWhFclNKR2ZFd1NJTnBnNzRqbWlFZzV3MTc5NjkrNkdISG1JZFVaVnZkV25hYkRiNyt2cTRTYzNSUngvOXFsZTk2cVdzTjI4MkMrVlNmdG9NeDEwVktIOEs4WVM3cndHUTFrb3JKVkFBU2tTVVlBR0FEZGJTM2lVKytoUEpoQ3pZU3JjQlFZT1dUM1JLckVoYU1rVlZqNXNoeEI2UUxXeExTNjFSU3lEVUdwVkFKQ1MyNkFUcWdITEg4Q3d6TVV2U3VOR3FlVDJ1dEJFUWdLaW5VajNyakxNK2NmVW5xNVZLcFZ6V1Nra3VVUU9Jd3RDMkxOdXlFRkdsS1dsdFNXbEphZWpwSnlqWU5HNzZyUVNOUGlUN0VUTTZ4dk84UFh2M2hsRlVLSmZ2dVBQT2IzMzcyenQyN256MnM1LzlybmUvKytxcnIvN3ZILzV3OFpJbGp6NzIyQlZYWEhIZW4vMFpLY1hHdTBrY1Y2dFZyUlFBRkl2RjY3NzV6UzkvNlV2TXpEUWFqUXN2dlBDU1Y3L2FkZDBraW0zSHVmT09PNjY1NXByZHUzZGJsclZpeFlxM3YvM3R5MWV0ZXZ0YjMvcnpuLytjdVFJMnFBeUNZSEJ3c04xdVk5WXlneWxqS2FYdis3eEpsZGNYOHozUDNPck00NXc3YzJZYXh6SGp3dERRa0VtMElZTnlLV1cxV3VYT0Y2dFdyZUxLUFpibzhycmJ0dTIrZ1FIZUh4QkNlTVZpcGJkMzhaSWxXcWxqVHppaG8xY1RBZ0RpTUdTWkhlK3E3Y25DWktCY21NZXNOSS9HNldnY0p3UmswQzNVT21pM3RkWmJObS9tVkZwbnB1eU12OXdveXhEb3ZNL1cxOWZIQU8zN1B1L0ZtZFo4YVpKQXRucmdaTHhhcmFaSnNtTEZDdTdMeDJqTFJFZTcxZDZ4Zlh0dFlvSm56a1YwZS9mdXJkZnJ2QTdndGt5TW14M1FMeFNTSkNrVWkyRVl4a25TcnRWYzF4VlMxaHNOMjdhZmU5NTViMzNyVzljY2NvaE8wMmF6V2VucDRRK2swYXZ4Ry9RbnlGRThDUm14bGhaN0RpZzJuaFFBQUJacWNXangwRTJyamhxNVp5eU5sV1U1Y1JJNmpwMCtrVHd4RWdvbEVwV21raDZiMkQydWF4WFJYNUJlRVR3VnQ4RUZzcFVpbGNZcGFhS1VoQkNpNHlScGZDUlp6NllWeHUyMHFhQkgySkpBc2VTalBqN1JXNm0yMjBFU3hWSmFRQjFmY05mMWtpaDJiVWNucVVwVEpJakRDS2x6VmNSQjRIZ2U1M3BUZG1tbXF2RU51SFRnZzl2d0tNV1h6V3daQkUxUDZCRUF3SFVjVGNRNlhOQUVBb1dRU1J5MzJ1MkxYL1RDdnNHQlBVTkRWMy9pNHp0MjdkeDA5RkdmL3V4bi91TzcvL212MTMwejFXclA4Tjd6enYrei8zUEpxLzFTc2Qxc0ZZckZvTm55aTBVVko5SzJRZXVmL3ZnbkgvaUg5eU5Cd2ZQSFJrYlBQdnZzdDEvK3RrcXBEQVMyNDR5UGpMempIZTk0K09HSFBjOWJzR0RCMy8vOTMyL2F0T256bi8zc0QzN3dneWlLYk50bU1SYTdYdFRyZFU2c3VFdUY1M2xNU2pBQndoV012SmhOMDVTMUs4WVhvbGdzam95TWxFb2wvakZmUldhNlVRQUFHK0F5RUtScE9qUTBORHc4YkZuV2pUZmVhSXFWbVhMaGtyWWxTNWF3dXFDTEd5Mlh5NTduZVlVQ0MzOGN4MW13YU5HQ3hZc05OSGRDS2NZYVpuTFpmNzFXcXpGWE1ENCtYbTgwV05ER1NnTUQxbnlEU2FMSlJ0ZGFxQVRpdlVON2R1MlkxQlJEWmxvME1EREE4MlFPMnJSV1dyUm9FY3Z2ZU1QTjh6emJkUzNMQnFVQjBiSTZXMlNXWlZjcTFYS3h0R2p4NHJ5TUdnQ1NNR3kxV3J4RG1DVEozcjE3SDMzMDBaR1JFYy96YnZ6bEwzZnMzSm1xTkVwaXgzR0VKWXZsVXBxbVFOZzMwUC9tTjcvNWhTOThZYWxjSnEyRmJaV3JsU2dLWGMrRG5GNk5seS83ZldFLy9lUEp5SWduMFFBMWdBQUNRZUNTa3dJdDZWblM2L1h1aVllRkxaRUFCRHloTFRvUXdKWTJhU0lMR2tscnZEV3hyS3h0NmZpTzN3eUYxcVJJRVFJSkRTQVFVU0FiSldja0JVSldiVWNvc1IyMUFoMjR3cUVVSE9FSUlSM2JpY0pJSzRWY2JZWEltc29rREMwcGt6Z21yUjNIOFZ6WGMxMnRsQlFDQUhnaHpMWEZjUnhQK28zbE51VVBjTEdHczU1TDNrUnliQnNBQkNKb1BUSThyTFcrK0lVWHYrYTFyNDJpNkpPZit0VGQ5OXdUSjhrL3ZQLzlqV2J6UzEvK2NxUFpIQnNmZjg1em52TTNiMzFydGFlSGlBcWxZbTFzdk5yYkd6U2JmcWtFV3Q5LzMzMmYrdVFub3pCTTRsZ0tzWGpSb2l2Zjk3NlZxMWNEQUtYcCtQajRXOTd5bHRIUjBUQU1seTVkZXZubGx4OS8wa24vOXExdmZldGIzOUtaWVRuenZHWlBqTUZYQ01GR25ZelV6SDV3S1hhU0pKd2pRMWFuYS9hNENvVUM2ekVnODRrM1JjQ0c1UWpERUxLU0VINENwNFMrNy9QSjUySUVwanNROGZiYmJ6ZDhxTWo4amkzTEdoZ1k0REtLd2NGQlpnKzRWR1Rac21XVHhMR1VJS1hqK3c3Uk10ZGRzV0lGZGhrVGE5Mm8xOW5MZ2wrUmRkUHRkbnZyMXExbTgzRHlWeE1UbFVxRnRCYUlJaU1IZUJFd1BqWldyOVdHZHUrR1hMNmY5N2d3KzRTc3QxdXpaZzBiTFpucWo0N25zdGxTVGxNK2RiYmo5RGhPVDMvLzJuWHJvaUFnSXRhYjMzN0xMWTlzMjdaejl5NkpGdmNQNWF4NTZkS2xoeDEyMkZ2Zit0WWpqenl5czJ2SEgwd2gzRDg5bWRwczhZU1hPRE80VG0vVkxFRm9rS3VYclY3NDhNS2hvV0hMdFFVb21vV1FmUnpEdHUwb2pHekxhclZhdzZQRFZOWm9vZXU1RUFLbnZldzJBVGpweG1BaVR4bEhZWmhpbWlSSndmWFJFcVJKcFdrN0NJdy9iT2ZUYjlzQVlIc2U0d1dYcTNFYm13N0xyQlRuR3A3bmNUMWVraVJPRG9oTkRRSkFwMm5qNDNJZStLTHRaTmFJSUlUbmVjOTR4ak9PTytGNHovTys5S1V2L2ZDSFB4d2JHM3ZYdTk2MWNlUEdEM3pnQTNmZWVTY0FISGJZWVM5NXlVdU9QLzU0QUdCeFVyVzNWOFd4WHlxRnJWWVFCTzkvLy90dnUrMDJWb2I0dm4vVlZWZHhqNXc0Q0lRUTExeHpEVGRDWGJodzRhdGU5YW9MWC9qQzM5NSsrNmMvL2VrdFc3Wnd3em9Ua0psVXNFTlFYMThmS3dkazFyb05zOHBzVGxxVEpHRWJNTjdRWThsd0hNZE16bkt5ek5VUWtDc280RXlaLzRRVFp3UGlsQzBYMlBLTjc2bEd6R0RVaHp5K2xITEhqaDJNZE1id2pEZHBmZC9ucnN5TEZpM2lydHU5dmIyZTV4MTIyR0VkZy9tczF0bXlMTFNzY3FWU3JsWW5xejh5cHplM1VPRE5ROVlPODI0WTIvN1dhalVtZG8wN1BpOEkySW5ZZkg1NHc2MWFyZkxmYnQyNkZiS3lQZDdNS0pWS25DYXpMUnhqOU9MRml3ZXl6Y05xdGNyUGNRc0ZybUFXUXRpdUN3RC9mdjMxWC96aUYyKzU5ZGJlL3I1bXEwVlp5VjlQVDgvNTU1Ly8ydGUrMXZSSmlLS0k3MjA0emRMelR6bWVGUGMxRUxtOFdBTklBQkNFRXNUeTR2SmxnOHZ2SDNvb1ZTbWgwcHd5UDVFaEVMWFdsbU5GU2JSblpJOWVwUkRBZGxrd2hLVFpmZzJ4UTZwTjF0Vk5XblVpQUVDMXA0b0ttYkZJMHNTelBCUllMcGY5UWtHbGFjZTdnRWlucWJCdFNsT21Ba0VwTG1abGg5bG1zd2xTcGxIRTEwd2N4NXo5NVNmOEJJa3J6TVdnbFdJWlE2bGFmZjd6bjk4M09QRGpILy80cTEvOTZtT1BQZmJLVjc3eXpXOSs4OGMrOXJIcnI3K2UrMGEvN25Xdis3TS8rek1ld1NnOW04MW10YS9Qc3F3cnJyaml0dHR1S3hhTHZDM3ptdGU4NXNJWHZoQUEwaWh5ZlA4ai8vZi9mdTFyWCtQdHU1ZTk3R1Z2Zk10YkhuMzQ0ZmUvLy8xMzNISEg4dVhMR1RRcEs0SHJ2RmxDTEZ5NHNOVnFBUURqQzh0ZzJUaUdiMmJGWXBIcnlqelBPL25razEvd2doZTAyKzFISDMyVWhRMk5SaU5KRWk3RzAxbHJkM01TZE5aN2pkZjd4clNUTTNFKytWejl3ZlIwbC9rWjVRbzlUSzlpUGdSR2FuYTNJYUl0VzdhWXhZMDV0TDYrUHJZdE5rUUhheDRZdTFrZjdUaU81YnA4bFRxZU4rRDdVOTVGTnZ6TXl0N0NWb3NMcVJ1TkJtOGVtdW9QTGhObjRUQ3ZKUEpNRnk4MTRqZ2VHUm5oanlJZmtlTTRYR25KbTZXMmJYTzFZVTlQejlLbFN3dUZRbTl2NzRZTkd6elArL0dQZjh3V1Y4MTJxMWdzdHR2dGtaR1I0NDQ3N3JXdmZlMEZGMXlRMzRJekp6YXZuenNZVDBKR3pBQ211ZmFlMTRXZ0VUUklFQzQ0S3hhczZDMzBqYVlqTVdpVThBUnZYNEZTQ29pRUVBclMwZHBvQ0pFRHJyQkJTaWxScGlBMGRSeTREZkRPNkpZOFVhc1ZuRUt6MVNvNEJhVTBXSkFtQ2ZPYnZPbkJUakdDaUh0ZmNxRkVHSVplc1ZpcFZCZ0hPd21hNDFpdXk3d25YM2dtVFRhYlVmbTgrSEdKeVlicTdPMlNwaWhsMzhEQTZNakl2L3pMdjJ6YnRtM2R1bldYWDM3NS8velAvM3o1eTE5bXRIcjJzNTk5NFlVWEZnb0ZycDF6WFRlSlkwdklhbDlmRW9iZitNWTMvdk0vLzFNSU1UZzR1SHYzN3RlODVqV1hYbm9wQUlEV2x1dis0THZmL2Z6blB5K2xIQjRldnVTU1N5Njk5TktnMmZ6TVp6N3o2MS8vZW1CZ2dHRU9BRXlTMjJGMXBEUnVpbndPT2JOak5wazM3dG5NUG9xaVpjdVdQZmU1ejczb1JTOENnS2pkdG0xYjJMWk9ra2Fqc1czYnRrc3V1U1R2T21ieVgwTlo4SnFkeVdpdUREU1VLMk1UNDFHWFF5Tm54M3lITU9tOGs5bDBtSGZRVUNLR2NtR2FlTy9ldlhmZGRWZitWMFJrT09qK0xGamR3V284cnE0dWw4dkZjcmxqK0VuRTg3QnRtL051a1BKVUFQYjE1eHRBSE1mY0pOVFllSnE2Y05ZWGMrVWhxNVZaMGNIckRQNGVzbVIyejU0OXUzYnQ0cHVXNy92TWQ1dWJPaGY0dFZxdGFyWDZ6R2MrODFXdmV0V0pKNTRJQU94QTByVysvQk9zWTU0am5od2RzYUFPKzZzUmRDY3BSa0Z4WWpuMnlnVXJWeTVZV2RzK0VTT1NlTUl0NHBWU0FvVlNTdHJXV0cxc09OcGJkQXNnUVZxV2hCUUpFU1piMTVEV0NDSVBmb1k3OFgyL1ZDZ0JnQVRMY1NVQXROcHR5N1l0eTNJZEowbVMrdmg0cGJjWEFEZ3A1cXBUM3U5T2ttUjRlRmdJMGRQVFl6Q1hpVDllRHFkcGFra0pXZGYwSitJOEdQdWJUc05xeXdLQVJxMTJ6VFhYL09RblAxbThlUEZuUC92WmlZbUpqM3prSXhNVEU1WmxIWHZzc2U5ODV6c0hCZ1lBZ0IyTFhOZTFIWWRQeDMvOTEzOTk0QU1mR0JnWTJMSmxpK3U2ejMzdWM5Lys5cmR6VlY1dFl1TCsrKysvNG9vcitCV2Y4NXpuWEhIRkZlVks1UVB2Zi8vM3Z2YzlJVVNwVkdvMEdvWWZJQ0lXWTNGcXpCMUxXYW5LRFNzSEJ3YzVyV09rWUZ3KzRvZ2pUajc1NVBQT080K3J2QnpINFNPNjc3Nzc3cnp6emp2dXVDTnZrUU81akl6dlJueEg1SkppSWNTU0pVc3FsVW9ZaHZ5bU1JK01XVlZGUGhFMnRUbW1KczBNbnZlUGg5dzlsZThIcFZLSmk5OGd4MUF6cklkaHlPWnRuTFF5dFJLR0lidklzNzhhRjFPVXkrWFZxMWV6dW9OOWkxaDBERmxwdGVrNFpYdGVzVkpKd25ETnVuV1RId0tpTkk2NUszWWN4eE1URTBORFEreHh3UlV1OVhxZGRYaWNUZk81NHBXUXFkbGpBbjNod29XV1pZMlBqNFBBUXc4OTlPS0xMMzc1eTEvZTM5L1BOMUdlRWlmYS9LbHpNbzd1VDYyQ2JyWjR3b0dZcG43RkRqc2hBQVVxWVFFdTk1YXRYYnptb2UwUFJqcGdXbUxXc3VMSEthU1VTWko0MHAxb2plK2QyTE44NFRKYk9KWWxsYklrZFN5dkNJRVVBWUdjeWtoUXBtRFRSRUVZQnZYeHZrcWZMd3NFWU5uV3VrUFhmZVVyWDFGcHVuSGpSa1poa0pLVW9qUTk4OHd6aWFoVXJRTFIrUGk0NTNuOS9mM0R3OE1nSlNnMU5qWldMQlkzYmRwVXFWVFloQUVBSUNza2c1eU40ZU40SGpyWEFDT0ZsRWtZL3VBSFAvam1ONzlaTEJaZi92S1hiOXk0OFcvKzVtKzJidDNLdmVqLzZxLythdFdxVmN5ZmNGTE1jSmxFMGE5Kytjc1BmZWhEV3V2UjBkRVZLMWFzV0xIaWIvLzJiOWtSc1Q0K1BqbzZldFZWVjQyUGoxZXIxYVZMbC83OTMvOTl1YWZuUy8vdi8zM3ptOTlrYVZxNzNYWmRsMUdTZzkwdldXL0xyeFVFd1lvVkt4ajREam5ra0ljZWVvaEZEdXpwMDlmWGQrbWxsNTV6emptOUF3T2Q5MG9JQUhqMDRZYy8vZWxQLytZM3Y5bTFhNWV4WVRUNUhXTWl3ekhmQURnSFAvend3ODgvLy96WHZPWTE3WGFiRTBER1lzYW1uLzNzWjZ4azRIc3FaRFFyZ3labGNtYmpuV1pTWUg2eUlhYnpxeHpPdUUxaVRsbi9Rek0zQnZSR284RXNUUjZnR1EzNVJtWE1mVXFsRW50SE1FQnpjdDNUMCtQN3Zybng4d2ZNY3QxU3BrRmV1SGp4WVljZEJxYUhubEo4bjJCS21vMDd1QWFFbTA2eDd4SWlidHUyalZ1WlZIdDYxaDl4K09zdnZmUTV6M2tPQUxCd25sRVlBUGlUbkUrRUQ3SVRKcDZVZ282TzFpQ1g3QkxYcmtsU3FTWHRKVDJMUGZKYVpLT0FSQ2RQcU9VRW9oQVNvekFDNmJhQzFuaHJUSUd5Z2FTVVVrdEpVcEhTQUN6QXBRNmhQWk1DTE91UjdrbzNwZlNXLzczbHB6LzU2ZGpJMk5GSEhxWFNkT2ZPblF3b2l4WXQ0c3ZqK09PUEQ4TlF4WEdyMVZxL1ljTUhQL2pCUnFOeDVKRkhzaWkxYjNEd1RaZGQ5cUlYdldqaGtpV1RUcmlaTVJoL3d6bmRnV2duWmdyMmJoZENnQkE2VFlXVW16ZHYvdUlYdjFpdjEvLzgrYzkvNXp2ZitlNTN2L3ZuUC84NTU2RnZlY3RibnZlODV3VkJ3QVVSU1pJd2tSSkgwWTd0MnoveWtZK01qbzZ5bjB1bFVublh1OTUxK01hTkFKQ0VJUUM4KzkzdmZ1Q0JCMWlIY09XVlY2NDk5TkQvL3Y3M3I3bm1tdUhoNFlVTEYzSkJHdTllTXFDdy94bnJXSms2YURhYkN4WXNlUDNyWDc5OCtmSXdET000ZnU5NzM4c3JaVjVrQ0NHT09lYVlnWVVMVy9WNmtadTBDd0VBdTNidHV2MzIyNGVIaDVjdFd6WStQczRuMHlDajJhVGlySlpyM3BZc1dYTEJCUmU4OWUxdnB6U3Q5dlV0WHJiczZPT09Bd0RRK29INzcvL2Q3MzczNHgvL21GbCswNTdEbFA4YWd0aGd2Y0ZsRGlPQUFRRGVlT1E4MnR4ZlRXN09VTjVsQzhXSWJFWmpieURHYnR1Mm95aXExK3U3ZCsvbVAvL0pUMzVpanBlTDduaWZrRXZBRnl4WVlIeVpHYUI1VDNKS3oxWkV0Z0MxUGEvUzJ6dmR4SVBqd2Z2dSs4QUhQbkRUVFRmMTlmVTk5N3p6cnZyN3YrTk8zcDBGSHdDd1E1YnJHaDhTUHBBWjYxRCtaT1BKc3NFRUJHNC9BQm1xSVlCbHFUQ3lpL2I2UlljZHVYYmpMeC80WlJLbFlHWGJaWm53d093cFB4NFRRU0xTQkxabHgwbGM4QXRidG04NWM4MlpLYVRsY3JrOTFOYWEvRUloVE1Na1RXMXBDWW1VMTZ4Qk5uTUN4M0ZVckd6SERsVG95OEthdFd2Zi9hNzM3TnErODd2Ly9wK09iZk1pem5FY3BaVGpPQXNXTE1Dc1NxcGFyYkpzcUZRcVBmREFBMzE5Zld4OXk4WUl4aWVGVzNsZWV1bWxMM3ZaeTlneGdDMWRIbnZzTWQ2ODVuYkloeDU2NlBISEg4OE41VHJ1eG9nc2dCc2JHZUZMMFJnTDhJV3RNajZ4MFdoSUtRRlJhOTBZRzd2aWlpc2VlZVNSVmF0V1hYMzExVC80d1E5KzlLTWZNUi82MnRlK2xvdmlSR2FNeTZKZHJmWEV4TVNWVjE3NTBFTVBFZEg0K0hoZlg5L2IzdmEyczg4NXAxbXJsYXJWc2JHeEQzN3dnM2ZkZFpjUW9sd3VmL0NESHp6NXROTnUrODF2MkxtaXA2ZUg4eWxXakFWQnNIRGh3aDA3ZGx4d3dRVWYrdENIYnIzMTFrOTg0aFBsY25uRGhnMWYrTUlYd2pCY3RHalIyZWVjQXdBUDNuY2YxM1NWU2lXMjh2cjd2Lzk3TGhzclZpb2RFVWdHZVZ4MHdJUlBwVklaSGg1bVRpQk4wK1hMbDIvYnRvMzNqc3JsY3ExV2k2TG9ILzdoSHk2KytHSmd5M3orNktZcFd0Ym5QL2U1cjM3MXE5dTNiMmZtaERjazJhU21WcXRWcTlWV3E5WGIyOHVuMUxLczRlRmh6L1BPUGZmY1k0ODlkdWZPbmJ0MzcyYTNDaTZGWUZPaGtaRVJWcitaU21naEJGTXh6TlZvclJ1TlJrOVBELytLb2QvQUs1ODYzL2VOalpUSXJQRXBaMlFNQUVtU2NMRWZiMHV5QXdaM2xqT2lqbXExdW5EaFFyYkNXTHAwS2YrcVdxME9EQXo0dnUvNWZzZmNoMlhSaUNxT3BaUWc1YUdISHNvVkpYLzd0My83b3BlK2RNWXNpZ0hYejNZYXhkVG1UQWNEbnN5TXVJUENBSk9wTVlIbkZtS0lTbEJjdTNqTjdRL2VFV0hVMWkxQ25VOEU4SEdWdVhUYUlCRUJRQUx4Ukh0c0wreGRDc3NzeTdLRWpXbEVDZ0FBUmFjNVpYNisrUnExTkUyMTBoS3NNSW9LaGFMcmVhdFdyOXEyOVJIZjhUakQ0bHNJMjJXWi9rT0dJalNSSkFtbkJxN3JHZ05aN3RMR3ZyRW1lVm15WklucnVzY2RkMXk5WG0rMzJ6c2VmZFR6dkdPUFBmYnFxNjhlSEJ3Y0hoNGVIaDVldVhLbHFhRWFXTGp3b29zdVdyVnFWUkFFeGhCeWRIUjBmSHljM1NCOTM5K3paNCtLWTh0MTMvWG1Oei80NElQRll2RlRuL3JVWFhmZDlkblBmbmJQbmoybFV1bjAwMC8vbTcvNUc4Ni9QTS9qWFJmR0NFUzgrdXFyYjczMVZ1WUhraVI1OWF0ZmZkRkZGN1VialZLMU9qRTYrdFd2ZnZVNzMva095Mnl2dXVxcU04NDRZOCt1WFovODVDZC8rOXZmbXI0Ymhoc2RIQnpjc21YTGkxNzBvaXV1dUdKd2NQQ3NzODQ2ODh3ejB6UzkrZWFiZi9LVG4zUVVnV21LUW5BMys2R2hvVmFyMWRQVGMrcXBwejc3MmMvdTZlOEhBRkFxMzFUMDBFTVBQZmZjYzMveGkxK01qbzVXS3BYUjBkSCsvdjV6enoyWFFhMVNxWHovKzkvbnQyWjhmRnhydlhidDJzSEJ3YzdhbkdtQkpFblRkR1QzN2gvOTZFZTdkKy9taFRZYlJ4QVJIN2pqT0sxV3ExQW9qSTZPc3FLajNXNHZYcno0V2M5NjFvVVhYbmo2V1dlQjFtRVFHS05PSmw0LzhZbFBHRWtabjRvZ0NQZ0dPVDQrN3JvdXN4L1ZhcFZaR21adnVQdUcyU0xqcHdFQW96L2pyRms1R1RtZHl0cHdFRkVRQkN3Y0RvS0E3dzM4d2VDYkt5ODQrQzNqc3IyOEw3TWhPamkvcmxhcjdHYjV2T2M5NzVKTExqbnV4Qk1mcjR2MFR6Q2VXQ0RPbFhVaEdDQTIxYldwQmlsVXBHelhPbnpsK3NXVmhUdmFPNFdGT2ljUDZLTFlmczlBVnFjaUtxMHRLVk5JOW83djJiYjc0Y1dMRjd2Z081YlRqb1JPRkZqWkxuWm12elk5MGpSTkUrWGJkcXZkNmkzMEZZdkZZNDg1OW45KytCTnRhUVZnNUZDc0VtWFRQNWdxZStEdmVVdUs4UnB5YTFMZUlKcCs3RDA5UGJ6UUk2SmlzVGc0T01pV01TdFdyR0N0RlRNaExQOHNGQXF2ZnZXcklhc1A1dDBodmtsczNib1ZFZGV2WHk4ZDU3Kys5NzFmL2VwWGUvZnV2ZktxcTlhdFcvZVd5eTc3N1c5L202YnA0WWNmZnVtbGwvYjM5d01BRzVEelVWaVdWYS9Ydi83MXIzL25POTlwTlpyOWZYM2o0K012ZTluTFh2LzYxMHZIS2RnMkFGeDc3YlZmK2NwWCtOcCt6M3ZlYy9HTFg2emkrT3Fycjc3cHBwczRtZVc5TEJZYkpFa3lORFIwNUpGSG5uZmVlZVBqNHl5bDJMQmhBeHNzY0RXZHllOTRPVzlaVnExV0s1ZkxnNE9EM0VJdFpZR3ExZ2lkbmhFREN4ZGVldW1sUng1NTVHT1BQYlp4NDhZUGYvakRhWnFlZi83NXA1MTJtbGNzUHJ4NTgvZSs5ejJqNGxxeFlzVkZGMTEwekRISDVCMGQwelIxZkY4cHhTRHJPQTZYZFRBYndKdXV2Q1hsdW02OVh1L3Q3V1h1K1BUVFQvL3J2LzdyUTdoM3ZSQmVzZWdWaTcwQUkzdjIzSExMTGJmZGRsdXIxV3ExV2xwcjR4M01ueGErMi9GYXFsZ3NTaW5IeHNZR0J3Y0JnRE5pVm9rZ1lxRlFRTVJ5dWN5ZWFueGFlUG5JU3gvK2tYV1RlWTB6NVl3anpFS1RHUjdXb3ZBbUNoZVNNSFV6WFI5ZExCYjM3dDE3MUZGSHZmZTk3ejMzM0hPbGxLQ1VKaEwyays0ajlrY1JUOEpaeXl6TkFCRWthQVBPcEpBa2dpMXRBTFhRR2p4OHhlRTdmN2RiV0JKeGtpVE43M0k4dnRNU2xpRFM5VmJ0c2QyUG5yVDRaQUhvT1o3VmxvbE9pQWdGa2lhQnduUU1vU3pUSW1ZckVBQkFTTkVPQWdCd0xPZVlZNDhwVmNvVVQyWWZMTTlrMFJYdmUrU0REeTNmWkRPdlFwMDhmWm50QUY4NW82T2ozRlpPS1ZXcjFaaVU0SXVacVZYbVczWG05c0lGWm16aVZjMmlVQ2dzWExqUXRtMDJGZnZ3aHo4Y0JNRkxYdktTTjd6aERSLzUyRWR2dXVrbVJEejAwRU5mOXJLWG5YRENDZlY2blh1TDhGdkFPMW8vK3RHUHJyNzZhb0hZMDlQVGFEUk9QUEhFdi83cnZ5NzM5TERON2plKy92V3ZmZTFyVExPODRoV3ZlT1VyWHdrQVYxNTU1WFhYWGVjNFRuOS92OWE2Mld4Q1ZxTEM1Y3NURXhPZis5em5XUGVxdFQ3OTlOTy8rTVV2dGxxdGtaR1Jqb0EzRTRReFZlVTREdHVoTVJQQ05BdXpzd0RBWnNyck4yeFl1M2F0MW5wNGVGaEtPVEV4NGJvdVY0SnhPc25GZU13T1Avdlp6eTczOUhRcUc3TU9jZ0F3TURDd2FkTW1Kb2g2ZTN2Wk9LMWNManVPczMzNzl2Nysvckd4c1hxOURnQ1daWTJPanZiMTlSMS8vUEVkRkZZS0VLTXdkQXNGU3RQdmYvLzcxMXh6emFPUFBsb3VsNk1vNHFaWnBra05FK0lBd0hEdmVkN1kySmp2Kzg5NjFyUGU4cGEzakkrUDc5MjdkK2ZPblh2Mzd1VW15a05EUTd5QnhsMjBPUjBHQU1ieGZIMEtrd054SEpmTFpYNG1mNXdZdUJtYVRkOHB2dWVaNmtIejRUVHBkcHFtdTNidE92dnNzeSs2NktMRER6KzhzN2RNSlA3RW5Ib2V4M2dTU3B4MWhzSXNKa2JnWHAwQ1VVaVZLRGJCczBBZXRlNm8vNzMzTnhFRWFlN3R6Rzl6UHo0VEl1cWt1MElBVW9ycDBPaVFnaFFBWE5lekxUZE9FMFFrZnFJUVFBcHlVbUxPNWdrQmhSQVdDQ0dTTUlsVTVFbi9rSFhyMXExYnQvbitoNWdPTnVJcW1RblJhR3JrRDJwNnBzeUxQcDFaeDZwY0QwMVdzNW9kWjA2RnVMUU1zMGFUUEFnN0ZqSTF3UmVTZ2ZVb2luaC9obG5VbFN0WHZ2M3RiNy94eGh1dnUrNDZUc2xmL09JWFgzVFJSUUJRcVZTMDF1MTJ1MVFxY1RKKzg4MDNYM1BOTmUxMnUxUXNobUc0Y3VYS0s2NjRZdlhxMVpTbXdyYS8vNS8vZWUyMTF3NE5EYm11ZTlKSkp6RkFYL3UxcjExMzNYWE1nWm9aTWw1d3RzNXQyUG1PVXExV2QrelljZlBOTi8vYnYvMGJ0L2JSV1NNaUFMQnR1MVFxTWFSeVFUTWFCVjdPRXNHeUxMNHJjTVVhSXgwQUtLWENWb3Zuc0hqeDRvY2ZmaGdBdUY4cTcrOEhRVkFvbDVrR1pjajJTNlZYdmVwVkN4Y3VmUFRSUjQ4NDRvai8vdS8vM3JsejUxRkhIZldpRjcySWE5VisrTU1mZnZ2YjM4YXNEZUNKSjU1NDBra25BVUFTaHJialFKYkx0MXF0Tys2NDQ4RUhIenpra0VPNG55eG54THdqeXVXSVNaTHdkaWlueG4xOWZTOS8rY3RmK3RLWHJqN2trTlZheDFFa2hHRGcyL3JRUTNmZGRkZm5QdmU1MlQ3cWZNamNPQm15bkpjUGxsbGEvb2p5QnFrUWdyZitEQTFvN3BGR0I4TGY4TmRMTDczMFRXOTZVOS9nSUFCMEN0d1I0ekIwL0lOVnl3Y1NUeElRZzltbTYxU3FvUUlpd0ZRclNUSk5VcEo2WmQrSzFVdFdOV3ExUkNabURmVUVUYXREUENCSlY0N1Z4M1luUXhXNzEzTTgxM0VEMVZZc004ck1rZk1LdkU0dVRDQVF1VWlNaUpxdGxsZnhCd1lIenp6enpBZnV1VDhPUTI1Q3c0bXd5VXF5MThVdXZzWG9uTXpxMitRcGtIVnlOTDl0TnB0OGdmRTF3N1FnSXZiMTlVMU1UQmlZNWlTSXlVUURWV1paeXVET0xycXRWdXZFRTA5OHozdmVFOGZ4bFZkZU9UUTBWQ2dXbi8vODU3L3FWYS9pMVRlRE5lOXh1YTY3ZWZQbWozNzBvdzg4OEVDbFVoa2JIVjI3ZXMzbGwxOStiR2F1K052YmIvL1VwejcxOE1NUFN5bVBPZWFZRDMzb1E0dVhMZnZGVDMvNmovLzRqNTdueFhGczN0YU9pV2pXV20xc2JJemJzdkUrSHB0VnNrVVpWeWVuYWNvN1JTSXpnbUFKZ1ZsZlQ4citpQUJST282S1kzNEp2MVJpM1N1dnRSbGUrZDNodkE4UkdZWWdwNi9pOG5SKzBSTlBPV1hkdW5WeEhGZXIxUWNmZkhEWHJsMis3NTk1NXBsK3FhVGkrT2FiYnpZM2xlWExsMTk4OGNVYk5tMENBTnQxSWFmUThuMmZPU1VtSHdxRlFwcW1DeGN1M0xCaFE2MVdxMVFxanozMkdKOGMzL2VWVW1Oalk2ZWZmdnFiM3ZTbVNtOHZONjUzc2k1NWQ5eDY2eGUrOElWZi9PSVhYUFBDNURMZlFaVlNjUndiclJqZmlka1V1S2VuNTdqamp1TStUTng0aWUrSVNaSndTYlJ4UVdPQ2hUY0R6YTRHWmRxN0pFa1dMRmhRTEJhNWNNWm5tWEFVT1FlOUl3NDBuZ1FkY2NmRkIzUG1QeUE2L1M4c3h3WUFvZEd6SFFKeDNLWmo3N3ZwWHBGVjlFTU9PeDZ2K1V5cXdiVFNrSGlPTjFFZmYrVFJodzg3WkwwdExkZDJaV1NsbUlBbTBocXp6YnJwTndTdHRXM1pLdEVvUkxQWnJKYXFqdVU4NHhuUCtJL3IvMzFvMTY1MnUyMTZCdWRmMStoQVRFWnNDaXM0NlRBMFgzNGRnRk9YeVp6UjhJWWJpeUs0eG9tWkVDNENOaS9LdWxUSWxIQm1HZ2JDVnE5ZWZlYVpaNTUwMGtsdmU5dmJ0bTNiNXJydXNjY2VlOWxsbDdIMmlJMjkrYThZRmovM3VjLzk2bGUvNnVucENZSmcrZkxscjM3MXE1OS8wVVdzVHQyK2JkdjczLy8rKys2N3IxQW9ISDMwMFpkZmZ2blNGU3QyNzloeDFWVlg4YTZVMGIwQkFOOHdtTmZXV3ZmMDlIQ2VYaXFWYk50dXQ5dnIxNjgvNzd6emJybmxGcTUrVnRsR0hHVzk2RG1yYlRRYWpVYURzMHQrWXdCQUpZbDBITVlVaGduT01ia0lnaWZBTjBzK3Q1N25tVGZGemFFNVFLZGcwaXNXT3lKbG9vbUpDZFkvcUp3aFBRdHAyYVZoc2VHc2JadHhzd09Mam5QcXFhZis3bmUvdStlZWUvcjYrbXpiYnJWYUo1MTAwcnZmL1c0K3c5ZGRkOTJuUC8xcGJpd1VCRUYvZi85cHA1MVc2ZTNsSW5pdlVEQkFlZSs5OTk1eXl5MTc5dXpod3pGaWM1SHpOaktmdENBSUxNczY1cGhqemp6enpMZSsvZTBxanJtTFhhMVdVMHFOajQ4LzhzZ2ozLy8rOXg5NTVKSHg4WEhNSkgzY0htVjBkRFMvdzJ3K2t6ZmRkTk9sYjN5anVSdzZ1Zi9CT05CNHdvRVlPOEsxeVovekFoZUJtRVN4TFpqZFUwY3NPY0pUZmlMVGhCSk5wRWdSRVB1ZlpkWm5SRUNBUUIzdjl2MERhQUpBZ2FTMUVLUjFtbERzZTM0OWF1OGNIa29QMFJhQVpRdExZS3BSYVNETnVTL3B6Z0YwQ2swUUNBR1Yxb2lRNnNTV2RwaTBVeDNaUWh5eGNmMFJHdzVQb21qUG5qME1sMGJuYi9TaFhXRmx2ZEhBSkw4QVFKVC9XT2RYQnExV0s0b2lMcEptN09heUNONzVZWVNDek10TlNtbG5tWnBXU2hCUm12S1BudWNwclZHSWswODU1YTJYWC81UC8velBYLzJYZjFtMmJGbXhWSHJuTzk2eGJ0MjZORW55clJPU09PN3I2N3Z5ZmUvN3hyWFhMbHE0TUFnQ3ozVlBPZm1VU3k2NUpBNEN4L2NiRXhPZitNUW5icm5sbHQ3ZVh0ZDEzL2pHTjU1eTZxa2plL2E4NHgzdllHS0VDNlBETUtSTUFNY1ZKWWpJYWkwaFJLbFVTcEtrWHErZmM4NDVsMTkrK2NvMWEyNjk5VmEydVNBaUE0NnU2eXFsZU1lUFUxMTJOY3MrVloxaXlDUk5iU2wxbWhLUjdUaFJITGVEb05scVJVSGcrbjZ4VkNLQVZDa1Z4NmxTTkRGUnE5ZFovYWJURkFDRVpjVmg2SGllNWJvNlRZVmxKVkZrV3hhM0plWTlLd0JBeStyNFNkcTIxcG9OMG9BejY2eWZtN0J0enF3dmZPRUxWNnhjK2NNZi92RG9vNCsrODg0N3YvNzFyN2VEb0tlMzF5OFdnU2lLNHc2TmgrajUvak9mK2N6bm5uY2VBQWdwUGRmbGJ3QWdDb0xIdG0rZnFOV1dMRjBhUjVHUnI2bXN3NTVaaXZGWjlUeHY1Y3FWTDNuSlMxNzZGMytSUkpGdDJ3WEhLUlNMUzVZdDAwcjkrdGUvdnZ1ZWUzYnQzajB5T3Bva1NhbFVRaUdVVW1FVXBhMFdHMUZOY21qWnA1RS9uMUVRQ1BiOUVlSUpkRTM4RTRnbjF0bUJOK2dFbDZjaGdBU1FBQUlBUVFLeVZZbnRPbURiQU5LRlFnLzBubi95QldKQ0puVnRTeS9SeWkwV0xOdHB0MEpCS0FrUU5LRFNtR3BNdFNDYXZaWFJqRUVBS1lBU1JCQ2hpS1VOclRTUWxjSnY3di9kdzhIMkdCTEhrNTVsU1lVWWsyODdVUlFRa2haYVk2ZXJLTU14QXRtV0NJSW1vdElRazRqYVNVMURhUG40L0JmOCtjREFBSmNuOE1xWDk4UXJsUXF6Y2x4RDFaSDBhdDBPZ2tTbEtJVzBMWlNDRUFnQkJFWkpIQ1Z4bkNaeG1xUmFLZElhU0JNQklxOWJPVWxoTHl2RCtqRlpET3haWVZtZEZZaEFsQUlFYWlBUTZIaHVvVlMwWGFjVnRCM1AvY3RYdnVKN1AvaitGNzcweFVwUFZSTzk4eDN2T09HRUU2TjJBSnFBUUNjcEVJQW0yM1krKzZsUC84ZDMvcjFjTEVWQjJLalZUenZsMUN2Zjl6NlZwbzd2VTVwKzdHTWYrL25QZjg3cXJuLzRoMzg0KzV4enhrWkhQL25KVDk1NDQ0M3NvTWI0WlJwRTF1dDFveHRoUVJWdkZvMlBqeGNLaGVjODV6bWJObTBDQUtVVXE3NjQ5Z1FBV0ZyQTl4NGk0cnJreWZkWUNFQ3dYQWNRYk04RkJHRmIwckVicmFZR0VwYU0wOFF0K0lBUUpYR3hYQ0lFeTdFdHgyNkhRVHNNUUlwVUsyRmJ3cllBd2ZFOVRoMzRSOXQxd3lnU1FuUk1SUUIwa3Vna3FWUXFwdVIzY2gvU3NqcDNEazQrcE9CdmpqdnhoUGRlK2I3em4zY0J2NmY4RmdPQ0psM3BxZklrcFcwUndtbG5uTDVxN1JvaWpWTEVjUVFJYUVrQWNnditTYWVjM0RmUXYzM0hqb2xhYmRHaVJWd1hzMkhEQnFYVUlZY2MwdC9mcjVUaVhsTk1RQmNLaFhQUFBSY0FMTnNHS2RydFZxb1ZDTnl4YStmbGIzL2JkZC8rMXE2aDNScW9WQ20zZ2phL3V1MDZLQVFLd1V1aVJxUGhGd3J0SUFqamFHREI0SlYvZDFXajJYQUx2dVc1Q3JSMGJaQlB2RUhCSDI4ODRhWS9tTDlOVHZsMmlsUVlBQVdBQmZhcWdkVXJCMWJmUC9SQUVpWW9SUkNGRnNsaXNjQ1ZGVWpjTUlNQStjNjhuNXdGZ2tZU1FBQWFRUUVnQVNsQmlkUTd4NFpXTFYzdVdvNGxoQ1JoZ1lXSTBoSUpUcmRXenhiK0NFSUNhS1dJWWhVbUVLR1F6L3Z6QzRwdWNmZnUzV0VZN3QyN3Q5bHNqbzJOVFV4TTdOcTFpNVdlekw1eHpoSW5TZDlBZjVLbVNaSkVZV2hvWDVsaEszTjhuRkFuU2FLVnNvVFVPUVdTcWM1S003dlkvRVFGWXFQWmtKYmx1cTZkN2RoRWNaeW1hUlJGR3paczJMdDM3NE1QUFhUOTlkZlg2blhIZFYvNXFsZGVmUEhGU1JpNnZwOUdFUXNQT09HOTdodmYrT2EvL3V2RFc3ZXVYNzkrejU0OVJ4OTExUHV1dUdMUjRzV0EyS3JYdi9hMXIvM2J2LzBicTFBLzhwR1BuSG5tbVFEd0wvL3lMei84NFE5NWhxeE00SG9IeDNGcXRkcmF0V3VadFAyTHYvaUx3Y0hCelpzMy8vU25QK1hhdk5OT08rM1VVMDlGeXpKbXVGM0hsZi9SbEFKUC80eE5mZXVSQURTUk5zcElJWVNVUERxekVpbXpZWE4rZmlCTENmT2ttZUh4emExbG4vUGh5VkQyRFhTV2E4TE1rd0FTL3FnQUFJQ1RGYUZwSW9HNFllUEd2M3I5Nng5NzlORjJzeFdGNGE1ZHV6WnQydlMydDcxTktkWGIyM3Z6elRkLzlLTWZaUUJOa21UanhvMHZmdkdMMlNja1Zha3RuVUt4Q0FEMWV2MTNkOTg5VWF1Vks1VjZ2ZTY2cnRJNlNWTk5GRVpScXBUbnVreG5hNjNMbFFwTEtsLzhrcGVjZi83NWZmMzlwVktKNTYrMEpxNGZBWkFvRHFMeEFjUlRTL1NISUphV2xxMWZjL2dqdzQvVTQ5anJjWnRSazFBV0hVOUhpbmtOcEtuZ3Z0OHZRUjMrajR6ZHNDWlVEKzk0K0tpbFI3aFFjbHpYaW9KVUtBMGFKUUxvR1YrTWlQaXkwYVJCNnppT1kwZ0s0RmpTZXVZem44bTdSanBKRURFTXcxYXJ4YzFyMmFYUWROVnROSnRiSHQ0YWhDRzNwMnkzMjB5YkFnQlhPc1JadTdDT0FibVVBcEF5UHpBamljT2MwN2xaUlNJaUFaUktKYVcxeXZVWjRzWVdqVWFEK1pQcnJydnVnUWNlQ0lMZ3hTOSs4V3RlOHhxVTBwWXlDVVBiOHlTMzVQSDkyMis1NWYvNy8vNi9lKzY1WitYS2xSTVRFd3NYTHZ5YnYva2IwMjN6UnovNjBULzkwei94anRCbGwxMTJ4aGxubEh0Ni91MWIzN3IrK3V1M2JObXlaTWtTVm9tVnkyVmV5NCtNakt4ZXZmcVp6M3ptRFRmY0VJYmg4NS8vL0pOUFB2a3JYL25LRFRmYzBHNjNCd2NITjIzYXRHcnRXbk9ldTg2OHlKcUU4bThOc1RPZm9LeFFVMlRsMVBsWDRaUjg3ZzBKdzhEbWhSeDhMelJBSE1keFY0ZjVHU08vQzhLUEdLNkdCemRtUS93RW5qWi9YYng0OGF0ZTlhcmh2WHY3ZW5wLytOLy8vWXRmL0FJUkR6dnNzSjdlM2ppS2JycnBKdDdFWXhYMnhvMGJMNzc0WW1hcnUwd3crQ1JzMjdhdFhDNFhpMFhPNVh0N2U3bFZWYUZRU09QRTg3eGFyVllxbDBkSFJ4M1hQZnZzczAzcmFQUGVUTzVCSDR3RGlxY2FFS01OenFFckRyM3RnZHVDUnVEWWRqdHVhcDNHYVN4UklBR1NBRUFCV25NYjB2ME9zMk9JQkJJMVU4OWFZL3JvMExiUmVMVEhLZmdGdjlsc1NJV1JWanF6L0psT2dSQ1JsQUlSQVVGcEhjVlJuTVMrWFl5UzJIVTcwbUQyK2ZWTEpiOVVBcUpTdWJ4bzhXSTBwaXBFS2sybFl3TkFxOVV5bm9Sc01jTWRHYmdpemhoK3F6UU4yd0VSYVNMZVFJR2NEUmpsUEY3TjFseVVkTXpSelk0ZkkzaGZYOStlUFh0NmVucHV2LzEySWNSWlo1MTF5U1dYTEZ5MGlQc2V4WEZzWndabUQyL2UvSC8vNy8rOTc3NzcrdnY3K2JyOXE3LzZxL011dUlCRlN6Zjg3R2YvOUUvL05ERXhJYVc4NUpKTFh2ZTYxL1VORHQ1eDY2MmYvdlNuaDRlSEs1VUs3eUJ4STJHdVJvbmorQld2ZU1VSko1endxMS85Q2hqK3BHVC9HbU9vQ0FEdFJxTlFMay9mclRVeUNjeFp3dS83amMrRkFXSXV0RFZJWjRCdjduR1lpdTFvQ29VQUlnT2cvSndnQ09ZRHhLWmprd0ZpSnBlTVBxRlRzNTZGMldaZ3dzRnhuS1hMbGdFQjh3YjFlajFOVXhEQzhmMmVuaDQrbWZ5cEtKZkxaYlo5MEZwa04zZzJvRGpsbEZQT1AvLzhIL3pnQjgxbXMxS3A3TjI3dDFBb1hIREJCWnMyYmJKdHUxSXVYL2JtdDRSQndJSUt4M0ZPUFBIRTVjdVg1MmVsaVgyY08remp3VGl3ZU1vQnNRWFc4c3J5Vll0VzdXME54V0VrVWFBTnFVb2tPQ3lEQTJJcDhzdzJ3ZnNLQXRRQXBFbElBRUVBaEJxMEZ1bHdZM2o3Nkk1Vmk1ZTRsdVBaYnBJbUFjV3BBclNzR1lsb1RXUUxGbjhRSWlacEdrWlJ5ZFpTSUNQc3BHU041VkRzTlorZml0YWFTQ2VKRUlLOUpwWXRXOGJJd3E1amtMVmtENEtBZFdaeEhHOSs4S0U0aXJnNytzaklDSmMvaEdFNFBqN09DTXRrWmNlYkhFQllNbitwbTAzQzBkSFJCUXNXTkp0TjFsUzk1UzF2T2ZMSUk4TWc0QktwWXFYQ0xSaDI3OWp4aVU5ODRvNDc3Z0NBY3JrOE5EUjAyV1dYdmU1MXJ3TUF2MVI2OEw3Ny92RWYvM0hyMXExRWRPNjU1Nzd5bGEvc0d4emN2bTNiVlZkZHRYbnpacWJGdVk4NjZ3b2FqVVlVUmM5NjFyTmUrTUlYQWdBYkhXQW03MlZKQURjRUFxSTRqZ3RkR1RGdmZPWHF3ZVlQeFBrRWxpT2ZFUnQxQWN3UGlNRlFJb2lRQVNoa2NwUU9FTzhyREVsbEp1YTZyc2k4M0lpSU4yRE5IWlQ5bC9sRFpmd3pnVWhyN2JwdW9WRElXMHJ5ZzB4YngzR2NoQ0hycWZrQWpjaWtwNmZuZGE5NzNhbW5uc3BQdnZycXEvZnUzYnQ2OWVwenp6MlhpRlNhbHN2bGVxM0dwUHlhTld2ZThJWTNyRisvbnUyV3ROYUVJS1RFR1JLVmc3Ri84ZFFDWWdIQ0Fyc0U1Y05XSExabDk0T1BOcmVoajVZVUlBUnhXL3FNZEVZZ25NK0hmWWJnakZoMDJqT1RRTlFrMG5iYWVtakg1azJMMXkrQVh0OTFvdGdDallxVW5WTVFaNnFKeVlFMHMyT1dWRnFIVVpRVzA0SzBnVEJWeXJadGxESk5FcGtsWElpSU9kTU1sTksycExuU09tZEFDRjYvUjFIRXNsQjJuNmhXcTN6bEgzbmtrV1pCcURMa1ZVb05Edyt6T0hSMGRKUU5KUnFOUnB6RUR6L3lDR3V0VEQ5S2c4WE5acE5kRVY3Lyt0Y2ZlK3l4dG0wamdDVXRRQVNscE9PMEc0MHZmZWxMUC8zcFQ1bjNhRFFhTDNuSlN5Njk5RksrbmtmMzd2M3doei84d0FNUEtLV09QLzc0OTc3M3ZTdlhyQmtlR3JycXFxdnV1ZWNlcmtBakl0TTFqZzB0VHpqaGhDdXZ2SExGNnRXMy9lWTM5WHFkcStaQUtTNVVNNGNEaUN6TW1zNFI1NEdZcWZZa1NUcG1OTFBub2NhQndheWhqVVZPVjBZOHQ3RkpQaU0yUU16N3NaeXJNaGxGUkZtTjM2eXdQajBqWmhkMkE4VGNGelcvU3VpYUNRQUFZaHpIM0hNZ1Q5R1lhaEVtR1pJa3NYTWkzM3poeHRxMWE5ZXVYWnNreVNPUFBCS0c0Y1RFQkdRRm43V0pDZGFTZTU2WEtsV3RWczg1NXh5VVlyS0lCanZYb3lhdHRSYUlsamhvOTM0ZzhkUUNZZ1MwUU5yZ0hMYmlzUHUycjluMTBFNVNpclFXb3FOZFE4MktaQUdnTTJYeWZpWEdoS0FCZ0VBQWlPdytyaldtcVV5MjdOaXlZKzJPZ2I2cTY3cE9ZTnZhaXJteFF1ZFBwMGp2c2d1SUVGRklxWldLa3poT0VuSUFFQ3pIWnFXUnNDUUtrY1F4WDZ1USszUGd6SHlXeTk0NEJCb0VZZURvMmdpeUhGdmFGZ0QwOXZlWmtVMUpucEV4Y2UwR005VHM0alk2T3ZyQUF3LzR2dC9mMy8vWGYvM1g3SFJoMlRhamZCaUdydXYrNTMvKzUxZSs4aFhtbDNsWitvNTN2S052Y0RCc3RWcXQxaGUrOElXZi92U254V0t4cjYvdlBlOTVEM2NJL2N4blBzTXFZOVkxOHpZZGUzMzV2bDh1bDEvd2doZXNYTGtTQUtyVktvdnRMTXNDUlBZOFlnVXJBN2QwSEppS1V4eEdEYzJBMWFrSTM5ZE4yVmpRR1NER25KblVKTGU3cjZDcEtsMEFBRVIrYzgxVU8zMEw1ejFPbm1zMng4VWNjWDRway85end6V1p2Mkx2RG42RUZZUmNmQWdBalVhank3eVFhM000ZVRkdGtJaUltM2daYXpSKysxaUtvNGtZNnkwcFRJbWQ4WS9SSFNlS3B4YWVQSTNpcVhYaUVBQlNzQ3k3SC9wWEwxcDl6N2E3eG5VU2hhR3cwZXBNdGFOS3hpbUo2ZjZURklSRURNUWFCQkdtV2xxN3gzZU9ORVpVbjdJY2FkblNTbTFKS3Ivb01rbXhDVTJFQ0Z6T2xDcVZxRFRSaVJUY0FROU1mYk5aRjV1THgyQ0JjY2JxekN1M20yU2VhWmE5UkxSUE8xRE1iSVA0MHZLN3Vwenh0TFB4ZVJjUkFMaU1HSWlRSUUwU3Ixajg4WC8vOStjKzk3a2dDS3JWcXV1NkF3TUQ3M3JYdTlpVTFpc1d2L2pGTDM3bU01OHBGQXBSRkwzLy9lOC84c2dqQWZIL2ZmN3oxMTkvdlpTeVhxL0hjZXo3UHFlcmJIbkJpZFczdnZXdDY2Ky8vdkxMTCsvdjcrZFhaMmFUUVljUnJkVnF0ZXIxWXJFSTJRNWs5cTUxRXQ3cHAydGY3M2ZuTGVDVGFYQThOekFaNWNuY1lUanJQSUIycVNibXVYazRIWWlOQVRFL21PK3d4NlNFb1k4N0g3QW9RZ0wyVHVMU1B0NWw1ZFBJVFZvYmpRYTNIZEZKQW9oQkZCWkxKUzc3QkNNU1R4STJkZU0xQWQ5RXRkYkZZdEhjU3YxQ2dlMDArd2I2cDdmVlFFVHJJQXIvSHZFVTY2SktJQVZZQURiWXg2dzkrb2hWaDFOTFY3MHlxczRLaURwN2RBYU85eTg0blo2MnphY0pGZHE2bFRaLysrQnZ4MkRVUWxrb0ZwQkFnckF0U3lDUzBxQTA2STZ0aVZrd0NpRlFpRVNsS0FRQmpJeU1XS0pUeVVaWk0yQ3VuaEM1aG1sZDExNCtLV1lZTmVXcXh1c25YeGUzSDhjN3l6cmRqTU1yVUFZZ0lZU1FFcVcwUGU5M2Q5NTU5ZFZYNzl5NWt5VVdSUFMrOTcxdnc0WU5BS0RpK0xwdmZPUHpuLzk4c1ZqVVduLzR3eDkreGpPZTRSWUsxMTkzM1JlKzhBWG1xYlhXcG9zSEw0MjExdHdTYWZ2MjdROCsrT0JuUC92WjRlSGh2cjYrem1TSTJGMlQwN3BtcyttNmJzZjNOck9uYVRhYlJrZHNSSHRNVTR5UGo0TnBSejFMTUlveFdrRlduc2VEOFBvZEVkazZaKzVUeWptNDFwcmZIWDZRdTJxeWNUNFJzV1ZQaHkyWkpWaFl4dDl6WFI4WHN6SEdjWXJLaHNXVTJZTkFaakZzOE5weFhkdDFPWTFsMUxZOUQ0aFljTVlObTlrcUx3Z0NZZHVJV016NlplUS9HL3lpT3V0cHpmNFMvQ0hodW5NdTNhelg2M2ttVFFoaDhpRjVrSkg0L2VJcEJzUUFrQUpxc0VEMlF1L0dWUnNYVlJZMWh4dEYyMGRDTW1iQy9Nd0QycTNMc3VsT2Rrc0loS1JSSnhTaFE3VndmUHZJOWdTVTYzcU81VWd0S05XZ085dURIZFp2R21GSDJiZ0UwQXJiT25OV05DNnhuYWRsNmRzK3IvWW5MWGllSnN0TzRoZ0FkbTNmL3NFUGZuRDc5dTJPNDlpMlBUdzgvTDczdmUva2swOTJmRDhPZ3U5Kzk3dWYrY3huV3ExV3JWYTcvUExMenp2dlBKRHl4Ly85MzEvNzJ0ZVlYbVFlbzlWcU1iQUdRY0NucTlGb0FFQWN4Nk9qbzl4VG1WTkNiclNhUDZXR1JvQ1pOdG55dHpIS3JEUG1lYnhkUTVsMWlYbmRBeHNIY2dzWHlNamZlUTZWSDgxSUpzd0c1bnlTL2VsaDd2b2M4eHpISkJENUIyV3VTd2duNlFjd240T3h6M2pLQWJIV2dBQVdXQzQ0RzVkdVBHenhvYnBGdml3aUNlQ0NZK3pJNEE5SXZZWklBZ25aUFlJUU5KSkdJS1EwamQyQ05kWWF1ZmVSZSt0UUo4Q2lXN1RCMXJFaXJRV2lRQUVFcENudnNqdzVjUGF2MFd3bUtxWGNJL3pQVk1jUkFuK2RhWmg1SE1GKy9wdDFuTnl5Mm54dk8wNFVCT3dOejJsc21xYXZmdldyTDd6d1FuWmUvODF2ZnZQSlQzNXkrL2J0bzZPamIzLzcyMS81eWxjV0s1VmQyN2QvNlV0ZitzMXZmcU96N3ZUTVJmQitFUzhJU3FVU0lyTE56ZHExYTA4Ly9mVEJ3VUhtWlBscmZuV2ZOd0tkenVwUXJ1M2JGRzUzZmpMV0x0UXpqeU9pRVhIUGM1d3VBbmQvNTVPL25kRFVuaHJtUE93YjA3TUYxdVN4SURMdGE0WTFrdlBaVmtpNVlicGZ5NWxhYW05c3NnL0c0eHRQT1NBV0RnQ0FCRUdhZXFGbjA1cE5pNnVMS2FRT0VDUHh2MzNoekt5QkhTd0dSSzFSTXhDekFzTDE3Rm80dm5uSFE3dWFRd3FvWENnVkxSOFVnU1pEaUVCdUUyWUcxRU1Jb3pCSk8wQ2NxTlNVc1hLMXFQbDNnTE9mNVhYM0Y0VWhvNmY1ZThaY0FOQksvZk0vLy9QWHYvNTFMaU9PNC9qMDAwKy82cXFydU9mcEEvZmUrL25QZjM3Mzd0MXBtcjcrOWE5LzdXdGZXKzdwR1I0YSt2akhQMzdublhleWF3L1hXOWRxTlRadU4yWE5UQmF6VWNhZi8vbWZ2K0lWcitqdDdXMjFXcDJ0dVV6cUI1a1FvcE41eldRVENqbmtNcHRqZkVqN09HOVRzU2EvYTBlWmFtSStRRHdkczBUT240elA1LzRDT21WVlBIbitPb3FpZVNyellPcDloVytISmd2bVJ0ZDh6SE1NTWlNV2U1bldndTkvdktsN01CNzNlSW9CY1VZQklBR0UyZ1ZudzRxTlJ4NnlLYXlIWE1mT05BS2hKanlRNVQyeUlXY25JOVphYUNVNE9VVXBoRzFqZ3RGUWJmZTJ2WThwMEVWUnFQb1ZPOXQ1NjhyTHpGVHovd2lBNjVYWld3NHlmWTl0MldqY1hMSi9BS0QzVTRHM3YvQTl6NlNZcldHaUtMcisrdXMvLy9uUDkvYjJidCsrSFFBT1Avend5eTY3ak4zTGR1L2MrZm5QZi83MjIyOXZ0VnBubm5ubVpaZGR4bTd4ZS9mdXZmSEdHNWx5NVd5M1dxMUtLUmN2WGl5bDNMUnAwM25ubmNkZDE1aXBXTEZpeGJPZTlhd1ZxMWVIWWNpRkNVeE41SUhZOUptSG5QRFpUTHRyYjVOSlhuTkkremdoVTRFNG40Ym54OWtuakhaaDFzeEFQTzlDczN4R2JCUjFrTFdzbitlZmQzRytwb0lPNWdmRU5EVTZqeUt5Z3RqYzl0aGhhcDdIZFREbUgwKzVqYzVFcFJaS1JDemFSUTFwRDFRM0hicnBkdy8vcmtsdEFEV0p2MlJBWnI4K0ZnakVSc1NjV1lOR1lyOWtXd2lsVW5TZ0hRWmJkbXpkc1BUSWRXNjU0cFY4MXdzZ1RMTHRMTE50UGFPSW5RQzAxa0VZdXA3bnVSNnJlUjUzUG5qK0E4NXhhcFJTVEExenBRQUEzSGpqalZkZmZYV3oyUnpvNzVkU0Rnd012UFd0YnozMmhCTkE2OXJFeE9jKzk3bC8rN2QvaStONDA2Wk43M25QZXhZdlhpd2RoNnNhRU5IenZIcTl2bW5UcGc5OTZFTTdkKzRrb211dnZiYlpiSjV6empsbm4zMzIwTkRRL2ZmZnozN25MMzd4aTQ4Ly9uZ0FDTU9RbmVaTk1taXVkaTVJQVFET2xQTTNRcGhXNGp3RmlQZDU2aktVd2FrZUVmelZaTVEwazI1M3RxRWdkN2ZvenF4bmgrUDhOUEpBTERLYjFxNGIwajVuMHJsZEViR2Nqb3VoK1FrZElKNXo4M0I2T295WjBaMTU1R0JHL01URlV5c2pKaUFOU29NQ0FoU1dWSllOOXRvbGF6Y2N0Z0VOSDhFYzhZSGZsUkdJMVkvRXBBUHhaUWdZdHR1MmE0RU5qK3phOXZEMmJRam8ycDd2K1pabFFhYjZORmc4ZGRyUWNVMURZTGxsSndFQmlKTzRIYlRqSkE2ak1FN2lWS1dVQTlMZnh6VGo5d3krekV6djkxLzk2bGRmL3ZLWEgzcm9vVktwOU1namo1eHl5aWwvK1pkLytlenp6Z09BSkk2LytjMXZmdkdMWC9ROGIrblNwUi80d0FmV3IxL2ZzV0FYZ2wzZnVCQkFDTEYyN2RxenpqcnI3TFBQcmxRcVhMYTNidDA2ei9PYXpTWTN4enpwcEpOc3p3T2xHRXlqS0hJY0I0aG00NGlaN3B4eXpuTW15L3gxUG1nRk9TalBBNmg1VVFBd0hQRWNHZkdNNi9ldVRiLzVjTTM1eWVUdk1YbGh6Q1JGTTcraCtBZklLQTd6ZUljam5uTktNMmZFT1k2WUh6L0lFVDlCOGRRQ1lnQ1FsZ1NKcERRQWdFSWtPUUNEeDYwNzNvdGRON1V0RFVnYVVDRm9CQklINWplQnBITmNNd0lBSUdtSW8wUktXMG81UEQ2OGMzUm5HMXBLcEk3dDJlU1NScVcxUmdJTFFTQVJBZ2sydm1CcW1EKzVHa2xiS3FCMlc3VVZLQUpkYjlSSGhrZEc5NDRtWVpLRWlZcVZUcFNwMGo2d21Ja1VtZXZmak1FWGZCZ0VpRGcrTnZiTmYvM1hIM3ovK3l1V3IxQks5ZlQySG5Qc3NhOS93eHRBNnlnSXZ2dTk3MzN3UXgveUN3VVU0aC9lLy81amp6dU9hN1JVa3Fpc1dvUnRhQUJnZkh6YzlqemI4eXFWQ2lzcldJbkZZT3I3ZnExV0E2MDVaeHdmSDYvWDY3N3ZrMUo1QU1ydjhuZkord0FBcGdtQjU3K1ZQd09HWnYvRTdPcUxHVG4zcnVReG54RWZnR3JDSk1obU1qaTcybUhLZktibStCeGR0eTVUM1RPZk9YVEZRZFhFa3hOUE9Xb0NBRFVBT3B4alNCdDhBZFpKQzA1K2NQVUROei8weThScFZRYTlXcXNtcFYzMXErT2pFOUwxNXA4ZEV4QWljZE1RMDU0WmlSRFF0dDBnRGVPV0xnZy8xTkhkVys5Y3NXekpTVXRQY1N5L3gzV2pWRFhUaHJhcG5RWVVvKzhVSUVVQVVDSUZvVFZxQUFBU0dqVldzRjZyNlVUTFdQUTZmWEVTZi94akgvL1ZEVGV0WGJsR3Blbnk1Y3ZMMVJKYU9MQmdvTGUvcDZlbnA3ZmF5ejF4QzRXQzcvdUZRb0ZOQStLcHhYalRMemJJOWsveUNtV2pDZVBjQ2pFem16TTBvZ0Uxb2ppS1NxVnlzMWIvMkVjKytwTWYvYmkvdDYvZGFrM1VhaTk5MlV2ZjhqZVhBVUtqMWJ6dHR0cys4ckdQV282ZHB1bVZmM2ZWYy8vc1BPTllMeXlKZ0NnRUswODdieDRpQUlTdDFzVEVSS1ZTWVFONHBrSDRpT3IxT2doaHFrZzRLVFlxV3E0QmE3ZmJVUlFCSWhDeDlmdWtIb3VJbENJaTlxRGh2VDVlTDNPSHV0bmVlZ1paNDV2RDM3dU9RMHJiamhORmtRQ013eWpOM0VlekQ4emtWdzZ1L1RORGdWTGNrczcwRmdLQUtJcHF0ZHFDckMzc2pHSDB5R0VZc3NKRUtTV0ZVRW1LQkdtY2tOSkpGSWRCd0xsdDV5MmVOaDgyY1JkQ3NIYVF3M1ZkVTBtRWlGcnJWcXVGYzVZQ3VhN2JhRFJFMXMvUW5DV1J1YkFXQ2dWK1gzZ3BjNUFwZm56anFRWEU1bGF2MlowVkFBZ2syQzU2UjY4K2F2dndJL2VOamtlTnRpVlJwM0VVQkw3bngvdTlhVWNBbERFU2s0OUZjZXA2QlZRU05Qb0Z2eDdWdCt6ZGZNVFNJd2ZjeGUwNDBxa21JaUVrQUNna25NeG9wekRGaEZRTEp0eVNsK2lrbmJTclRzK2loWXRPUGZXMG4vLzRGM2ZjZHFkdFdWc2UybEpyMURRcXIrQUdVVnRZMGhJV3E3dEtwVkt4V09SdlhOZGRzMmFONTNubGNybVNSYmxjNW1ZL011djJpSWhXQmhuc1gyeEphYnBuWm5NaUFKZ1U2bktHUlFSU09wNFh0bHBmK2ZLWC8rUGYvNzFSci9mMjl0WWJqZFBQT1AyTmIzclQ0SUlGQURDMFo4K2IzL0lXei9NYXplYTczdld1Wnp6em1iYmpjRnJFQ0NqM3hUbnk5L21MZGo0cDFmUml1ZW1FTE9SeTB2bUlaTHR1YVZNZUpFSitDYTFKZDMrYzh0aUhBTlIxTzV4S1NzdzIvem5tQTdtN2JJZmk0Q2toa3RZcTdVN1N1K1l6bjVmQStSVU5QdEhqSEl3NTRxa0Z4Rk5YMHdRZHZTOEl3UFdyMWordzU5QnR0VWNhUWMycHVxR09Xa0hiTDVRcDNROGdSZ1pPQkNDK292aGxBQURpT0s3NDViU1ZLdEtsWXFrK1VudG82K2JIMWo3V1YxbmdGbTJuWllVUlNpMGxDQlNhT3pZUlpqaWNBM1ZPN3RJNGpaTWtwTkJDNjR5enpqajhpTU4vOVl0Zk91Vk9VL3BDc2VBWHZUaU5iTXRXU3JNejVOallXR2VTaUVJSWJzRE0xVi9jWHRQelBNZHhPR3Z1NmVucDYrdnI3Ky92NysvdjZlbnhmWC9ac21XMmJSZXk0QTdIMHZqZzVFU21QRXNBQUtXKzg1M3ZmUHZiMzI0MEdyN3ZJK0txVmF2ZS9PWTNyMSsvSGdEdXZ2dnVEMzd3ZzYxVzY1RkhIbm5qRzkvNGlsZThZc0dDQlpEVmJSdHpvdGtpci8vTlE2Zlp2cC9NOHJLTkp2UElKRWVjMDB0UWRrZUJySVdhZ1ZTbEZFejFUcHJoclo4cXZlaWFHSS9HTllIN0hHZkdvVTNlU3BuK2Q0NUJacHhQMTRPY3ljNUhOVEYzR1ByN3dQNThPbzMrZTg3bllNd1lUeTBnQmdBQlNGM2xHZ1NJNklHL2ZzM2hXMGEyUExqbmZsQmdDYnV0STR4REllMzlvbHM3Qzd4T3hUUUNkR2htUkJSQ0VxYXBWaVJCUzlnN1BuTFhmYi9kY1BKR1QvaDl2ZFZvYjV0Q0xTMUpBRW9saUptZ0xoc1ZBUW1vV0N5R1lZQkthSzNyalhxcFVseTBhT0ZmL09YTDc3djczcUFkZ0VEWGM0bW8yV3h5RHpmSTFvOW1td2d6UXk5ZUVxWnB5cTBXWk5iUHZITldjazFJQVlCSmdFS2hVS2xVZW50NysvcjZLcFZLd2ZjUFdiUFdjOTFTcWRUVDA5UFQwMU11bHd1Rmd1TTQ1WEw1MTcvKzliWFhYcnRseTVhK3ZyNlJrWkZxdGZxNjE3M3VtZWVjd3dUdVJ6LzYwUnR1dUtGYXJUN3ZlYys3N0xMTEdJWDVkZmZwZHdFNUlKNGtTUUFvczVvMGlTVE9oTWg1WjB1RHVmbk5Pck1aeFgvSXZVdm1CdEQ4SERxZmhKd01MZy9FYzllUkc2VmEva0h6Q0dzVjVxTjJtQTJGemZFS0liaVJ5dHpqekQwKzVvUWNCelpPMTJ3UGJ0WTlRZkhVQXVMT2FyK0R4UVFnMkhpWTliOXJCZzg1OHBDamRvOFBEVGVHcmJMbGVwZ29OU3NwT09QNG1kR0VCaENBR2lsTFp0RzJuVVNsaEtTQXdpU3lmVWNsK3U2SDduNW8zUU5IOUI5UmRjc050MWF2TjlGQlM0b3dpYVJyY2JFem1BMDdBRUN3TGJzZTFrcGVPWTRqVzFzSnBGTFJjNTc3bk91L2RmME5QNytoMVc3MTl2VkVTWmlrc2VPNG51ZHo0UzlrdUdCUUlMKzJ6ZU92MlFneUZ5MC96djZ3clZhcjBXanMyTEdEaDVKQ3BIRWlFTHZTYWlubHFsV3J0bTNiOXZEREQ5dTJIWWJoNE9EZ1MxN3lrbGYrbi8vREwvMTNmL2QzZDl4eEI0dlkvdkVmLzVFMzRpQ0RlL1A5SE5SRTN1MHNQODkydTgxSmVsY2luRWZrU2ZuYTlJd1lBTElkSkhQclluWEJkQ2VhZk9UOWRQSW4zQUJva3FZZEI4NDU1V3N6WnJMNWNYVGVJcGxvdGl3aG40L25IekZhUGJhUCtIMkFMMzk3Ni9LWTM2OUJwbzl6a0NOKzNPT3BCY1NHTGVod0JxZ05VSUtHb2lnZnNXcmovWTg4T1BMSW1FNkVYL1owdU4rcVJqUUVCYWZGSFpvQ2haUnBaemxNc1VvOHowMUZPalEyZE5kRGR5dzZlYUFmQjZ1bFN0Sk1RVU1DaVpHK0FTQVNzdmlFcis4b0RGa25FRFlDditBSndFUWxwVUxoR2VjODQrR0h0KzdldmRzditMcWRFbWlVR0lZaEE2Z0p5UGE0WGRjMWFTQmZuUHdFcmh2TzU4TG1jYlBMUkprQ0xJbGoxM1pJYXpiVzR0MFlqdnZ1dXc4UkZ5NWMyRzYzbTgzbXhSZGYvSnJYdkFZQXdpQzQ5dHBydi9yVnJ6cU9zMmJObWc5ODRBTXJWNjdrN1NETzNNMHVFQURnN0VBOFNVMU03Y1J1dWxkUUpsa3o5eFd6dE05bnhQeTNuZEV5V1M1bnhFYmt3RmFmenB6dDNQbW91N1FCWFJreHU0N0IvSUM0aTdiT1oranoxUDkyM1JqTU9Qd2d1d0w5L2hreC96alBwaUZ6akVaWnJjcUJqWEF3NW82bkdoQXpiMkRFT1ZsQ1FjSVZYZ3pKTW5mbE1ZY2V2M04wOTBnNmltQUJpdjFYRkxNREp1aU1waUJFQk9RYURlNHdEUUlTU0JXbXNpRHYzM2JQdXBWcmVwZjBsUXNscWxLajJZcVRXTnFDcS9zNnJadTRzek1TQVVSUjdEZ3VJMWVVeExXZ1ZuRXJHdWpDaTEvZ3VzN09uVHVUT0JvZUdXazJHNlBqbzl3aGlma0hnOEtNb1p3UW1hVFM3T056cHNuWGZONFgwVFFiTlZjZ1g5Vk96dFUzangzVmFqVkprbWF6U1VSbm5ubm1hMS83Mm9HRkMxdU54azkvL3JNcnI3eHljSEJRYTMzNTVaZWZlZWFackhiZ3Z6SVhkcGZpZFhwTTNpcHlpZWNrUjV4RjV3clA1VncwVlVjOEpTT21TUnZNL09QemFWdlhsVmxUWnZHY2Y4U2M4RHc0VGg5bk5sYkJmR1BtVDNPNkVrOVA5dk1vejNlYTM0ZVR6V2V5ODJ5ak44ZFFrK01jakNjZ25ucEFEQVorcWNOU0FBS0FBRWs2ZG9TN1ljMlJkMjIrZTJKSFEwZWtFeElXVHBONHpqVjBacmFEekZFUUl2TVRhWnE2dHF1MUFnVHB5Q2dJb</t>
  </si>
  <si>
    <t>FZMOXZUMDc5KzdZTWZyWStpV0g5MEovdVZRSjJoRnBraWhUU0NBcjR3Q0FTWklEUUVvWmhWSFJMNFhOY1BlZTNUMnJlbE5LZS9wNlh2U1NGN3E1ckMyS29qQUt1V2ZveE1URStQaTQrY3JHN2R3MGlMdlZjYlVyaTNZWmQvS1hzZGFhblErTlhKU3pjaWxFRkVVaWcwS0QybnlkQ3lHYXplYnh4eDkvK2VXWHIxdS9QbWcyZi9lNzMxMTExVlcrNzQrTmpYMzYwNTgrNzd6emdpRHdmVCtmbU0vM1JNK2t0d05XVGN5a3BvQmNIanFqNm1DNjJpRy9KcGdET3MyZnpKaUJHZ0ROYys1ekEzSFh6OU4vT3gvVnhOeVRoR3l6YnA5VXlUemo5MVJONUxjaWZwOXBISXpaNGlrSnhGd2drZCt0QTB5VFZFb3JnV2dRQnYvczdQTW4vbnZpanExM0xGbTd1TmF1MmE3Rm1TQ25rNHd5KzdvU3FMTUJuNGtvcEpTcFNoRVJpSUk0UUFsQ3lrYlU4SXJpZisrNmVmV0NRNDVaMkNOdHUxS3BOSk5HcENJU0pHeEJHdElrc1lUdHViNUdGY1NoNzNxc0t5RFNsaVhUT04wMXZIUHA0QklDN2JnMlVZZjlSa1RUQTJtT1dYSzN1bHF0VnF2Vm1zMW1GRVhEdzhQY2JtTThDMzZjTStzNEN3WnJsYVpTQ0swVVY5RGxlVkxidGh1Tnh0S2xTeSsvL1BJVFRqZ0JBTFp2My83ZTk3Nlh0YUp2ZTl2Yi92elAvNXgxRWZrVnQyRS91TVd2bXYyeW5FelBpYmdmR2t0bE94WVRVbkluQ001RFFRaG1ycVdVN09wYnE5VUFnQXZ3akJpV1JkQ1VwbzdqcE5sWEl1S3lrVzdkM3RRd2ZVSVpTaEF4aWlMbWVTemJqcUtvVUNqdzJWNEFDK1hzUTZWcHlnZUNYQUNDQ0VTZTUvbStuNmFwNTNuOHEvbTB2NE5NbFd4V0NlWU40dDRsYkFBeTkvNWhtaVE4Vzh1eW9paUNyTlNGTHdFaVlqL29qcHZ6bkNYWHZOakttMzRnWXJsY052YkVRb2k5ZS9mQ2Z0NlNEOFo4NHFrSnhEQWRpeTNMSmlRQ1RDQmQ0QzVZdi96d2tZbVJacTJKRXJuUkdXWCsyWE9qTUFFQkVrMTIyOGdTRUZPb2xDV2FBS0FGeEpJYVNlT3VoMzY3WW5EMUFySFk4dXhxYis5b1kxUVRJU0VpdThLQlVpa2hnWjdVZHhJUkNBUkJxVTZESkN6YUJZREp2c3Y3VE9JWmZYemY5MzEvY0hBd205eGtabVJrVW56OWpJK1B4M0hjYkRaTld0MW9OT0lvMnJWalp4Z0UzT1dYZ3p0NE5wdE5yZlViM3ZDR3M4NDZDNlM4KzdlLy9idS8rN3Z0MjdkUDFHdHZldk9iLytxdi9zcDEzU0FJYk5zMmxoU01aVW1Tc0R3REFPUTg1Qk5kTWIxbFVUNTN6aWU1bmZjbFMrUm5YTCtiSis4ekk1NGUwMG1HTGdaNXhzaXZMYVkvZWZyODU1NEF6SlRwNTMvOGZjYkpVeFB6c1ZxZThianlVNXJQK1RrWUJ4WlBRU0RHeVc4NkpHTjJCUUphSUFHZ0NqM0hISHJzMk1UWS85NS9zOVBuUkJDYSt6bjNYR0JicitsRGs2R0dwOUFaK1U5L2g1dG1wa0VMMGdKYVNYakg1cnZXclR5aVo4V0E3VHE5YmwrOTNVaFZLclFBTG5JbXJYVktRQUlSQVlsSWd5WUFGQWdDRWhVMzJ3Mi82aUdBenJCNDhxVm15WmxtWE5xYlJTSmZNN1p0Ry9hMlVDamtxV1JnZU5KYVNrdkZjUlJGWVM2NFUyUzVYRDd0dE5PRWJZK1BqSHpoQzErNDVaWmJVSWdYdk9BRnIzemxLOWxaemFBd2M5YmJ0Mjlmdm53NVg5S3NyanVBOVRKdnJNRTA4M0xJY0FjektURS94RjRUVS9Bb3AvSGlyL014UHA5UnZ0YUZNb1lLbU04NFhmT0JISkVLOC9PWTd4cUtNNG44alJZUmt5U1oreVJqdGsrWUwyTHVZdkI1SEI1MGJoVUg1TkEyaitabVN2UDN6ajhZK3hWUFBTREdTZEVFSUN2TkNBQ1VWdHlvRXdRNFlLOHByOTZ6Y3VQbWJRODFzSjVLMlduWWxTVDhhWjdqdmsxVGs5RU1ERHRFTTVkbkFHckdZZ0lBMnlLRll4TVRkMjY1YTFILzhsWEYxUkpzeC9IRFZneUtBQWdGa2lZQUxVQ2dZRmN3bHNrUkFnaUJpWXFiUWFOU0x0dkN0c0doM0d2UGNZM2w5NUU2VDg4UnRZYlFORGF5WHE1SGIrZEVZcWRwdEhTY2d1TVV5dVg4YjQ4NjlsaitKbXEzSDN6d3dSLzk2RWVsVXVud0k0NTQxN3ZldFdyVnFqQU1lYU9QODE4cDVlYk5tNy94alcrODZsV3ZXclZxVmJQWmhLeS96djZHa1lnWnNNamZXaWduRGVibkcydGRJdXI0aCtWMktma1BKemZyWmw5NjU0R1ljczNyekJrMmdENTMwc2Z6NmNKMGt5WWJTWGhuL3JPL3YwUmsrRFF6V2xmUE9xWW05bm0zTTBDY2Z5U3Z2K1p4WUYrYmgvd25VKzVxTk5uYzF0enorSzQ4OTVRT3h2N0dVNDdySWNqcElBZzRIOWFnRmFRZ1NBaEJzUUtpQWhUV0wxMS96S0hIZ0FMbXNMZ3ZIT2NGczMxUWlIMTVrRFNDQnRRZEYyRTByNG9aQ2dOb1FFMm9ZMUtwQlU2UGQrK2o5OS8yd08weHBBcWdXdWwxcEN1MEpFVUVCSUlJdFVDd2hDUTlXWjdBZlpoU1VtRVN0Y0oyRkVjYU1qRkF4bC9NZGg1d1d1VFRITXo2TURtT3crcmdtVWNRUXFjcHBTbWxxVTRTRmNmbUh3RHNlUFJSQUhBTEJlN3J2SExseW5lKzg1MXJEem1FYzIxR1liNG05K3paODZsUGZlbzczL2tPVTdlbFVvbFJtUFovU3lxS29za1dlWmtzajMvRmIxOFhrQm5nMHpwemI4NHlVQU5oeHFWc2p2bmtjZDhnZUQ1dE5CbngzQXR3VTFZemZmMXVGSDVnYmlSellxaTVuWmdQVEw0M2N4NUE1d2orSkV3QjRnelE4OVRFZkdSd1J1Rm4zcEhwU1hwZTBISXdIc2Q0YWdFeG1RUjRNcENBQ0xSSmFGekx0YlZ0ZzczVVgzcnlVU2YzVmZwMDV1WmxQbzV6M0xFSlFiTjFXeWZ0WmtoRUE0czViTmFBT2t6aVVDZFl0RWFDc1hzZnVmK3g5bllGdXVKV3kzN0ZsUjRRYzhHY3lCTUNFSXR0QldyU2xEVldVbHExMnMwd0RwVk9PNmszdjlTY0Y2cUJoalFMOC8yTXVSdGxsWGhUa2lNcDBiTFFzb1J0UzhjeC93Qmd5WklsL0p4MnU3MXUzYnJYdnZhMUo1MXlDdSsvOGJYTk5TQzdkKy8rOEljLy9MM3ZmUThSZTN0N3pjaEprc3loSTU0dFdQVUJYUm54dEpxT0xpQ0dxUVJsUGlPR1hFbjBIQURhbFJGRERvak40NXp1emMxeUdGdk8vTXQxWmNRd0QyZE9taXFqaHFrWk1lUmxaL3VLN293NGs4U1lVNXJQaU9jZWh3K2hDNGo1ZTV5bUxEd1lqMk04dFlBWUlPL3ZOd25KekJKbzRFMGVZUXZiQXNzR2UwMWx6YkZISDl2WDE4ZVgwQXo4WGRmZ2s3bHY3aHREaEpqWHpSeUdDVUJJbVpKdUpHMVp0UGZVOXR6eTIxdUhXNk1BMkZmdDk5MkNBQWxFQUtSSkthWFNKQUVpZ1V3Z2tDSkZTSnpLQmtFUVJSRjNVWm84dXR3eFRnOUdDczU4T2N6M1hlWE9rQ011OHUxS3B4MC9nVko4RXdpYVRXSGJ6VnBOeGZIU3BVdi96Ly81UHk5ODRRdEJhOTUvbzZ3V2VXeHM3RXRmK3RLM3YvM3RKRW42K3ZxS3hTSlhQY3hueVR4alRPZUlLU09COGtCbXJ2YjhrZWFCRDNJdGdneDZ6aE9JODZjM2Z3SzdLbVZtRzJmR29TREhFYytUUzgwejNUQTdSenozSUpoYkg1Z2ptWlVqbnQ5ODh2ZUdyaWtkY0QvVGd6RjNQT1dBR0NkMURPWVJSQkFhZEpSa2xhOEFjUlJyVFE0NFo2NDRmVjN2SVVWZHRMVXRwUlFXRWlwTkNZSVdSSUlRT3hYU2tNRWVBb2xzOU94eFpQVE5IaVFCSUlBa2tpeDRaVVJaRHhwK3Y5K1NyVHUzM2pIVTJCVkM0Tm11WjdzV1dFSUwwS2dKWXAzR0tpVU5BcVFBUkFBaVRhQkJhbUZEbElheGpsSlF2STgzdVdWQ000TXkvNlExcFdtcTBsUWxLU2tOazMzRlpnaVl0cldpV1YrVmZ3ZzYyYmhmS2pYcjlWSzFLaDNuaUEwYlh2bnFWNE1Ra09Wb2lGZ29GTWJIeHovNzJjOSs1ak9mS1pWS2hVS2hWcXNGUWVBNERsL25sbVhwL1UrT3pKNlNXVHRETnFYY0JDblBWM1Jsc3ZtL05iODZBTGN6bUtxUU5TOHhOeEJQbWZhMEI4M2Y3bk0rTk5OV1o5Y2pPRy9WUk5lMHUwNE83R2VENmp3UW15bVpWNW43L0J5TUE0dW5GaEFqZ0FRUTVvMFcvS0FVWUR2Z3FZaVNWQkZDcXJYdE9wYXdVZU5LV1A3c0ZlZXVLeDhhakVaRVlCVmxERzJGb1lCRWtwWWFCR1hWZDJ3RFQwS1FGRm9JRXBqdHozVzRhT1NYRkFBU3lDYXlVYnRwRTRwMjJmYnNzWGdzTElXUFJkdis1ODRmNzRsM0tVaHNTNWJkWXNrdXFZU0V0SnhLTVpVbzBaYXBnQlNRUUFnRVNTa21FWVdwbFk2M3h2ZU83MmtsYlFKQzBTRS9RQU9vN0JzQ29DbXdqQUl0YVVscFNXa2hpbzcyZWFhWVVZUWdwSnhpRVM4RldoS2s0QjlMMVFwL1UrbnRZVGR5dmoyWWkvOTk3M3ZmdGRkZXl5cmdORTJMeGFMUm9uRENKYklPbFRpMWtHRktGMkVobVB6bFRaNGdDUGpKanVNNGpvT0lyRlptVDE3THNuaGxZeXlHaThVaTUrWlJGQm0xSEdmQlFnaXVKMHd5TGUwY2NqcW0wWVVRbWNxN1E0YndLeHJFcWRWcWZLZVpiUnhtc2JtVWtYaUZBZUM2TG04WHMvN1h0bTEyQjlhejY2eFpSczNyQTU2QWJkdEpraGlhV0FpUnBtbG5uRG5rbUVUOHQxd3JEMHFCbEN6SzVyMFRKcEhaNGtQTUtUZms0L0k4enl3dmhCREdGSnVkcDJxMVdxdlZtbU9RZzNGZzhkUUNZb0JjVmppSktvZ2dFR1RCS3lacFdtODJVSFlVYlI1NkJTZ2N2ZVNvNHc4NXZ0L3JWNkZTc2RKYUN3Um1nd0Zac1VZQVJLQUJDQWx6YnNMbUpTa0hmMGdnQ0FTQVJCSXEwYVFKQVlTRndzZllpaDRlM3ZyTE8yK0lJU2dYaXdzR0IyM2hPTUlGa0dFU2d4UUFpSVJaeXMzMHA5WkNhNkZKVWtvcWlJSkVwd0FBRWpwaWpXa0V4Y3dweDVPWWlMQzErZkR3Y0x2ZG5qRjMyMmRNdnl0QWJ2a1AwN0xJcnVmbnMrYXVaRFAvNVBtbmFUaTFvSG42T0RBMUdaelBPSE04ZWNhRDZvb1pOLzI2MXpUenlJaW5qNU1mYWpKZm5sL3g0WXpKTmVWSS9JTVo4Uk1SVHowZ25qMjRVMW1yMWVwc2tRTUpGSnEwQTg1SkcwODhjdTJSTXBEVWhJcmJnMlFSb0JLa01kV1lBaXJBQXlHMkNJbWtJdFJDQzZHa0t6elhkc2VhSTdmZGY4dGR1KytLSVpJb2ZkOTNMVThva1VTcEZHS21LMi95YWsvVHBOVnV0b09XMlJhY1VkWnBlQk9jL3VnVEg3ejczMnExV3EwV2wzVWR3TFdYejlCbkpCbU5sV1VYWnBua0duSXNPVXpOQ3ZPdGpzRmc0cHlUNUxLOXJzVitQaldHK1FFeEFIRFMyaGtuQTdzdUFNMjNBcGxqU21qOGpBQmdKbVZ4ZnNHeHozRTY4NWxXajg3ejJhZkVaVVpCWWRlN2Y4RFYyd2RqN25qYUFERi9HbHpYUmNSV3E1V2tDUytrZWNGZWhjcnBSNSsyckxMY2liMmlLRk1pQ0lWQ1VrSnBrUkttTThneDV2T2lRTUpHWWFFZ29RSUZNWG11WnhWRWcrcS8rdDJOOTQzZGwwSmFLVmRMaGJJRmp0U0NFdFpYVFk2UVFRVWlkUmJVelZhcjFXNG5LcDI3dGR5VGhicmR3Y1hRdnUremdvMi9PUUNIZ1M0Z052bFV4elE5SzRNRWZtZW5XUU4zT00yTWpBWm1PWE9xaWZ5VE80VVlzNHVJK1U5TWlXRCt3Znh6YUtyRjg0ekJiQVlpZHZ4SXB3SHhsUG5QQ2FBOFRyNFFJNithZ1BrQnVwbFAxNDNoQU5RT3BqMWcvaFRseDRITUduRHVjUTdHQWNUVERZZ2R0MXd1TjV2TmVyME8yWm8rVENJYjdFT0w2NTV4MU5sTC9LWHQ0ZGdpWDROSUJhVlNLWm1TVUlScWFsZWorUVZTU2dtQnRvVWxVcEcwRTlJa0MwSVgwdnQzMy92cisvOTNkem9FQUwyVjNxSlRLRG9sU2drSlRHN1dTV3haSXNkSUJKU21TVHRzdGFOQUEzUmo4U3dKOHBNWmVWQVFXY240QVl6VEJjUW0xVEthM3lrOGNvNkN3THhxSXBOTDA5UzJsWG1kTEppeTZYMWx4S3g5enVPSTZRYWRaMDdtem9zUmtXblRya3EyL0xKOS9rQnNsTy81NCtKeERJRHVNd00xOCttOFlwWVI1MWNNOHdSaVhpSk1CMkxLVlF5cWZmVWhQUmdIRUU4YklJYnNFaXI0QlVRTXd6Q0tJd0pTUUFXN2dBQWV1TTg0L0JtYlZoeWw2dUJpRWNnaVJFSk55Q2g4SUJreEFNUnhtS2FKQUdFSnFWT1ZwSEdzdzZacUJESjRhT2loQjNiY24wQWlRVmFyUFdXdjdLQ1Q4YjRjTE5qb1pPNGRPa0pnckpKbXV4SEVBVTFENFQvNEI5eDB4dVJpYURieE9JQktxdWtaTWVRUmdjaGM5alIxS1cyU1hBWVVrOGxPWHYvWmZQS3M1VDR6MmE2TW1MTEI4OU9iajN6TlpLQjVxSjB4QTUzNy9GQld2cEhmS3B3eEk5NG5FRSt2QXA4K24vazRoZkk3QWxPTlBycUFXTStqSWZUQk9JQjQyZ0J4L3NLdVZxdUlXSy9YZ3lqVVFBRENKdHNHcXdLVlV3NC83YWkxeDdyYUY5b0NFSVJFcUErTWwrQ1FRbWlWYXAxS0M0V0YzTE01Z1pSODJ0UGFjOHNEdDl3OWNuY0NTZEV1RnQxUzFlL0JyaUxTakF6R2JDdGMya0pSMmdnYWpYWWpvYVN6Tlloc1JkU0p5ZVNZekNCUFV2Q0ZaL3FBTUc0ZVFGSThvNlk3andoVEdNbXBIQ3ZraUlnWk9PSmNsUUhIZkFCME5tb2l6NGZPQjlBaEI4VG1tVjJUejk5STVwN1NIQnl4bWM4K2diaWIrNTVKeURoUE80NnV5anFZWnJRMm4xTjlNQTRnbmpaQURGd0NxeFVBbElvbHk3SWFqVVljeHdDb1FGdm9XT1RhMmo2MGY5MVp4NTFsSlk2bEhLa3NvV1UzTXU1UElJSG5lS2hCNlVSREtpeXdYY3YxUE1kelVsU05wSEh2by9mZXNmbjJDWmhJSVhGc3UxS3NJUDlaUjdBOGhXc2cwaWhSV3BKUUIzRTdTTm9wSkFvMGRmNFJaWVVrMlIvOFhxZnI5d2twcGVkNW51Y2RzS3RBSGdqeU5NTGNxb2twRDA2VkcwL2Z5cy8vYXAvN2JQa241OEZ1K2pQbk0xVFhmS1lQTlIrVnd2UUNpdW1sSXZOVVRjdzRIeFB6dXNITWVhb2hkOVFIVWZpSmlLY05FUE1uUUlvT0xsU3JWZC8zaC9ZTXRaSUFRUUloeEZxQXRNRmVOYmo2Z3JPZnB4cTZaRldrc3VOMktzQUNEYVpaNS80RW9rSkxXR2lobGlxRk9FNmpKSTVKVVpLa3BkNHlsT0MyemJmOThQYi9ha0xEdHozSHNTM2JUcFZxaHdHTFcxM0hzWVFGbWprSjFGcWxPa1VKMHNaR1VOLzY2RllOS29aVWdkYWdDWFNjeG1sV0J2MEhDUVpLeTdMWVhOUzJiVlA0cTNKdTlLYjBsdFd2cGxhWXMwN0xkVmtkM0drTWtRV250MnlieTlKWFJPeDBzY3VlQUFCRTFHcTFRRXBLMDBxbHdpQ2lsRUtXd1FyQmkzSFQyZzRSRzQyR2RKdzVzRTlLeVE3M1BITWVrT2ZBblkxNFY3QmVyOXUyUGRjS2dNajMvVEFNV2FocmRNVE1IVFBuMjlGQnMvL3ZMSUdJeFdLUlBaWE1EcGhsV1R4SmZ0RHp2RWFqd2E3TnM0NGpSS0ZRYUxmYnJ1dXlHUk5JU1VRc0J5YWlLSW9zeTJLdkpacWRuVkJLRlFvRmtZbStnUTN3TXBVM1o5eE1xZGZyOVlPbVA0OTdQTTJBMlB3b2hIQWN4M0hkV3IzZVRnTUNBa1JJUVlLb3l2TGhLdzQ3OFlpVG9BSFF4b0h5UWt4RkVpbmY5ZmYzUlJGQWRQcURxZzdYREJvSmtZVHJlaG9wdHBLV2FEMjhkK3Z0MjI1dFF0MnpuVXBQdVZBc3NnTlJFc2Z0VnBERXNSUWlNM1lEUXRLc0xFYWxoYXBGOVpSU1RvYzFhTXNTVW9nWnBNVlBWdVN6Vnc2emQ4UlZESnlqK2Y0K1RtYVhFTW84M3NtSU05Rlk1K1dtdm1qK3ZaNVBSZ3pUOHNIWkRnMXl3amc0c0hRdnE1M0o1NWd6bmpUK3hSd2p6WmJKNWdmWjkzeHlDdCt1UjJhWXo1d3gyeHFsYXo0SE0rSW5JcDU2TnBoemhpYU5LQ0FyeENwaGFVOXRXSk95eXJMa0ZFR0RTaExQZHBiSVJjODg3dXpheE9oRE8xdlNkM3haVnRqVUdzVCtmb2JJZUtUcHJKT3BSSkpJS05HSzBraExuWUxhTnJJTjd4WkZXVHgrK2ZGVnI0STI2SEVWQklGU21vQWt5cXd2TlRBUnpMUUZJQ0NKc2ZwWWYwKy9aVnNaaXlFQUtFMlZaZGxtRHBQeHhNc3E4dENXdi9DTTZhWEpGcHZOcGp2N0NtTlNtallWNzlpV0NISXUvdmxoemZQTk40WWo3cko1Tk45UEVxbno1bVROWkdhODVjdzlDTXlrSTRacHFEcWZjY3h4NVFFOXo1dERibXR4UmhZbFA1ODhDNHc1WjJyTTdXZk9NUm5NMmZ0MTBlaDVSRDZvSTM2QzRtbVRFWGV6YVNnOHp5c1dpeWhFTTJqWGc0WkNCWklBQ2JSeXdWcGZYSGYyVVdjdExhOW83WTFzN1JmY1VoUkUreTJCNVAweUxzVWpSTUNzTUUvRVVaS2tDcVN3ZkR1QTRKRzlXMy83OEIwUDFSNVFvRXF5VkN3VytUUHR1WjdyT0ZwcDdEREhSS0FKdGM3K05ZTldNMmhGRU5HVWpibHBOUEVmUXRhV1ArRmN2TXRYSXp2SWVKNW43dzhRVTJaNllGUVRlZGZITGlBek1HZmthL24zYmthMXd6NkJtR2tUWThJSm1XOVpmb2J6UVpsdUZjZFVJL1o4M3IzUGNkRG9rYWNlR3VWa2NQTlJUV0IrODVBSXN6NVYrZk81djV0MW1BazU4czg1Q01SUFVEeHRnQmh5VWx6KzBaS1c2M2k5L1gwSnFUMjE0WW00bGtJcUxMUUFiRUFmM0JOV25uRDZwclA2dllYdDhWZ253bkc4K1hoUVRRM1NxQWcxRWdvU1VrdEJBcGhlQUFBUXBKRUkwSVpZaGx0R0hyamh0ejhiMWNNQ3hJQS9VQzZYczFSQ0tKVTFCa0hvQ0NSUTh6OE51dEZxMUZ0MTdrWktvQldsbGlXem91djg4ZisrSjNEL2pqeERZYzZWbUZGbHVBbUNZTFllS0NhWS82Vk1FWkhuTnhneVJDWmpvSnlTRExxQURIRktRUWNBVEgweVpPaTV6NElPeUFHV2VhRThvT084VlFwOEh2SUZIWkFOTmVWR011OGJRejRqbmo3TzNOa0RFUms5Y21mbVJFYmFBVGxkOW56VUYzbUJpZ0ZpekZuRUhRVGlKeWllTmtBOHlTZm1Id1RzS2ZhNHZ0dUlXcnZHaHBxNm9VSFpRdG9nSFpJVktKK3g2YXlUanpwZHBIWVNxbkt4dkw4Wk1TRnBvUm1JcFpKU1NhRWxkQ3J1cExRc25VSVV4aG9JUFJoTmh1L2Jmczl2NzcyenJ1b0EwRi9wZDEwM1NaS09Pd3pQdDhQK0VtSG5IMHFNNHFqUmFyVGp0Z2F0UWYwQk5HdGRSNTJsWTVCYnNlN2V2WnZkZndEQTkzMitZc01nbUcyUTZaYzBkQzFycG5JT1hRQkVSS0MxeVloaEtqVmhDanJ5NkxCUE5tQTY4SFZseFBzMXpwUUNpcG4wdHZNQllzNkl6VklEcHpZZm9YazNEVEhqUUVacmRFbVM1eW1EeXhkMDhKL25WeTB3UDBBL0dBY1FUeHNnaG80V0YzRnFaaWhBbEt0bHIrdzM0dWJRK0ZBN2JRQVFhSlNKZE1IcGdkNFRqano1eU1PUDl0MWlIQ2Y3cTVvZ0lDV1VSaTBJTFMybHRtUW5JOVlhRkVwaENRZVUwQnFVVUtIVmJtTDlqdC9kZnUrOTk4UVFPK0FNREF3VS9RSlNseGlUQ0FtZ2t4U2pBRUlLbzZqZXFMZVROZ0pLbkdsTCtzbUNaWnBxeTh2UUlLVmNzMmJOR1dlY3dTZlFPSExOc1hzK0d6VUJPYlNhWEFobmpZcW5aNVRNRVUrU0JybnFqL3dPMjN3QTFHeXltVWU2TnV0Z2ZuMUlEVWM4K2N4cGprSTBEL21hdVZmbFgzRm0rbnYyb0Z6THBmd2RkUHFOd2NEOWpKSG5pR2VjejM3c1p4Nk0vWStuUEJCUCsrUmtENWlWTzFXY1NuOXZ2MjA3emFCZGF6Y1NGUU1BQ0F0SlNKREx2TVZuSFh2R2t0S2l4dTU2MlM2YjluUm10S2wxYlYzL0lOTUNjOUZGUi9aQUNGRVVrZEsyWmJtT2c0aUpWa29RdWZqZ3JnZnZmUGpPelhzZlVxQ3FWcld2cDkrelBSc3NKRzZHcXFrekRDQUpKQVFCd3NKVXg4MmcwWTVickozUXBESVo4cFNKL2g2UzZQbUcxcE9leDVBdFJJUVFmL3UzZi91MnQ3MXQ4ZUxGUnY3RjRyYlp4cG14b0tNckpnRjZkbTF2MTFhK0dieDdoSGxFMTA3VWJKdDFCd0RvMDZjOXozRmdLcHM4L1dEblA1K3VaMDQvLy9zY1o5WlRqYWdaNG5reDF5WHp5TDcrSVhZeC9uamlxYWVhbVBQOXhNbHZrTC9HRWZwdWdSd0taYnZXSGh1dDF5M3A5UlVzUjBvRXREU1doWGRVOWZEa3VHZkxLTDMzNGJ0NzF2U1BoelhQOVd4cE54dE5XMXFlNTdYYmJXbDEybjBTVG9GcHFXMEVWSUFrQVVnVEFpRWdvU3NkMERyVkVRQUlpUWcyS0JscFpTOXg3eHI3YmZ1MmRuSmlldlRBVWIxMnIxT3hhdldKVUlldHBDazlRUUxhclVDQTVWbCttaWgwRWtBQ2h5S1Y3cG5ZSFNYQndwNUZQaGJTUkZrWjNKQ0dGRkswVUNEQ3REWEI0eHRTeWpBTVBjOHJGQXBCRUxSYXJSZTg0QVd2ZU1VclRqNzVaSDRDSjhXSU9QZnlnbWtaUm1yTHN0STBaVzJzRUtMUmFJQ1VvTFhydXAyeVBTbTExaXlpNEVlYXpTWUlRV25LclVzN1dndklxQUFBVmpvblNlSjVubElxU1JKaDIzUFR4S1ZTaWYrRUYvSkNDTi8zaFJCSm1nb2hraVFwRm92TlpuUHVCdFZhcVdxMUdvYmhwRzVYYTdZQXppL3FHNDBHV3RZYzgwblR0S2VuSjRvaTMvZGJyVmJuMW9MSUxEYTdKTFBtR3FjMjUrNEtJYVVRZ3M4MjkwTVN0ZzFLTWEzQng4VXAvTncrd254T1dFb2NoaUdZWFUxTEVvS3daS0pTSVNVQnNNMUw1NittanpQSGF4eU0yZU9wQjhUemlCd2NROUcxTlFBSXIrZ1ZnNmdkNlhTOFZVOFZMYTRzRm9BMkNrM2FSM3ZEMHNNYWg0MGk2UHYyUE5pN3JDZU80NG54Y2MvM3BDWERPUEFLYmh4M3VpdG1sWGpFRWpNa3dZOHAwOEZqeWh3MGRESm5CSklhUVpTeHJWcGJoallYZjFzc0gxYzZ0UGZRc2w4T3duYllDbEFES2JDa1ZmQUtsckF0ZENPSU5DVFlvWXkxUW9oMUhLU2hZM20yN1hRODR3bFFnRzFaQ2hTQlJuakN0ZlNlNTZWcE9qUTBkTWdoaDV4enpqa1hYM3p4K3ZYcjkzZVEyWFRFMHhQYlBCazlKU1BMMlRoTXB4U201N056UjU1UTducDhmdy9OVERLdllPdks2T2VaZms3UFpBOHNzKzUrMFpsT0RzMTVsd0tZa2hGUDNvb1FjOHZEbWVkekVIeC8vM2hhQW5FK09zUUJRS2xVYUt0Q3ZWRnZCRzJsd0hNS1ZhOHFnSlJXUW1JdjlKNnk2UlRoaUoyL0hKS0JpR0xsU0dtN010WnhwQ1Bic2lrQkpDRklkRnAyb05iN3o4c2lBR2l3SGF2ZXFOMzU0QjB1dXM0cDdvckM4cjdlQVMxSWhuYWlZa3JJQWhSQ3BEb0trNVpqMlNnRmtBWVVCQkNuU1N0b29pTjYzVDRocEU0MG9tRFNHQUVPWUVyN0d4TVRFejA5UFpabEhYTElJWmRjY3NuR2pSdExwZElCakpNM2RwZ1pOS2U2NTRoY3MwdnpmQlFDaWFiYllIWlppODJUdUp6TzdlWUJmWjdqR0M2VlpuRXBNN1BpWjg5bm5PbjdrSGx1ZHo1QVBOMUdvK3Z1TlUvNVdoZHRuYjg3em44K0IrTUE0aW5QRWU4cmlFanBGRUQ3d3F1V3E1N25nOEJZcDBOamUwZGFJd3EwTFIxRnlnS3JIL3FPV1hQMG1VZWVBWFZJNjBsL3BVOGdoSEViYkdyRkxZMEVnSjFHU2lTNGFnUDNsL3NpQ0lQQWRaM3FRQ1d4NHQ5dHUrdUdPMy8rV0x3OWhiU24ydHRUN3ZORVFRZVFoa29uS3RXSkJnV0FvQUZBQUNBUkpXblNERm9UallrVTBwUlN0QkVuYWRnbmd5U3VWQ3I4amV1Nnh4MTNIS053WncyK1A1R0hoanlKbWIrTUo0R1l5RFFKN1lKc2tYWHI0VElReUhiNThzK2NKNERtY1IrbnB0dnpId2R5R0pjM1lOdGYrUnJQUndqQjR4aVVQQURkTHZlVDdWbzBXTG0yVXZNWmh6SS9QTWpRbHM5d1htSTR6L2tjakFPSXB6c1FrOWFwVWdrQVNSQUZxMUFzRkMzSDFxaERIUTZORFkxRjR4cTBpeDRBT3VBdWNaWTg2N2h6ajFxMnFVZFUwMmFhUnFtVUFpWEVLaWF1ZFNPQkhSUVdDQUpwL3hhdUNBQ2EwalNSUG5wOXpvUWV1M1hMcmY5Nzc4Mjc5UjRFcTFMb0tmczlEbmdXMlFLRVpjbEMwU2NpNEYwN1FBQlVXa2RKMUk1YUkvV1JNQTFKc0pseDU5cmdJcjBuNkZSeU1FdHJrRGROMHlSSkRpQXBadlEwUUd3ZXp5K2Y4MGE2czJhbWlFdzBwMmxxZWt4d0xwbGYyczhIaUEyZ1UwNjJjUUFaTWQ4enROWmQ5d2JJVkFvOHEzMENzZWxSa3EvRllFaWwvZEh0TWhBREx4cHloVEQ1VzlvOGRjUmR6cHlZRzJmKzh6a1lCeEJQZHlBR0thVmoyeEtrQU9HQVUzQUtydTBTYU51emdqUVluaGhPSUNFQUMyd2dZWU83ekY1MndXbm5IN255eUhnc3hoQ0xUZ2swMnJhamdiSnFOOHA2alI3SXRwam51bUVZMUpvVHFZeXhER1BwNkIxYjcvanh6VCt1UVUwRDlGWDcrL3I2aTM0Uk5hWnhpaG9FU05BQUdvRVFFVUdBQnBYb1pMUSsyZ2diR3BRQ1RVQkthK2h1dGZlRVJCekhpTWpJYTl1MlpWbHpTQ1BtaUx3TCt3elVSTGJoWmpMaVBLcE9YdTFFa011SUtVZE5kR1d5KzV3UFRqVjBOMkEzQThHNnIrQlhuNndpQVlDWk11Sjl0aWJpREpRQlBaOFJHK0NqK1ZYV1RiRnN6cDY4djRCT1dhMGpUT1VmRHVxSW41eDQyblBFQklEQU5qbGtBWmFka3ZKU2xjYXBTaTFYQkVsNzk4VHVKVDJMSkxnQ2JRQnlBZGNVMTV4OTFObXRvUFZJODVFZ2lteDBRR0tLV2d1VkFrZ3RoQ0VsT25VWSswT0tFUWlCc1k3YnFSYTJ4TEljRG9kYm0yL3JxL1NmY09pSlM3MWxsV29GYkswYWFSaTBGYkpxbUFVYjJCSFFJV2lrSUdvM3dycmp1aVduWklFbExDRmd4b1o0ajNQd2VwbS8xemw1N3d3azc3N0dnWnltMVdUSEp2V0RiTmxyTG16KzFhU0ttUmZJR1RaMWVUTGtNMW1ZSDR4TzczMlhId2ZtU1Uza05nL3ovTU5VcVhpMjN6WG5TUGx4YUNxZzU4ZVpaeUVHR0VwaDl2bk1QVTRYUjR6VE12MTV6dWRnSEVBODNUTmk3a01rU0NNbFpJSGxnMWR4U3dYYmE5WHJybXVqcE9IeDRlSGFjQUtLaTVKMVJDNjRteFp0ZXNiUnorZ1hBM3FjaWxTQ0NBV2hScTFrbXNxVWl6aDQvUDJkVUJpR2ZyRlFxcFFTbmJTVE5ucElCVDJoSjc1NzQzZHZmZWlXY1JoVmtCWUtmc0h6QzFheDZKUllsUUc1S2pZVUFpVnExRUVhTnNKR08yMXJ5S0RxOFR0eHM0WEllajNrZDVBT29HZmRQdExNbkVnNWYyRlRMaURERHFPM3pRT3grVHJYcTB3N3RLN051dndnOHg4bm43eDNqZE85V1RlUCtkRFVhcFN1MWNNODJSSURsOVBIeVJNdmN3eEN1VDNTR2NlWi8zd094Z0hFMHpzajd1akdBQ1NpbEJab2tDaktzdVQzT3ExMmpkSlVDTEJjT1ZJZmkySzFzSGRSeFNwSjIwdmJiYnZnbkxUcUZNZjF2L1B6Zjk4NnZIVmcyY0NlMWxBaVl1bEsyL2VrRWpwVU9oR1c1V2k5Zi9ZVWxtMkZZYWlFc2l3YlVZZEpLQ2l4U2s0aW92KzU0OGVqdFpGbm5YenVNbnRKYjdVUFVraFRsYUNLZFpxb1JHc2xMQ0V0Q1FLSXlIYnRJQTdpT0U3aUJIdXdhSlg0S3BBNFExNThBQm5ySE1GWGRUNDFPd0IyWXZJQzV0d3daMWpSYkRaQlNoNjIwemxKQ0FEd2ZWOXJ6UVFDbDQwSTI0YnMzaUNFYUxmYkZkYzFxVFRyYmRuMUl1ZEVNZXQ1c0N3ckNBSWhSQlJGeFdLUlYrSzJiZGVUaEwraHJNWFJIT2RUSzlYVDB6T1p4dkxDUDBrOHowTkVkZ2Nsb3Zub21yazNheHpIN0NZTUFGcHJObGV5TEN0SlUwUjBISWVKaTY0TU54OUtLWDdkTUF3bHYxTkVRb2c0amxtQ1RVUXNLSjVieGFHMUxoYUxBQkFFZ1ZuUWRIVTJZZFh6YklNY2pBT09wM3RHbkFVTEhUV0FCa25DQnJHZzJ1OVpqdVpTZllreHBQVzQxWVlZRUMzcFltSTU0QisrZU1PelQzak8rb1hyeDdhTmx1MVN3ZkdBZEN0b05NTkdvaE9VdUw4NWFFNXhpVUNJSUFCQm8wNWxMS3ZZbEkzN2Q5OTcwOTIvMmhudlJJQkYvWXZLNVlydE9DalJ0dTFTdVZJc2xBUUtVaUNscGFGakNSU21RU05zaGhScTBJaEl1YXpSdk83amlNS1BWMHd2bHVYSVB6Szl0QXk2a3VLcFEwMm5KdlkzQTRWcE9kME0vUFcrd2p4L2VwSGVmbVdMTTlMVEI1Qlp3MHlzeS9UQjU1Tlo3ek5EUHhoUFVEeTlNK0pPVEN0TEZsSXNLQTFvVU8wd1RDblZRREdsRTJFamlSSzdzdEJ6WEtHQnRLcUk2bW5yem9oVlBOR1lHQXRHYlZjcVMyaWRrQ1pDeWRYRyswZE9vSkg2c2hLT05CQWJVeVFpMHBiZVdkc2UzeE5DcXA5eDdETVhXMHRLaFhMaXBzbFlHZ1loQUVocFlaSUtCRXRZaVVwQW9OYTZIUWZRR0NlaTNsS3ZqMTZIUmViam5za0MvQ2tTZWZNYWd3aGRVKzF1dHBaUmtBWU9aTTYvcGdzZHBuT2cvSXM1cG1Ua1lubUlQNEIxdC9GczR4NFdacWo4Y3pyMDhaenpFZFBhOGMxNFhQdGM3ckNPZUFwN214WGpHUjMzL25MRWh0Q2ZMaXlaZTVDRGNXRHhSd0hFckNZd254QUNJQ0ZSVmd2VklJbkhtclVrVllCS1U1U21pVXYya3I1RlVtQVNhV0doWXpuSEhYcXNVN0MrOWZOdlVwUW9sVWpYQjRsYVE2cFN1Wjl0bFFuTXloZ1JFSWdFYUExSW9OdGgwNVd1OE9SNE1IYjdnN2ZybEU0OThyUVY1WlcrTEZSNkszRWNoMkZvUzBlZ1JFU2RFckJWa0FDVnFHYlVBa0FwcEN3S0IyelRMMm8rVitrZktpWlZCTk5JUnZOOWwzd3QvOXNPWEdaN2VrS0l2TFRBUUViKytRRHpBdUl1SCtIcEtMTlByREdrVGFkZkZCSG03Q3Raa1VaRVhQbzg5M3htTkphRDNFMkxNWEdmUUp6WHFBQUFUTlAvMHI0MjJmSXNSSmV1ZVhwdjZUbkdPUmdIRm44TTFFUUgvdkwvU0JBSlg1VDZLNE8rWGFTa1U0b2NxN2dXMW9jYm95R2xZQXROaElDOW92ZWtGU2VldnVHMFZkVlZUdHZHQnNoVVNoQ0VXZ3NGKzgxT0lIVzJFQUVKVWFQUUtFazQwaWF0cFkxdXhSbUxSdi8zL3YvOW56di81KzZKdXhPSUsxWmx5ZEtsNVVvWkNFQUJhSkZFQ2tsSWxGSktZUWxGcWhXM2E2M2FlR004WDF4M0FNdmhKeTBZR2t4RzNIM1AwQnFtR2dUbmw5SmRtWmZCYTZOcHl3T2ZBU3lZbjQvd2RFUDMyVjUzdGpDMUVwT3M2elQzdGZsVW9CbHA0QndWZXZPc3JHUGZqL3llNnFRZmRNYi96a2VQYkl4SjgwQ2NkMldiNTczcVlPeHYvQkZreE5tYWRHcW50emhTdHVjVVphV25HQ2FwMWtCQWlBSWlTdmJVaHFNa1h0ZzM2RWdKb0JGQWdyamcrUE9yRDVXRFZ1dlJpY2NVS1N4S2xFVElkbW43a1hKbUdtUWdRRUdFWElCTlZDcVZ4MGZISXgzNTVZSXNXeE1UNDNkdXUyTWluSUNUWUczMUVCLzhZbDlwVkl5Mm0wR2NKam9sYVhlTWoxRWlXcWkwYWljQktDckpJbGorL25kQmZiSWpUenZrcVluT2xhdzFUaTJaNjVJR2R3SVJjc2JubEVuZjh0QXdlVGZhRnpvd0VPY2hLVjhZd28vTWgwaGxJRFk3aWl4Mm5rRkh2Qy81Mm13RkZKQ3RKR0Rlc2pPMkhNcTc0NXRhTzNPaTlzbVc4S0VSRWUrZzh1dm1LeDduZjY4NkdQc2JUMjhneHM0T0hmQUNHQ0F6dVVTUXdrR1FBa1J2dVY4VGpOWEg0emdXbGt3b0RkTkl0WlR0eXNGaXJ3Q1FnS21tb2lpY2NPZ0pxVTUvODhCdnR0VWVDOU1ZYkZBNmxlRE1INFlOVFMyd0l6NUdRTlNJQUJTRGc0NENuYWFwWmFOVmxiVjQ0djZkOTFrMzI0MURtNXZXSGwyQ1VuOVB2MnUxR28wR0FCQnBwUlNCSmlCaENTUlVwTUlrR3E5TktGZVZTcVduT0JiUDFyUE9wRlE0RmF6elZ6dVlQU0pFeVB4MnV6TGk2WnpzUG9Fdlh3ZE11V3FPcm94NC90UkVQZ00xODVrL25UcTlwQmh5R2JHeHM1Z1BFSGMzTVpuVzZXTy82Tzh1R24wT3djYkJlTHppNlEzRVdSRC9aOTBrUDJUYk1rNFVXc0pEdDdmUTA2bzNreWlTQWlNZG9TVWlpdmFNNzBtVGFGSFBvQTFXUVpUYWFXdkFXbkRXK21mR2lXcmVHdzRudzNHY3BEcENxVHYxRnBuL1pDY3J3OG4wR3dtNUJvUUFaZnNTb2dBQkFBQkpSRUZVMUF4Z2dBQlFtNmo3dnUvNk1vcmpTQ2VPNjFxdUZUYkRXeCs2Sll3RGJldWpWaHhUZ1VxMVZBVU5TQmdtUVpJcXBUUktrTFlRQWtscFRlbEVheHdJcEdlaEpRU2FLeVEzR2Y1Q3BocmxTU2pIbXlIeVYrOTBpcE55QW1IemZkZEd2L21yS2F2MVBFeG5nRFgvS1hWdFcyR3VoZzFnMytsdzErRjAxWWJBZmdMZmpKdGdzNTJydWFQN0ZFMjlVYzF6c3c1bXVvc0lCTUhxSDBLcGhWQW90T2lzRVZtZGFENWY1dk4yTVBZL251NzNPa1FRQ0JKQlRCcjBaRXl4YlVsQmhFUUY0UzdyVzd5d09DZ2lzaTFoZXlnc0NwTDJSR05pb2xFakVBaE8wZXFWNUZXZzc3d2ovL3lDVTUrL3dGcU1FM0pCWVFIcFZOcGFXcVRTS0kxamljS3loTUpVaVRTVlNTb2pMV0xFVklDeUZka0tHTGM1SFNaRURhZ1JGSUxsdXdub01FMUlJQ0ZHU1J3bktiaFFQTVMvZGU4dC85L1B2dmFUKzM1VWd3a0E2cXYwTFYyd3RPcFd5bGFwSUZ5YkVKSkVKNUVRcWVVQkZhQ21HcnZHOTR3MngzbVhIUkFTU2hRb0JZbUdoRUFCRVdpQUdDRGVYNHI3Y1F1dHRlZDVVUlNCVW83allLWWo3dWhiSFFlMDVvVXdNNjFhYXpiVkJRRExzdHJ0ZG1maGoxZ3FsZGlXVnlrRmlDQWxiOWFsYWVxNkxtT3gxaHJuN0tFSEFMWnR4M0djSkVrUUJBYUNEVG9qb3UvN1VSVE5qZXlJV0N3V1hkZEZSUGJ0NVdCdlpkWTFBMnVjSFlkbWI4Mmx0UzZYeTN4T1dQRExHZ3ptVDBUVy9aTU5sT2M2S2lLL1ZHSjc1VFJOUVFnUUFyUm1sQzhVQ2p3SW1LM0ZXWUlWeDc3dnM3a3pWN29MZ1NxTlBkdEt3OGhTd2tmWEpiYzkxZ2JkdWZWUGlwV215cFlPeHY3R0gwRkdQTWN0bUJCQW9nQVV2dVVwcjBSQzdZbjNrSVdXSllVamxVcnJyWVlrcStnVVBkZVgya1pwdVFESHJUZ2VBRys4NDRhN3Q5MVZXbGFvaDNXZGttdDdqdXRxMG5FU2EwcUZFTkQ1UEVJbkpjL2RCY0E4T3FmdVFxTWVhWTVVbDFSRkltNzg3UTBUb3hQUFB2RTVLOXdWdG1YMzlsVmJUVW50RkxWR0tVbXFNQTViU2N1eWk2U0ZyV01NUUVpc0Zxc1NwRVJKb0JHdzgrcE1tSXI5MUh3OHJySHZ6RzdxQnBkQnhobUhtaTVmbTU2QjduTksweXYwcHJQU1hjbjRiSWMyZlp0MEJ2aWVoNkJsdXBMNlFEWmdzMlZCWGpWeEFPUGdUQlY2a0JGK3lKdlBuUzdtblYvUndUejRjWW8vQWlDZVZ6aU9VeXFWaE1LeDRXR3R0QlFFRXJSS2ErMkpKRWtxZm5XaHMwQktDVUFTUkFrS3A2NDRTV3JTS3JsMytENi9yMno1Vmh5RllkUzJiV2xiQ0FsSURRQVNzaFpHQ29YaTNiWDkrVXdpQ1JjOENpbUkyeE9OaVZzMy95YlM0UmxIblhGNHorR3U0NVI2aWlpbzJXekdhVWlLYkxTMWhXQ1JGaXBWWVNQUjFGWmFxRDYvVjRJVUlFMG1EcVFCVTdBQlVMREI1aE55VHVlTTZUcGl5SkVBa0cwRTRiU2VRekJOd0RCOUt6OVBYTTRmY2N3NDB3bFFNODk5am1QSVpjb0x3aks5cmRsem8zbm9taW1qdjd1NDVobjVtYmxqRGhtY09TNnpBVGhIbUNZcGs0Y21CVmhDQzFDQ05HbUpTZ3VWR2JGUTFsSmRUR25XY0REMlAvNVVnQmk0eHcvcGFxSGNTaHBwa2tocG9hUTRpVnNKRVlMZHNxdmxxZ1NoZENLRThNQTVZZFZ4Zy8wRFgvN2gxMnBRajRKQWdKU29VcFVnb1dOYnBBaW9BM01hVVNOb0JBQVErMU1DZ29TT2NGdU5sbVZaNVlGaUdMUi8vZUROOVhCaWZPUEkwVXVQcm9xZXZwNSsxL1AyN0IwSzI1SGx5cUx2SmxJclFhaUJsR3FySmdZZ0JaYmRpZ01PR3FKSmtBSkZxQkNFQVB0SmFPb3hQU1oxckxuc2JCSld0QVlwSjFVVHVUU3pHM295WjhndWk3S1pkY1Q3bWhLUFl3QXJQdzRhR2R5KzRNL1lWK2JGeTJZSGJ4SkdpV0IybG9QQmtlVnJlZkxCUUtGNTJqNndHQkcwbmo1T1hrYzh6M3NWVHBOc0U0Q3dMSkNTQkdva0VKb0FVbFFnZ0pBMGFKcVV6ai9kU2M0L2NQd3huNzRaMW8rSWc5WGVvdTJpMGxvbHdnTExsOXBXQVFXN3gzWU5qZTZPVmVRSnp3ZlhCcnNQZW84b0gvNlh6MzNGcXNycVlFOG9RbEVwVmtoVE8yeHJ6QkllRWtDU1FCQ0lEaGJ2WjBiUWJnZkZZckZZTGdTNkhXQkxGK050RTF2KzQ4YnYvTy9ETisxUWo4VVFGVHgvOGVMRnZaVStoN3kwcFhXa0tkVUVXb3Mwd2FpVk5rWmJJOE8xUFNtbHBvOGpMeDgxa0FMOWh5SW51anAwZEtXYy9EVmYwR0hLbHZuUE94a2NFWFFCYVBiSURQSzFlVXlKQ2RQZkU5QTVqNmJaTzJ2Z05HdWhHWU9JV1ByQ0FJb1pvT2YzMXVhVkVSTk5HblJrSDh5OERlWTg5ek14WTZoelFFeENXaWdrQ05RSUNyUVNPa1ZGQ0JvMHNhVkFwNk9YeXRUekIrTkE0bzg4STU2K1MxNnl5M0VoVE9JMDBqRWlTRnVRSktVU0lqWGVIRWVBUmYwTEhiQlFvVTVTei9NMmxqZlFDVlIxeXZjK2VuZDlkTUx4ZmVuYlFSaTV0b2ZRVVVvUTY0WVBaSDVndTVhd01FNmpkdGhDQ1o3dmhtazRVWnY0L3ErK3UydnZybE0ybkxxdXZNNjF2ZVdMVnpRYWpiMGplMXRSVzZjcFNVMkNRQUNScGxoRk92UWN2MkNWQzdZUG5TMFRwTTRHNWg4bURCREFURHBpcmJXY1d0QXhmZFdjQjJJQW1DMGpuc3hrdFo0akE0VXNhVFVpV1pNQTVwK1RWNUxORmdhSUo1VzVSUG1NMkZBcmM0eUNPYlZ2a2lSNUhtYjZyV1h1S1UzSnJITTZZajRjUTVYTTgxN0ZRTXh2aWxaa0NWdWlKZEJpeVNGbndkVEpoZk1ESHFTTGY2LzQ0d2ZpS2NRZlNnQXFGM3FWaHZIV1JLQkNra1NvRldqTDgzU2lhdTBhYU9vcjlwV2NnaFNlQ21JaDRlaStUVXVmc2ZpL2JpN2VzdVdXRUNObHEwalZGQW9TZ0VUYzJBTUJCRTNxSmVZWkJOb3JPdTEyTTAyVjYzb1NSUndtQXFIUTZ6KzIrMUc5VmRYYTQ0OHQzM0RNNnVNV1cwdXI1UjZKMWtTcjFrNWI3YVNWUUl3dW9pVlNuU2FVN21udHFYcVJGajIrOUFFUVFBaVFDSUIvb0VYUGJDWE9IRFFUUjl5VkVlZUhRcU1qenJSWk0zaE56QWswbE5Nano4Z1JpNXh5YTI3VW13R0lweHE2dy93eWRNcmE4Umx5QnFidUgyYUxoSDFBVzljNEhQa2IxWHk0Yi9OWCtWT0VCQTdZRHRtU0JQdjFrd0FDczJqSVJQdWRmWWcva0ZMeWp5TCthSUU0ZnpsTmZnT0N3TExCcjVTZ0ZZV3RWanRKVTdDQWdGcGhzK3lWQldDdFhTZUZicjluVzdZVW5wZUNBTGtRRmo3N3hPYzRudmVyZTI4YWJZNVcrdnRhYVl0QWE2RjVIMWxrUUx4L2dWQnYxVzNiS3JvRjBLQ1ZsaWlGQkMzMHdwVUw0emkrZC9zOWUwZUcyNDN3dENQUFdHd3ZMWlJLWHNtdk4yc2pOUWhTQkFLQkloVXFoV1NpTlFFQWxtT2hGQlk0SWdQaVAxUk1WMFRrU1FtYXBpT2VJeU0yT2UrTXFvbjVBOTkwU2NCMG1KdFA1cGgvOWZ5RE04eC9mbE9hVWNpeHo4UzhheHljdXUwNW5ZNlk1M3ltcE04YUxKSTJXUlpKMVpIT2Q3YURFYmlyT1dJR3hQdTNUMzB3cHNZZkxVYzg0NGVZQURWSUFOdUc0c0wrcGYwOUMxenBvUUpFdEd3WjZ5aElneGlUaWJEKzJNaXVXdGdBQ3kzSFY0Rnl3RnRpTGJ2dzJJc3VPUG5QVjFiWEJIdUNxdGRqQ1FzUnBDUFFvaWdPZGFwOHo5L2ZlUm90clVvVmFSQW9pRUFwRlNaUkFnbTVNQjZOMzNUM1RkZi96N2Z2MkgxN0FHMENYU2xWRmd3c3FQaFZLN1ZGSkdWcUNiSXN5MnFFelowak8zZlhoZ0lLK0hLSndrbnBLTTJ2Nzg3akZld3NiQXg5dE5hTzQ3RFNOa2tTMi9OZ21uck1PQUl6aUhSVXNWTGF0czJsdWtFUVFLYlRNbXp2SkxreHA4TU9JanFPdy80NFlSaWExK1ZoZVNaS0tiWVZubU1jSWFVUXduVmQyN1lialFZSUFVb0JZbDRDd2NjdXBad2pTV2NSdE91NmpNSW1OL2M4TDBrU0puYTExa21TTkJxTk9hYWtsUksyelZiT2FacHFQaFdab2xsS3lhZFVhNTFYUGM4WVNaTHdLZUp6RXNleHRLVFVXUEdLTmtnTHBDMmxFS0xkYWlZcTBVQkthd1FCSU1Pbzh6R0xrNFBOT3c0dy9tZ3o0dGtDZ2EwdExRdmNpdDlEUkxWZ1BJamJ3aElvQUMxRWdTcFZBWVhqWVQwbDNWK28ycTZmcGlrS1dSREYwOWFkNWp2K3JadHYrYzFEdi9FSFBjZVZ6YUNKaU5WcWxSSVlHeHYzQy91RHhRUUNCQUFoc1R0RlI5c0ZBSUpsblpaVVdrL0VFL2Z2dXIrVzFPOGJ2Ty84VTg0dlE5bHovVXBWSThna1NaVktCVWkwTUU1anBWVXJiQXFVeWxjVnUrcDZEdVRTVWxQQXltYnFNRlZZOWppZjUya2FyT2twM3VTcWVTcUQwWlc3elpZUm0ySG51ZTZlWjBZOG4wT2JUZjg3LzNINHdMdjF2elBxa2ZjMURzQU1ldVN1bTl3KzMxLzI3QzhVQ2tFUU1FZnNPQTVvQUNuU09ORXFWWkJNTk1kN0JucjdCbnVsRkFoODUwQUVzS1hMREkxdC85RW1kazkwL01rQnNTbi9rZUNVN1I2ckpMVlNhWndTYVNaVVNaQWlsYW9nQ2xRemJLVnBNbGdka01KQ0xRbDBIL1Nlc3ZMRUpRTUxLSXAzTkxZUGpleXhIUFRLQlFFeTBvbTA3WXc0bTFjZ0Nha0ZBR21oTldwQ1JRQUlLTFRRS1Zob1NXR2poYkVUajBkanRkSGE5dHBqcVowY3NXTERoZ1ViZmJkUVdsQ3QxK3J0Vmp0T1k5Q2tpUlNrbWxTalBSR0VyYmdjOXZzRE5ralNaUEkxZmwxanJwam5FQjlmTE80eXI1azgvem1FNnVwWkIxTmxGZm45SzVqSkVtdysvR2srVE5vN0c2RFBmNXdwd0RjVFI4eG5XTXllcEdOdXM2NExpUFAzclhrZW85bUg3S0k0RE9VOXo2TnpIQ2QvaDFaeEtxVVZKZUY0ZmN5dmVPdVBQT3lDRjF4dy9ndk9EOUxBc3dvQXdQU1hRTkFxVzVBY3BDY09LUDdrZ0JpbWJDdklnaXlWM1ZCcjNRanJXcE1DOXRrQkRhaTBWam9abWtnVXFZVTlDNFZBSkprbWNjSHhEeTBlOHJKbnZlU0czOTd3di9mOTcwUllrNDdRcVJLQWhVSWhuYnNnZGRwTUJBa0EwcVFCaVpBSUNFa0FBSkpRS1NXWVNDbUZLMnpQVGpFTnFQM2oyMy8wOE02SGQ2OGZPbWJkY1l2RjBwNXFyKzhYYWhPMVJydE9tdEFTRW9VaTFRd0NUV21hSm92TGl5Vk9xYTBRUW5pZU4yUFcrVGhHVi9OUXlKQWxEN3RkTUlSWm9RUk5OYytkVVVjOHZTaHVQbFBDdkhsUWhwNTVzSnNua2NwTC9zbjI5VlBsYTJDQWVQWkIrR21zZG9qajJQemg1RGp6T3lnekRtYWx6UHpvOUkzUXVjZVJVa1pSeE9rd0FEQ1BnUktUSUhESzl1SlZpODU4MXBubm5IZk9PYzg4aHdBamlCVW9SYW5VbGlOczNFZmx5c0hZZC96SkFiRkJZV1FwdWhabHArSTZUcElrRWNWSkdpdFNpRklLS1FDRUJFQTlOTDY3MVc0dVg3VGNFNDduZUVrUzJiYTEwbG4xWnljV0I2c0R2L3JkVFkrT2J4ZEZJVnpSRGdKcGlmM2NzU09ZYkxuQkZ3d3lLQkZRa3FheFNzalNZRU1LYWFRanEyVGZ1L3ZleC9idTJMSjk2eGxIbmJWaGNLUHYrQU1MQnAyRzNRcGFVUktxTkNYUWdEcFU3VllrSjhnck94WFA4L2dWakMvaXpCejY0NWNYZDhuWHVrY21ncXkvUGR0Z1RtYW4wK3dXcHdBeGRhekY4c0tKZVVvVURJZmJwWnJJWjhUeklUcEVabnJKN2V0UkNNaVpGR1BXWG1SdU9wNWZsRjA0akh3TnMwT0RYRWE4ejBPRHFZRE9qNWpDRURQeVBvZHlYYmV2cjY5WUxJck00RmpZb2gxR1p6em5qR2VXbm5uaFN5OTBwQk5DT05vZTlkMkNMUjJKdG9ZMFVlaEk2eUFPLzU3eHB3WEVDRVNnRVFSUzVxQ3AwTE45UjdpVlFyT1Z0cHFoVWxxaElFdWdKUkFCVWhWcm9WdHhmZGZ3OXNIcWdySlhzaTFQcTlRUzdnSmNkTlpoejZ5V2VuOTF6eThmM1BWZ00ybzR2dFFFODdjdkppQ2R1YmdKRXZ3UXl6QTBLV2xMZElUU0NnV0NCTkNvdEM1VVhTM0NlcXYrdSsyL3F6VnIyMVp0TzNiZHNhdUtxNnJsYW0rNXB4N1d4MnRqU1JnQmtOWnBFTFZIR3lOUVF0TU1ZcCtPTnIvbkdUYlJWZEFCbWZDTFRJbHpWblRRbFJIem4rUVo0ZTZDamd5dDhyUGRKM3BTVnFFM0k4VUJPU0RlNTZFWkZUTVBKYk5lcS9uNXpHZGZsSEw2MzY2TUdPWlBUVXpOaVBOQXZGK1VTeGlHZkxjZUhoNDJIVUlKeUN2N2YvbjZWeUJBQ3VtT2NNZURXeDRjSFJrWjZGMXd5bEduRmFGa1MwZEE1M01MR3BRbWFSL0U1QU9KUHkwZ0JpQUVoYUFCSklBQUFpbTRUQjc3S2dNeWtFb2xvRFVDV29CU2F5S2R4cEhuK1JKRk02ckhJM0YvWmJDdjFDK0ZKY2lLZFZ5UzFST1dubGp0S1pYdjhoL2NkVjhiZ25vYXo1OG1JNlJVS0FSQ0VrakMwaElCQ1lpUUloMDVyaXR0SUVXa3lCYTJoYTZOcWgwRWR0RXBsRjBkcU0yakQrNmQyTE4zYlBlUnF6ZHRXcldwRjN1clhzVkNZVGRGbUxaREhTWkJFaWRKdlY3WFdwZEtKZC8zRFJDenZaYUovZDBqMm1mTTZFYzhlZUJhb3hCNWcyQ1lLZ3ViSjBjOGYyS1hNanVJMlRoaW1EZG1HV3BpdXV6TUVMSzByOVpFSE9ZZVkrNVArWEhtZVdndzNXc2k1eXBuam5UdUVWaXRNVEV4WWR2MjBxVkxwWlJoR05xZUZVS2tnZlpFdXpjL3R2bmV6ZmRhamhVRzRaNnh2WlZ5NVlqVkczcXdsNTB5QVFBSTVBd2R4Zy9Hdk9KUERZZ0JPMm14QWtESVBqY0k2S0JYOUNwaEZPbVV0TlpDQXltZDZ0UjJuSlRTVkNzUXFDa2FiWTJSd0o1aWp5V2tCQ2RNbThLeTFoVVBHenkxLzRhN2VuOSsyeTljRjJLcENZbllGU1ZMZUJFQWdERDdsdkZKSXhGcUFONGo1TGtobUQ4VXBDZ05va0RGeWhHdUt6MFFLSVFJZ25ZRW9XdTdzaUxxN1luYkhybjF3VzBQUG5iWXRtTU9QWGI5NEhyWGRRYmRnWWlDUnF2ZVNKdTJzTUlvQ01iYjdialYxOWRYS3BiNWtOdEptL0ZYZGhJOHlZV0NmRkl5UUNMb3JwY3lvR1hPS01Ha0t5S3ozQVNBRWlmcitqUWdPM0FnQ3RLZGxCOElCRW9nSUUyZ085V3htQnZldkFJaGFvQlVhejFabUpOTmxpV0pmRmIzSldUTnF5YW15RGx5UndJNFRiTUJVd2ZtN1VkRUF0QkVaa29vaE5rSDVsL05BdXBUcXRHazVCMkNGRkFUSWhCaU5qaDJEclFiUWJ2bmszdDFwWE1WN2RrNDJabk1ESHJ5MVJpZHIveWVhUzNUZFJ2WHZ2a2RienoxMUZPT1B1SElCT0ttcm0yZjJIN2ZJL2R0ZWZRaHIrelZrNW9qSFkycVdDemQrY0NkUFQyOXhiNFNBYVE2dGNGQlJKd1hFSGVkbUlQWURmQ25COFFJSkRNUGViNzB3Ymo1K2FLMG9OZHB1czFhclJhRUFSRUoydzExVzJGS21xVm1LazVWVUF2MzF2Y3VYN0xjQWR1eUxBUUx3UGJCZi82bUY1Mnc5dlF2L3ZCTFE5SGVSdFJHUjZBakZDcXRFNEdnMHNRU0VwUk9ra1JLMi9VTEpEQlNNYUZnRnlzdE5SS1plbjNIc25XaUFNQVZObm8yRUJJa0FDZzFldWdRa3RLcEFoQytpSFZVVStNM2JQbkYxckV0RzFZZXNYSE5obFdsRlI0NmZtbWc2bFhHeDVvUkpscnBFTUxoeHZCRVZLdFVLNzcwdmFLN1kzam4xcTFiVWVES2xTdFhMRndPQUFLa0JUWXAxT3hPTHhDQlhXZUJRQXVRQ0VMa3IyOEVLWVdpeEhZRVJTbVFBdEtRSkdEWlNGQXFGcVcwb2pCT2laeFNxUjBHanV1S1dBV3RFS1NNbTRFbExkL3p0ZElncElwalRnOXQydzZqTUF3RDI3WkFBQUY1SlYraEZvNk10VXBKV3lnMEVBcVpLazFFcnVNaUNpSXhOeEJ6RHVzNFRyUFo1TlVBdXh0YmpwMXFWU2dVd2pBRXhGUXB5N0tVVXAxV3pkMmZIZ0NCaVVvZHoxV2tXMEZiQTZWYVdWTDR4WUlpTFN5cGdUU1FzR1NjSmtYTUtpQnlRSjU5SmNlUktFbFJrdW80MWJFVWxvV1c3ZHE4WFdiYmRoVEhTWklnQ0lOZFhhaU1BRm9EQWdscGFZSlU2VENLcFcxSnkxS2tVUXFVaUlCaEhMcXVvOWg2UkdmbXFLSlRFMGVvVWtnMEtDM1VJZXRYdm1IOTZ4S0lIdzRlMkw1eis2N1JvZTNqTzFPWjZvcHVZQlBMbUVDQ2xtanJBSkxvMS9mZTBsb1RibHg2cEN1OEdKUlF3a1pKeEhjeUF1UzdDRTQ5Y01oMlJQTDM5NE5ZL0tjR3hJUlRHTndNaFlHVmE0QU9lTDREaVVkYXlTaU9ralFHUjZBUUtKQnJhelhwRkZNTk5EUStWQzFXcWs3WkFpSEFGdUNJMUI2MDRNWG52dXpXcmJmZGVmOWRJODFSVVJTMmIybGJwRG9HVzFpV2xHRFp5Z1lTbHBSS0V5a0NGSnd2RXBucUpJWmpObjZkdkc0WitRUlpCS2hSRXhBSm5ZSldVcVV5bGI3WU12clF6cjJQYmR1NTVhUU5KeDI1WW1NVnlwN2xMVmhRcUFldDJ2aEVLMmpwa0Z6WFZhampZbEp5aWtzR0YvY005R3pldXZuWGQvejZ4dmpHbGF0WEhMSnEzWUxLWWtjNjFNbVNWQXFwQkNrejJ3cE8xM1VDUWdNZ2dJU1I0V0hMc3BxdFZoUkZIWTkreHdLdGhTTmJRYXNRbDF6ZjhYMlB0SklJOVltSmlsTklveGdJbklKdkNRa2FTR2xRU2pxT1FKRWtDU0JJS1VGQW5NWXFUWVJsY2RxS2lKcVV5ZkFRQVpIUFd1Zkh6bm1DV2E5cncwSk0wUkpNU1J0bjVsSzZ4ak12cnpoSngwNHlENGlhc3ZjTVRaWGxUSnVpMlRkU1dvU29OSmtKNUY5YVRBR3lHWUo0UHhuUTliMDRUY0k0Y2p5WE53OFhMbHFFUXJUYWdaUlNDdUg3aFVLaE9BbmtCSkJxTFRWSTBxQTBwQ2trTVVSN3dxRzk0M3RIYThNakV5TWpZOFBqclpyWFYweUZwcXlXSHdtUU5DRlluaHh1ak55OTVSNnRZTU9LalFVb29oU3RNQ3g0bmpCWnpzeFRCZ0xDck5ibEQyaUg4cFNLUHpFZ3prZDNjdEc1Y2p6TG96SlFwL0FoWW9VQkVLSVFpSUtvbzB5YXFFMlEwbENtb2x0d3dTWVF3cFpGdTN5NGQyVHYwUXNHblVWM2JibHI2NTdOalViTjZiSEsvYVU5NDBPSmtCSUZBRXF3UUF0VWFKTlFXbXNoZ0RxWENHZkVuU1gzOUtsUzFpS2F6SHlKR1lIaGliMVZ0eXhjMkRxMGRkZXVIYjlkZE1kSng1eDQ1SktqSENqMStOVWV2MXByMXhxMVpwcW9zQkdHamRCWmJIdTJWOERpRVljYzBkdlgrK2oyYmJ1R2RqMncrY0hsSzFmMkR3d3VYYnkwMysxRFFBR2MxRkdTSnE1d0JRSm9RSVJPcTFZTm16WWU4NUtYL3NVZGQ5ejUwT2FIcE8vdEhodnRYYmdRSk5vbHY1MkdZL1V4QU8xSzFPMW15WFU5MjNJRTJxdzRWVVNwY2gzYmtsS25xYkFrRUNWSkxDMUxDT1FTT0dsWkFHUUxJUmpna2xpUUJ0SVN5Qklva1ZLdFVDdEJKSmdlbVJPNDhqM2lJTVBsdkVSaC9yVWhlVStHcmswMnlNQzA4Mk11L2N2ZVlURDBsSkF1a0tWU1FlUUFTVUJwZ1NWQkNFSmVrMHhTRTdseGNxTVJ2enV1N3ppZWJkdlM4NXdrU1FGZ1pPOUlHcXZlYXAvbmVidDM3YXFOTllKbURBU0pqbEVBV29BQ05XZ0ZhUUR0a0lLSGQyd2RiWXpzR2Q4ejNoZ04wNUNFQmdTL1VqQmR3OUd3R3doRUpHMFJ0SUlkUTlzcEJrZTRoeTg3d2dHd1BNbXBoQ2JkSVZuNGp6VmtqQmNTNkl3TStmL1orOU5neWJMckxCaCsxdHI3RERuZW9lclczSk5hM1dwSnRHVlpyZGUyYk11V2JZUnQvQm9rZ3djSUVNWUdZOExmQjBUQUYxOHcvSUUvUk1BSHZBVDh3UXcyQVdFd2dabHNHU05aV0xZQnk5WnNxU1YxcStldTZwcnVtTk1aOWw3cis3SE9PWm4zMXExU1ZidmxsdFcxSWlOdlp0NlRKOC80N0xYWGV0YXpGTXNpNmRlNnZZYUJ1TFViZzI0OW4rdFFWWVRLT0lzbElFVE0xc29TaUZBUllYYlR4YXl1NjBWdnNENGE5MTFmUVE2ZWtKMTM5NTE2OVBSOXArNzlqVTk5K0xQUGYvcGd2bDhsWmVxeWdGaXBRR0hUVnk4TTFkWWxhNEc0MllURGNMQjBqV25sMFM1SnFxREJPUGZNZGFocXJRL21lL09MODcxNjc5TWJuMzNuMjc3ajdQQjhENzFSZitUU3BKN1hkVkhYWmRpNXZwZm4yWGhqbkNDOXNIbGhhM1ByNll0UHZYRDV4U2VmZi9LWnE4OCsrY0lUWjA2ZFBuUHF6TmI2eVNFTkVpU0pUMkNjRTJiRTViYU0xdGYrWHoveC82NWp1TGF6dlh1dzkvQWpqd2lvQ2xVdDhjejVjNGhTTE9iZWNhd3JJVGgyODJMdTh3UUVRTWl6VDVKWk1aOFhpNEhqdXE1VmxBQW1EbVZkTFVyYjZkUjVWaEJRbHhVVEFHV0NkMFNrSUZHTFA3T0E0b3I2ekRGbVFHejhYMjMxSVkrVndieDFhb3RhbHE0eDZ2Z3dhK0lJN2V4R1hGK2VPVUhxYzRZUGxaQ3dneU9GZHpaYU56RU5PbHdRMDB5Y2xsZURBbG9XaTdJczV2UFpkRG9waW9VcWtzVDNCajB3OXZmM3ExQ1hvZDQ0Y1NMSnMxSnJ5alFpS0xSR05hMm4xM2F2WHQ2K3ZEdlp1YnAzZFZIUFp0VXNvQ1pQaWZjKzljN3hvcTZhckVYakhTZ1VTaEkxSkxrbjRyMzUzbWVlL0ozNWZQN0lnNCtzdTNWQlVKQklCTWlSZDZzK09BakxXWjRlZDJ4ZXUzWVhpSUgyM2xpRjQxNlNZNlJKUnVYZVFWQ1NHSVdWblFkQlZVUWx5N082Q3ROeVZzYzZhQmdQcWtIYVQ1SEhVdk0weVNqNTJ0TnZPZnR0Sng5KzVzSGYvTnovK2V5bHp3MU9qUmNvS2dxVVVFS09nc1k2aWdnaldmYWVXYm5OaU5DeStyc1BHcG1Wcmk4b1lBNldnTlFsNmJ5WVNpbHBtdllIZlVDZk8zanVxVXZQUEh2eGhVZnVlK09qajN6TmZTZnVIL3JSWU55dit2WCt6a0c5cUtaVktJcHlNQjRNQjRNTStTUG4zM2p2K1hzM3oyNWV2bjc1MHNWTEwxeDZOcyt5MDF1bnoyNmQzUmh2bkQxNXB1OEhRd3djT1pkNkJzZEt0QktubE9SWlF0bDlnOEhHd1liV1FJTE1aK2xhK3VmLy9GL1kzOTFsNzRiajBiMFAzTDk5OWRyMW5SMlg1WE9FaU9neTV3ZFpoVmdWaTk1d1FFblNId3p5TERjU2F5L05LY0pTbDk1YnZTS3N1eDBJeWlEUFlBaHBSQ1FtZFFLMmdNTk5pOW1zZmIyMjJndXU3WDJIbFlqRTdjaGdVa3U4NjhRdTBCSTVWcGRabnArYkdFZmtMblZDc2FnNXdnbkFjSTdCcWhvQlIrajZkQjZOWEt4dVg1N213MTQvVDFJaXl2TE12TTU1TlZldjR2V2hOei8wcGplLzZVMXZmdlBiMy9sL2xiNnFzVGlRM2QzOTNlM2Q3WjI5N2QyRDNmM3AvcXljOWtaNVNHcE9PT0ZVU1FMRk1sUlNTZUp6MlBGUWJZQ2ZGTkNvd1htZkpRa0hYTjY3UEoxUEErcXZlZmpSTll3ZEhKdnduNHBFWWdXSWw2bzJ5MDdyZWtQUSs3VnJyekVnWG8wa29uMU55MytLM2ZvQWd3WnBQMDNkb3Q1YlZMT2lLaVZhOHA4WUpBd2xaYzlnMUJwMnAzdnpZcmF4dm5heWQ2cVg5VG1pcWtPU3AyZlRjNk0zakliNTZPVEdtVTg5LzVraVJxSG9lODdsbmhLSkdnVkMxUDFteDdDMUs3VkJZV3BEa2hhamEzSXQzVFkzMjYvVDJVSHEwM1NRc05Lc21wR1F6OUk4ejc5NDVZbWQrZmF6MTU5OStMNDN2UG5CTjk4L2VsM3VlNmRQYlJXaG11M1BwcE5KdlZ1cjZuQTRjUEFaZW04NTkraDk1eTQ4di9uOGN5ODhkL25hNWVjdlBudnA2b3Raa282SGE1dHJtMmUzenAwNWNXYXR0NUdqNTFLWHBGNXJFS0VxeXJTZmpkZEdBT29RZk9KRjhaNy8rNDlLRE02NWIzbm50LzcvL3RISmc3MkRGeTlkL01SblB2UGdJdzlIUndBV2RZWEVKODY3TklFQ3pOUFpmTEZZREFlRGZ0NG5ZaWlCaUoxWEVCR1hJU2dSV1JyUk96aUtFQ1psZ3BDZE83MEZlV0xWSSs2QStFaG80bmFBR0szL2U2VFpCNjBVc0hUUGg3WkZENzlRelJMUHFyR3FXQnVCWCtlWVdBRlZGWXVNR3dtamdheWpzRTRTYWs2OGhCaGpuTTJuQjVQOTRXaFVhMzMyL2pOLzZmLzdseTdjYytGcjN2cVdFNk9UQ2lqMFN2SFNwNS82K0VHeGR6QTVtTTRuSVFZbEpRY2U4a3puWUFVMzNiV0ltUldzWG1NVGxH</t>
  </si>
  <si>
    <t>ZzhnV2J6TlNKV2RSMHBEdEloOWJDLzJIMzgyYy91VC9lKzZXdS9jY0Q5REJuREVUa2xFYlVkNHZZbU03LzRGbkhrMTZLOXhvQzRzeHV5ejkwTGJYRVJRQUozY3Yza2RKSHNIK3dYVlNrQ1lyTGJJMHBVZ0J3UlVhanJXVlhyVktGOG9uY3E0NHc5U1JYWXVUVzM4ZmI3dnVIQjgyOGNKeWVmM243MnVkMW5wOFVVR21LaWtSVXBpOFR1RW0vbW9taW1na1JFQ29iMUFTSFNwdldHcnFKdyszSTRHSWE2THNxU2lkTTA4ODVIa1dtWW5YcDRhN0l6K2ZURlR6ejUwaE8vODlTbi84RHJIMzNMdzIrOXYvZUE4KzdFaVkzMUUydlRnK25CM21SNk1OL2MyQmoxQmtEZFI3cDFZZlAxNXg2NGVQM2ljNWVmZStIS2k3dVQzZGxzZG1WeDVjbHJYK3hsZzgyMUUyZTJ6cDAvYytHME96VkllaDY2b01LVGJ5alpFcUd1T0pqMlJ5UEh2aXFxWG0vNDJHTmZENkNPK3QyekEzWk00QWdrZWY2ZGYvRGRUTFM3UDgzU2REaGVQMy92L2Rldlh3OGhMT280TGFxVEFtS1FUNFJZaWFvb3lrNUJ5cVRPQzd2SXhFUktMTXdSVENCM2N5ZXJjMW83L3UreHVzWmZNa3hNclh4U3gvL3RTTW80bXU3VFRyMlh1cnlVdHNRN0V1ZEpTVUtzVktYQktBY1ExT3JkQ1VyZ1F4V0pPUFNhd0Q2RkJHSjg3ZGQremRiWlUvdnpmVC95U2ppNWRmS1AvOGsveG5BbHlzOGZmUDZwWjUrNmN1MXFKY1ZjSnJVV0lkUUtjTUxNckNTQWtpTWxpSXJDaXZ5YjZBbzNpTGxNZzNZSzNNSlNTZVcxY0draUtqdkY5dXpGU1phNmM1dG56NTI1c01ackhxYnF5aUMzRXQ3bTV0VXh6djFyMTE2VFFIeXpySHJiQkZHWG4xQ2ZjdTVKVlZSMUhTRlJhWmw4cjJOTlJGbVdwajZ0cTJwV3p1cXEycjIyZmY3a3VZM0Jwb00zSnNZUWFlYUhQL2lPSC83MDVkLzVYNy96NjA5Y2VXS3YzQzVqb1o0cGdWcUJDVm5lWEZkY1kySlFReTl1NW5QTnRsblN1YjJTaVpRQkRXVUFLRTFTWnNmc2dtcUlNVWk0dEhlSmlMS1RtVk42Y2ZyODVZOWRmdnlwejk1ejhyN3YvS1kvdU9FMmhoaU54MnU5WVg4K1djeG04Mkl5UDMvcUZDQUpmTUxKK05Ub3hNYm14dWJtNWQzTGw2NjlGQ0JCNDA2eGUzMisrL1NWWjdNbmV3UFhmL005YnpxOWRtbzhIRHM0UmN5UmxsZ01pZnByT1RUYS9OUU9abG1HTlBjbjF0Wm1pd1VESWNaVEowNytmLzdhWDZ2S09rM1R4Tk0zdi9PZDY1c25ybDI3OXRSVFQrM3Y3L2RHWTNnb0FXUUhnVU1VYlpJK1JOUjBxRnA5M1BxZXBwdXJwblhnZTV2NU9yc0dqZ2pDM2JoWXk4ZG9RazNOVEp5YVdYbUVxQ2RsQkkzQ2F2RnRNbzVPZHhHcytLSE5OYW9yendSd0JPU2QzL0V0ajc3OTBiVVRhNDc4QWtXQlltZTJkLzNnK3NWcmw1NTg5b3ZaTUhlcFA2Z1BoS0pMVlFGT0hSR1JZMEJWS01ib25TY21CeEtyejQ2aUVDaW41TnNmeG5KWG9HQmsvWXdFZGFpcVdMbkVjK0lreHQ5Ky9DTVBYbmdRR2R3SkdtREFZSElwSTBKZE0xMXBzRmc3UnZhWFBOcXZCWHROQXZFUjAyTklOQ3U1TU81Ui8vUm1rbWVUM1lPOWVibUFRNXFtUVNPQUVPb29JVTBTNTVtY0MzVVZaSDV4dDU2VSt4dkRrNk4wblVFUWFFVlptcjN0ekZ2ZmNPYjF2LzNjYi8vS3h6LzQyUmMvRzNzWWJRMG1pNTBrY3o3eEljYXlyZ1RDanIzM1VGVnRxd3RFVlJWS290cG9jRGY4TmdiQURSWXdHa2NGMFlodThJbGo0UUNTU3FzZzBlVk9Zbnh4OXZ6bGc4dFB2UGlGaCs5NTVLMlBmTjNEVzIvb2MzOXRiYTJTV2hkeHVqZnJwem4zc3BTY0FpZVRVeWN1Yk1VTCtzbUxuN3F5ZS9YRmF4Zm54VjVrUVE3VmVTM2xCejd6b1g3U0cvWUdHNE8xVStNVFp6ZFBuejl4eG9FVmtsUEdjR25QQVFIS1dlYWdvQmhHU1lJWUhUZVZqV2t2QTZHczRqZDg0emQrL1RkK282aEdFU0oyam9SQVFLL1gvOUVmL2JGbm4zMzIxTmFaR05SN1lpRFdJcld5dUZoTGhNeW5oU21CNlpJSmR2aUVFaVZKa3FhcHlkbVlPTEpyeFlXTG9vZ3habGxXMTNXbkduR3NpWWozM2xhMVdDeU9kUGswNlp6QllOQklQWWdJbSt4cTQxcDJGMXFJd1NXZTgwd1RGNWptb1VvNVo4Qno2cEZJaldHL041M05VcC9zSGV5RG9UR1lFNEFtWDZtcUdoR0FJSWlhU240eXV6SzlmRzN2K3RXOWF3ZUxneGV1WG93Y0E4ZllrNGtlU0tXYUtVZ0ZjY25Ja1hiam5Zc2lrT2E2SjdEVmJUZnBpRFowQmlXTGxDa2dFZ1ZDQ21JaW9xaEJFQldjcmljdjdEeTMvYkh0QnkrODdnODg5T2lwNUJRQmkzbytURVpFRE9FR2ptMFkwVmVyeWZoWG5OMEZZZ0RMU0hFM1dWb2hnVEtCVXJoaERoR0EzS0plMUdWUVZzL09lMmZUenpvRUlqalBJTlJTN0JkN1ZZenp2RjdyYmZSOG1tVU1RT0JIR0R4MjM5ZHRiWjM4bmVjKzg3RW5QdkhGUzA5c25qa3hyeWRWV2Z2VWpmb2paYTFESFdKUVZXN0pzc3pjOFBDSkRtVi9sQWpjM2hyb0NCVmRXZzhnVW1rS1JqZ3FpWkFFRjMwTXhQam8wNy8xeEF0UFBIemg0YmMrOG5VUG4zcER6djFza0x1SUdGVkM3Uk9mb3VlUjFRaHptYi85L05jdnppOHVIbHg4L3VvTGw3WXY3VXgyRnZQNVRLcDBtSmR1RWFtYXpRNnVUQzQ5OWRLVGc2UTNjTDAzdnU2TkE5OGZac05lMGsvWUo1dzRKQVFpVHdCQllnd2lxa1RNempPNU5IWHRibEJVcCswT3pLYUxlKzg5LzlmKzJsL2QzdDdlM0R5UmVLcXJtS2J1aC8vNEQ5MXo3c0sxNjlldVg3Kyt1N003VEFjc0VCRjJmTE4wZkYzWEpuYXhXQ3pRVms2bmFXcUZIaVp6WWVJUHQ3cFNWTDMzV1piRkdFM0h6dGJjNy9kTnh4M0FiRGFyNjlvNTF5YXRscGRXWjRuekN0UWhWakVHbGFLdUJKQ0kyV3grYXV0TWx2ZFBuejE5NXV5WkJ4NjgvOEdISDFTSzBRdlF0WXlEUWlQRkdzWEY3ZWRuNVhUdllHOTdiMmQvZWpBdjU1WFd3aUplSTB0a2lTVENLdFFFb2JrcDcreXM4MGdQVnhuYVBFemJQeTEyS3NnWTlRM3pnUm9uMlJTMXdldzlSY1NEZXU4TEwzemhZSDd3MEwwUFAzVHE0VjdTcTFHSnFKU1NVdXJUM09oSHNhNWQvMHNjOE5lSTNRWGkxbGJpRVZqZU5xUVJwaXJiY3dNM1NvaWRUbWxXekdKZCt5enhucVBHcWdvaTBTZk9Pd1k1Q1ZMRVlsSFg4N29xcERvNTN1cFI3b0VZYTVDTWVQaFEvNkVMYjd4M2EzRHVVK056bjNqcS95UlpNc2dINUhteG1FOFdFemowQnIweVZNYmthc09FcExCYzBLcEhZWFNnOW1iQjh1TVdzNWtFZ0ZOU0pWRm81Q2lJa2NQKzlHQ1lEb1hrRTg5Ly9Ja1h2M0RQcVh1LzVvMWYrNGJ6YjloeUo3eExIRnlGU2l0NEpMMmszNk4raURwd3cvWHh4dXZIRDE0NWYvbTV5ODgrZCttNXl3Y3ZIUlI3a2tob1NqT3dLK3pVZWZXUFgvekNJQmxzRERkT2pqZFBycDA0TWQ1WUg2OFBzbUVQUFlZakpqQ01FQmhSMWtGVXlMSHo3QW5NVmljQkJwZ1JDSm9tZlBiTUtUdE5pV01vdnZXZDMveU5iMzk3MnN1MGtwZGV1cnk1c2NFS1p1NnluRGVhYys3OCtmT1hMbDJhVENZSEJ3Zmo4UmpBYkRZcmlzSkVrUXhiQWRSMWZUTkVkczZGRUVJSXU3dTdnOEhnNE9CZ2JXMHRUZFA5L2YyaUtBeC9yVFJ1UHA4UEJnT1dsc2F4a214VFFveVlMUlpydy9ILzliYTNuejkvTHRaQkFPL3dEZC84am4vNC8vdy9HNXNiby9WUk5zam14U3pMMDZsTVBDY1JjWUZpVWs5Mko3dTcrenNIMDRONU9iMjJkN21XcXFxckt0UUNaY2VjT1BZdWFKUW0wTnd5SFN5OGRhalZjcE1CdHRkMEdJVlg3b0lPaFExeDJ3WUdYVzZER2s2d2tBU0tuTEd3N0MvMlpwZG1CL1BKdEpqZGQrYitNK2taejk3MW5JaUtCaVlQQitmdW9uQmpkNEg0Qmp2c0x6QThsRzA2bUNBYkRkYWlLalB2VC9jUk5kWVJwQTdFekt4UVVSVWxac2NjaFFwWnhQbjFLcFo5M3pzMVBtRlh1b1BQd0E3cDE5Lzc5Vys4OTVFekp6YWVmUEZ6ejE5NnZvZ0Y1MjdJNDRCYUN6anl4RVRLUkF4UTQvdUswT0dwdHdrVUFIYWpkTDVYZXlNcHNUcUFoVVNKR3FjWUNwSjhQUVcwQ0l0Wk5kMmI3ZXdzdGwvY2UvRzNoci81ZFkrODdkem0rWHZIOS9iUVQ5S1V3RlVwVHRpbmhFQk1hZUpjMXJ2MzNBTm5IanI3NExYNWxZOC84OXN6bWM0WGkwVlpCaFgyTGsyejFHZnp5V3dpODlsa2NlbmdwZnhTMGt2eWZ0N0xYSGJ1MUlWZTJoOE5SdVBoYU5nYjVzZ2RtRDBEd2lCQ0RSRFlwQndpaVByRE5LQ3NZL0RzUFhrUWdWSFhkYXdsVDNNb0tPRno5NXhEQkNxQUZPbnhNRnpYOWRyYTJwLyswMy82MjcvOTI3L3U2NzV1T0J3Q0NDRzg4NTN2Wk9hRGc0T3FxdXE2dnVlZWU5Q3FTaDVySVlUWmJIYnExS2szdnZHTkowK2VuRXdtTWNhNnJ0ZlgxNy9oRzc1aGUzdmJuT0pISG5sRXJSaHRsU25SbGljQ2NBNmpZZS83dnU5Ny8rQjNmMGVhSkF3S3FBaXVxSXI3SHJrdlNSS0IxS2dLWHhRb0ZycDQ3c1huNXZWOGI3Ni9OOTJkekNmemFsN0hLbWd0VkxPSDZ5WGVlV3F2d1NCMUZGa21kWnVMQVJhcXZwRlIxL25DZE9NdDBOWU53ZWdPVFRjWm9wWEc1Y3Nsb0xVRTc3ekxPSEdwMXRoWjdIenFpNTk2OHRrdmZzUFhmc09wOGVsMXJIbE9GRnBWUmVxeVY3WFArRmVXM1lGKzFWZUozZjd1SGw1U0dSRVFTSW15Q01WTFZ5OVdzUXBTZzhSN3h3elJLQklCWmVjdDZGYUhxS0lNbjhDZjN0d2E1c09CR3hJNHFrU0JkMmxFS0RGNTh1Q0pqMzM2bzArOStOUzE2Ylc1ektnSDMvZXplcXFzY0phTEp3Z2dwQ29nMFNicWFDNFdIZkpmZE5XWElWSzBIVUJVS1FxSnNKaHJMQ0lTbElSU3puTFg4K3BDRldNUng5bmFxYlV6cjcvbm9UYzk4T2JYYjd4K2lGR0t6TU01SlFUVWRTQUhuemxCVk1RYXhUWmUycDVmdTNUNThxVnJWN2IzOXhhaGlxVHd4TTVGalUxRE5oQTNlaEF1ZGJram43aWtuL1hHZzlINmNHMTlNQjVrL2ROcnB6SWtLVklINHFaMmp3V29nUXFCWWJKRXpJMHNFWm53aFFhUm9DNzFxeE9hWTVDbWJjaG1iYUpNYkxlenJpakRHcld0cmEwdEZvdGU3MVl0cjc3NHhTOXViMituYWZyV3Q3N1ZQZ2toUFBua2t4c2JHM21lMnc4TmgwTW90RzRvaGtvQW03YURDa1FnbFpTZUxTQWpOYXBhNng3MUFGU29yKzVjdVhUbEVubTZ2bi85WUw1ZmFiVS8zNiswcnJRS0NIRGdoSk1zY1FtSFdJaUt5S29DTWpXWlhuUitjSGRSdE9uRHBSMnEvenZrTEFOdHl2QlFZRVdQdmxSZEJqVW8xc0pFSUhMRWpoMExzN0lUMTNQOSswN2Y5NGI3M25CaGVFK0czQ0dCZ29TU3UwNHhnTmNpRU9PV1dLekh2NVVJSVZBQ0FRUWlpTmVtVitmRmRGN01SSU56eEV4UjZqb0VPR2NxRWFvaVlxMHpIWU5UbC9hUy9scC9iZHhiejVBNU9ESkZNUTQxNmhyMUU5dGYrT2pqdi8zNHM0OWZYMXlyZlpVTWZVMjFzTVpXeVV2RnZGOGhpRFo1bEc2aVNkM21kdE5KVXJCSmF5b0ppU205Q1ltVlNVOW4wOEZnME0vN0VuUXhYY1E2OXZMZXNEYzh1SDdnTmVuNS9vbitpZnRPUGZDR2U5N3d5SVZIenVibkFNcVIyMlpERU9xYUNVZ2tVQmxSejdIWW0rMWYzYnYrMHZhVnEzdlhkbWQ3cFpUaVZKMlNKekFFTVlRNlJrbGRSZ29KQW9FRHB5NUpLRWtwU2NnUHNzSGFjTHcrWEY4ZnJhME5SNlBCS0tPZXFlUXhHb0ZRQUI2SmgyYzRoZ09Jd1F5Q1lqNHJuZU0wVDI2V3JBTlFWWldsMFlxaVNKS2s2V1NhSklaaXEzSS9ON01PdFR2cnZtTEZIVVZScklKNDV5MHFESDlqUkl3SUFBTHFpSEJRSHhEcnRlMXJrK2xrWjI5bloyK25EdlYwUGhPTnc3WEJ2SnhQRmhOaFRmdXBNdFNwc2lxcHFEVFBFbFh0Q2pFZUJET3pJeGRqQjhxcllhc2xjYUU3TUN2UFMvOTlGWCtYYUs2cnk3ZnJhY0xFVGNaWUk0aVlIR3lyaUNoeFNlclMyZDZzeDcydDRhblhuWHZkdy9jOHNwV2VjbkFPM3NIeFhhLzROUXJFdUFrVzMvaGh4ejlTQ0VNWllBaFVFQVBxUlp4UDV3Znp4YlNxRnFwQ1VDRkV4MEZWSmJLcTQ2WXlXcFdpS0lRVFNzZTl0WlBERTJ2Wm1KV2dxSXFZOUYxQXJGRHVZUHVwNjAvOTF1TWYrZVNUSDAvV2twTEtVc3ZLUUFzd2xVRnVNOTBDVW9JUU5mS1p5NXVoQ3lJckMzdEpTQ3lxMTZWV29LUlpsa2FSR0VLTXRub1FFU24xa2l5aEJCSDFvdFlLYS9uYWhaUDNuTnM0L3kyUHZYTWpPVEhDT0VIQzZsRENKdzVBSmNFbHpoU0NCUEVnN0YvZWVXbG5zdjNjNVdmbmNUYXBad3RaMUJ3aVJ6RlBzSzRkczJQSDdDQWtVV0pRQ1pvbHVYZmVrU2RyZ3diMlBrbGRzdFlmcjQvV1JvUFJhRERhWE5zY1lHQTNzQUk1ZWc2ZXdkeE5jVlZ2bG9RM3R0a1I5V0VyeXJCeXUrNUQ2K1h4SmE4Z3E1TzI3dFNybnh2V201NnZ5MzJGV0NQVXFLdFFWcUVzUTFGSkZUUzhkUDJsUlQzZlBkaTl2bnZWWjM1ZXpIcTlmSHQzZTd3K1pLYW9VVlhyV0l1cVMxemV5K2ZGd2tJQ1NvZ2lNWVlvVWFKa1BtVWk2elNDdGtYVHltaWhldmlBSEk0UkgyK0g3NE11Q2RGUlBvNUluYUM1dWdCU1ppVE9lWElhTlZTeEVvMGdjdVF5VHFVUUxubWNyRjA0Y2MvOVp4KzRjT3FlaldRalJlcHVYZ3o1MnJIWEtoRGo1bjd4a2MvTnNlQXVQQUNCUkVRR0thVFV4ZDdlenY3QmJsMlh6am1mSlNYSGdBaFJKbmhta05ZaDFERW1XUzVDV3FzVDErZDh2VC9lSEt6M3M1R1dvQVJ3V0VpaHJCWEthN2o2MU9Vdi91S3YvdUtDRm5PWnpXVlJVeTBVNFlnZFNJSWxyNXRXSHUzenF1L1ZGcGdKcTNNeE1hSnhPL05zRml2ckNsQmlLL1AxSnR5Z0VwdTB2Q2pEZVhKT0hFZEhGYStsNjY4NysrRFhQUHlXTjl6N3lCYWY5RWdZanVFWkxCRVMxVGxpQjBWVXhBcGxRUFhTNVBMVGw1NTUvdW9MdTR2ZFFpdjFVQzlDbFNBQTJraS9nS0RjakRMRXFvaEJZaFFDblBNcEpTN1F1RGVxcTNvK25hYytIZVNEZnRZZjVzTmVOaGptdy9YUmV1b1NWaDROUnNQQlVLTU1YZitHK2JXZFFCS29zUTY0bmJONytOVWdaU1dWWTJld3JqZTVQaGF4eUZ4S29GS3Jyb1psVWswRzZXQWVGMFNJTVU2bUIremM5dlkycFh4cDkwb3BWVm1YWlZuTWk5bThuSmVocUtYMm1hK2tFaEt3OWdiNXRlMXJtNXNiVlNndFlHUzExNHZGSWtsVEFDR0VORXRGRVVWRWxpb1pqbGtxT2NvMWhzSzQwZzJmNWxBTzdoWWwxNnVIYllVMTFDU0VXeW50b3pNd3U3U2FQSVd5NTFSRW93YXd3Z0dzVVVSRkVMV2ZEbEpOaS8yaW10UnIvZldISDNqNG9Rc1BQM1RpWVE5ajBsRDNER0FsNWJvOFJlMmdjcU5IZjJ1N1RiZXJXK0dyNEtHL2hvSDRabmFMRTdTODlMcExYTXU2M04zZG1Vd09SSVFTclpKU1hDVGlJREhFRUtFdThleDh0T2xqVkJLazVGTk9NcCttbE4xNzhqNVdOcjlGb1VJU0VRUHFmZXgvNHVsUC9LOVAvZnBUVjc1WXBvdGt6VXNpbFpaVnZlajNlODRsODNsWlZTRk44c1JuaGw4cVVTUXlXYU1FaVRGSWtNd05TQmtrZ0luUUd5SjNLVDhEY1FaTW1GN0Y2cXhBcEdBbEZuTGlMTXpuSStjdTN4eHQzblBtd3VzZmVQM3JUci91QkU3MXNaYWpiNnV3d0UyRCtBNkNXS0NjaGZuMmJQZWw3Y3NYcjcxMGJYcDVOMXl1YUNFUU9IWkpva1JCWW95Um1HMW1UVVNOdXJ3b0NaTjRKbWVpU0EyZlR3bWlqaDJpUW93YXd0Nzd4SG5uL0tEZlozYmUrelJKc3pSTGtpUnhDYlByNXowR08vWnNndzg3bzI2a0xxUERzTkxLNWFxcWlrWVJpU0lXN0JaSUhVT1VXTWU2cktxeUx1dTZxbU1kTlV3WE00SEVXTmYyQ0hXTU1hcG9XeXZaWFRBV1ViVkF0bEVhT2lyWTh2V3RMcjhsVEh3cFZEMHVSSFByYnh6L3RjTzZRN2RhdkVzZGR6dlZ1dVRhbkR0U1ltVjdrY1Rza2JOLzRONnQrKzQ3ZjJHSXZnTWt4cHdUZ2tNdGNMNEQ1MmFLMXp3dG95NTJET29xcEdseVpLT2FrMHFBVWFlUGJ2cHlCcm55SVRlOWUzN1A3UzRRdjB4YmpSWFdkVDJaVENhVHlheWFsRzZxU1NUbndSUk5LYjBoeFpNNW02VGtpUlAyenJrRWZ1Ukh1Y3Q3MmFDWDlwcTJkWVFhc1VZMXgrenkvS1hQWFh6OGswOS8vT2tyVHgxVSs1S0cva1plaHFLc2dnalNKRS9UUEVhdGlzcHFRQ0JLQk45S0tFTXAxZ0FZa09hZWIrNThiYjBlUXVPVE1rQkNLaHlsQVdKaXcySWxWa1lRNCt4N2NvTzh2elphV3grdnJma1QzL3YxN3gzSXFKZmtHYVdKdWdUZWtZZXkxVTBwcVVBanBFTFlMeWFUc1BmYzNoZDNadGV1N1Z6Zk85Z3JZMFdlS1dGT2lCTVhwSzVEWmZXK1RQQ09tYnhFWm5MTVRDQlZsU2d4UkJYTnM2emhxQ2dBTURmS0VVMzdZUmltTTRPSmlJazFDaWs1OXZZdk5uNDJuS05XZEttZExyVGhLSUdsTkZWRXBlbCtwTnJXQVl0b294WWlFTkdZOUZJbFVZaVNDcUlhRWltYUVvYTdkcHo1bVBwRnZwR3RuenQxNW5YMzNILy9pWHQ2eUR3Y3FYcEtMYk1KSlltSW91UWNNVEZybENBeEFuRHNtWjJoUHQ5SUg5Zk91NVdWL3gxNW9YZUIrUGU5SFZHSDJkdmIyNTFzSDlRN2tRTTVTeVp4aEFhTlFhTEpkWnRieDBwTURUY2dWSFV2NlExN28xRnZQRWdIbmxLR0U2aENJeXlQVnoxWFBQZjRVNS81d3JOUFhOeDk0Y1hKTTI3SXZYNmZrNlFLOWFJb3dKUm1XY05QVUpDQ0FVZnNtUjI3b2l5MXBlb3JxWFQ0UzQzWDBNV1lDUkRTeUtxa1VPSVdpMG1abFZLZklLcldva0ZNcDVpSlBiSlVoL2VldnYrTnIzL2tEUTg4ZE1hZnpwcE1HaVZJQ0d3VUVRdHVLeUNRZ0ZCZ2NYMy8rcFhybDYvdFh0cyt1TDYzMkp2WHMwSVdTTlRsekJuQnE1QUlSRVUwU2lOZUs4ck5qTnd6ZWFzdXBxNDNreHFQUkxtSmgxdlh1TWF2YmZlVUdtdGFFZ0Z3cWc3dCtOZWMxdmJrdGhGalhYM3IyUnU1amgyMXB4TUtYWlJ6TUxRamZGZ2pOeVhJM2RLeG14cXJjOEZ4WkFjZXBQMnQ4WWw3ejl4ejM1bjd0cEl0MytUeFBKUTBFb1NkYTNVdnpCcWFCZ0IwTllHSHJJdU8zL1R3NnczZ0RkeEsxZjdMYUhlQitIZGxWZ0xROVgyWVY5TnJCNWZMV0ZTaENpcHdySXdBalJwRmxaaVlxRjFhTGQ4dGlJNWN3bW5tOGtFNkhPWGpmanBNT0FNUUVHcXBIYnVJSUlqUDdUMy94WmUrOEttTEgzdCs1OW50dlIxT1hUN3NSWlpLcWxxQ3pkc1paR2t6VW5JZ0lrUVN4UktJV3FLRnhmNGE3bHNyTDZNQ1JGYWxodWZmVENRQlVwSmc2K1NtZzVJQUpncVdwQUJubEl5ejBlbjFVNjgvLzdyWG4zL3czT2pzQ0VNUDcyRUZkUTBzS1pqVWM1TzUxd3JsenVUNnRZT3JCOFhlQzFlZm44WHBmckUzcmFjbEt2WHFNKzhTRjZWdU9zTXAwSXE1RTdrUVlrUHNNOEthUWxXZzJrUzdzZHA2VGdHa2lWK1oyR3Niak9CYWJlVHEvclg2cFNPbUJFcllONkhYUnBtcEVmNm9RMlZEblM2RmZyU2RiZHdGNHVQTmJwczh5eGl1V2xUVnZCNmt3M3RPM1hQdXhQbjd6OTQvVElicnZPNlJPRGdISjdYRUlENU5tdE4rby8rTEd6NjVOYWdlbjlYOTNlelF5N2U3UVB5N3NrNzJwWkcxUlp6V0I3TmllakE5bUpkRjBBaEg4Q1NFRUFNWWJYSmJSU1RHb0lndVpSRkJJQ2N1ZDcxaE5oNm1vMTdhSCtaakFxSW9vTncwcHRRS3hUUFZrNDgvLzVuSG4vemNwZTFMKytWQm9RWGxsUFQ5cEppQWphZkJyRUNqb2lYcUxSekJwQXgxOW9JYS94RkFHeml4dmdta2tWZ2JaN2xKMFZpSXJ0RTcwcGFsQVJBb3NJUWNrWVFDT0NEVlpKUU1OL1AxY1RKK3kwTmZzelU2ZVdIcm5wTzg1VzEyQUs1clRjSXd0ZmtmV2Y1VFNpbHFLaGR4dWwvdVg1OWN2N3gzNWRwa2UzOStNSzhYbFZhbEZ1U1FKSWx6anBrNk43V3VLM0RyNERhbVVGREVpcjV6cXlIVzBrZ0FRRG9QRjBLSXpFZmFhYTVRdm1oMUhaYkNnNnJLYXRvVHBnT1M5ZkxHQzRjYzZrL2E3T3BkTzg1SUJKV1NBTXprU1QyTHA4QlV1MU5ycDA2TnQrNC9kZC81RStjMi9Yb0s3OEFFTG9wQWFNSlF6WWs1a2pqRXlndTZJY3hBdDN6NzZ0bGRJSDZaVmxXVjkzNVZWdEU1cHhCRktHSnhNRDJZektkRktJTkdaU2lqampXYXdnWUFLaEpOTm9VOVZKV1ZXWnhIbWlCTktYV2FuRnpmR3VURHhEbFMxQlZpaUVuaWtHS09hWW5GSHZhZXZ2ajBKNzd3aVM4OC80VkpmZUFHdklpTFNMVWdPa2ZlTzJaV2tTQWhPaEZTSzdFamRTeXVTWlVBc0Vpb1pmQ2ErQ2FKdWRiTlJkRmU1MHBwa2xnSFZXMzhhR0oyd2NtTUY4SVJRYVVXMUpyQzk3alhRNllMM2VpdG45czRkOCtwZXkrY3Z1ZjhxUXRiNlZhS1hvcVJiM0ZNUk1rQkpJcFlvMVJvaEpTbzl1TGs2dTcxYTd2WDkrY0gxeWZYeWxpVVpWbldaWXkxa3JJbmNtQlBsczVUYWhKNWdCSlI2aktWbFZiTksycHFCT2hLbTJOVFZWcVJYbC95YmJ0WWpkRTU3RWdSUUlRNlZrQVg0K0NsRkY5ZEc0SHJzQ1M4NlZyZXRac1lSVTZsQ21WWjFTQ2ZKSm5qRE9KUW81NkZVVExZek5lM2hpZk9yRzJkMnp4ejVzU3BBUTBaR2FHUkpaRW9sclkxQWFsajBtOTBuS2dRSFlYcncvOThkY0Q1TGhDL1REdkMvTGVpSm1aU1JFQ3JXTTJLK2JTWXpjdEZHY3FBS0NScTNJUTJieWJXQVNrS2c5blNTdW9RaVlSSU9ITjVMeHNNKzZOaGI1aDZEMEdNcUdPZDlaS0lFQkVxVkh2WWZmYnFNNTkrNmxOUFBQK0ZrTlN6ZWpJdEowTFJwY3lPUkdNUlNrMUpDS3praEp3NEo4ekNyTVo0YXJRSXBDMzBVTElvYTlNMldGZkV5T3M2ZFA0aHlLcTRuYkl1NHB3VFRwd25Pd2hSU2NtclN5blJDbG9JUnpmTVJxYzJUNTg3ZmY3VTZNdzN2T21iQmhobVNOcG9LZ2tFMEFUZTR0VVdTQkdvZ2lMaTVlbVZhVEhaM2QvZDNyMitOOW1kbGRNNkZqWHFwTWNCVlVBZHRMYWlRWElnUmd4cVYvVXFDRGZVWUQxMGw3VUNtQ3VGRC9hcVlXc3RCeUcwRkNvbHFhaFNSdXNqTzI0MTRLMVRYT3VpTVRXdjZVdFRHMTdMUmhKaTRSUG4wbFNVcWhoalZCVm11UEZnSktYSXZFWVJlNXlkR0syZk9YRnFjM2ppL2pPdnovMGdTL0lFU2VNUWdCaldhS3JsYlhad1REYjNNaXBQODVPNmZBWU9RemUvZW1Kd2Q0SDRkMnVyWlFLcW9pck1aR1ZVQi9QSjNtUnZWc3pLVUZMQ3lpS2tZRlVTWXhTUUV0VksyaEtYTEl4c0VWVWhVbmJrQi9sZ1BGd2JEVWFPSEFPSUlFSWdFWW9Sb1VhMWo3MFg5MS80OEcvOTZzN3MrdldEcTdONlNnbmdFYVNlaDRVYnBFSktDbWRZck1TeTdDT21CQ0Z0SHdBYWFoSFFFbzl2dUNxWHlXYkRPSW5FeEk2c2JFeWh6am52WEYzV0NmdUVVb3FNQUFSaXVGVFRrUnVmMnp6endIMFAzSC9oL3ROcnA0Y1lHYVhmTmVFTFIyM0pISUU3bXFCQ0FzS2tPdGpldjNaOS85cWtPSGpoeW5PVkZxVVVsWlNSYXVHb3JPUW94TERVSlNZaTRvYXJwMTJXa2tDbWxRQlNSWWdOWitLUU8weExKd3ZXSkFncUtpeVNxckEwSHlxMVJZOUl2Rzl3VzAza3ZidXo3Z0x4TFV5ejFBY0pJWW8xeG1yUzJDQVZjY3BPeUFrb3FCTWs3RFBLUjM3ajFNYVpjK2ZPblQxMVpzeHJEbXdvekdBSGRnM1JnanV5R3poMlpCZ0FhQ3RhVmt0U2IrMUEvOTdZWFNCK1pjMWl1U29xeEt5UWdIcC9lbkF3TzlpZjdaTW44cVFPQWdrYVZZV1ZmWFFPRExaMExhTEdhUHdIZGlJcVFSa3VTN0orZnpEb0RmcEpmeTBaVWFNTWo0aGdQeEZSbHlpdnhTdFBQdi9FNDA5OTl1bUxUKzh2OXNuREQ1S3BGdEZaWWJTU21sNERNWk5JakNLaUFpSTRCMktCYWxUanEzVjdjcFJMY09pdHNySVR6MDBKdFFoSDRiYUtHZ29GZzBrTTNKbVZXU2gzaWRaQ1FyblBUNnh2WFRoMXp6MW43anN4MnJwdjdmNFVXWW8wUTVZZ2NYQUFPeUd1allWZzFRRldJaHdpNHI3c0h4VDcyd2ZiMndmYmU3TzkvZW4rZEQ2ZFZ6Tk9Za1FBa1V1OFN6d0lRVUlkQXh5SmFvUUl0Q3M5ZEVTcGVqSzVaOHR6S29pWUFPbUNHRWFQYTNwcWFFVkJ5QW9kVjRJYWVxZ3RrcWxodEdQenNhemd1d2Fnb2VzQTFuOEdUVk1TKzZDRlRPN3l5d29XNTJQcTFYdm5oL25nNU1iVzJhMnpaMDZlWHZjYk9USUhaMWlzcWhCeTVLZ3RMMXorWUVjVWF0NDIxakJ6VkwxN2RjTEdkNEg0RmJjbW4wUUVoUWlrcUJkbFhVNFgwM201bUpVeklYV3BKODlSbzlUUkNUdVF4UU1BRlVnUVVZaFBFbFdJd0VvZkhQdkUrd1RKUnJhUmM1N251WGVtbk5mVUZrZUVnTERBNG5wMTdjVnJMejcxL0ZQUHZ2ak1TM3RYcHJUUUZENTFMaUd3VnFFc3FubFJsMnNiNHhCamlFRkZtVDJ6QndBQnQ4eGNZS21lczhJNzdwanhxbEJXbDRTVWxFMU9TRGhHZzJOcXlycXM4bzhiR3IvTjFhT0thRlFJc3lZcDV4bm5LZkl6RytkT3I1MSs0T3o5RDV4NzNabnNsTWx4SkhCSmRDUW1TTkFFc21zSmtTSUlFVEVnQnNRYTlhSllUT2V6ZVRtOXZQM0N0SmdjVEE2bWk3bjFkWTBrUXJxb0MwNmRTejBuRG82aVNwQ2dNV29kUER2dnZYT09taEpoRlJGaXRsaXd1Yzh3MUNDdFl1aGEwaEc0QzAxMGQ3VkorRk43YnU1NnhMZTBWUiswYmR2WHVRRm85WkxhaTQ2VXRGWkVJQ29wcDV3T3NzRWdHK1F1ZitqZWg4YTk4WW54aWJWa25EU0JMMlpRQ01HMXhIRUNxelQ2M0ZiR2Fkb0JBSWdhOWxOc1d3VWVVUlQ1c2grSXUwRDhTcHV1UHJSOVhvVEZ3V3l5ZTdCWDFLVTZjb2xUVXBFb01SQ2hFVXV3NGpxb3FISVRnQ1lDU1ZRb1JJUUVnMlRRUy9KaGZ6anNEWHZjNDZicGc5YXhzcEo5ZzZjcHBoZXZYYnk4ZitWalQzNWl0OWpkUHRpZVZKUG9oWE9tbkpIUXRKaUlDZ0JITHVHRWxUUXFvbmltdGtzUGxzNWNXeWgxQkpwSjJFbEs2cnBBYzZQdVJxcXRVOE1OR1Jtc0RFalFncGlZSFpFVndKSUdRdVJCT3RBU0xuRGY5MDZ0bmJ6bnpJVjd6bDQ0TmRwNmFPUEJWb3VBSEp4RHd0M0JhbnhQYnIxUlVraU5za1F4Vzh3bTgrbmVaSDkzc3JzejJaMlcweHFoUnFpa0RnZ3JXcjJ4aWlWWTJRcGdWRlExU2hSdEJPYTdvQkVJcWtKS0tTV0hPaEozY1dIejZheXlVRldOalcyemdydDJFMU9Ra0NWQjBYbkQxTFRFc3dVQXRJRmZBaURlTTFRMUtpSWd4T0s4T2ljdUxNSzROejZ4ZG5Kcjg5U0o4ZWJHMnNiYWNEekF3TU41K0pWcnBwbnVNTHRHQzZEVE1BQmdpWGRhTWlXUDdZRDE1YkM3UVB6S1dvTzhka21KUm1wNlJtclFVTVV3SythVHhYUld6R3VKWU1CcEhRdVFnTGdURnJiekVVWEppc0lNaTYzRU5rcWVwZzdzNFRPWERkUEJNQnYyMDc1bkMxQnFIWU93TUhHRUtyUkdmU2xjZXVINkMxOTQ1b21uTHoxemJiWTkxMFZCZGMxaHREa3FRMWxXaFVaaEpVZnNHaFY2NmZ5UlZlUnRYemYvMG1hbXppd0o0TlFLQ0EzZDJtODFkQVpGQzhSUUVyZ29KQUNKcW9LSm1PQUlYQzlxVHo2QlQ5Z244QTdrbFgzMHB3ZW5UNDVQbmp0ejdzTFpDMXVicDBZMDhrZ1luQ05mMGNaa2FpS0RVR29Zdmpha0JZU0ZGa1Vzcis1Y25WV3pnOW5CM21SL01qdVlsNHNxVklFQzliU1N1Z3BWakZGSm1ja2x6SjZqZEZWekVsVkVvcXBBMFBjOUZ0YW15M0pYOHFGcG5qVkZINGM5WUpWWEt3Ly8rOENVS0hiOWtreDJaQ1VRZ1hiNkpkMXNqS1NTZ2dnTTl1UWRPVGFjRlVZQUNXc05qZkRrZTFsdlBCaU9zdEhYUFBob1JtbWFabW1TWm1sdVVhOG1kbVRNKzhhVmFYL2pWVHBYZDRINGxUU0Yxckh5cnMwV3FVZ1U1N2h0UTZPVjFvdXFuTXhuczJKZVZHV3RwYVpCS1hZWmUzdHU1QmFPWEJSRWdEb21pVUZyWWVYYzVjTjBNTXo2dWMvSGc3WDJla1l0b1pab2FROUZEQWc3Y2ZmcXdmVkxlNWVmdWZ6Y0Z5OCtmWEgzc2lRaVRzaVRUNTF6REpXNnJrS28yS0dwNVYrQjNjTW92SkoyVmlKMUFIZWFuTHF5RjJqZFZHNXVMUVdwU3loS2pFMkRTbWtxa0lsNldSNmpoS3FXS0tSd3pJbnpLU1ZoSVJTWW9tWSszeHh0bmp0eDl1ekpjNXVEamZ2TzNwZHpiNVFPQnpSSUd3VWlJbmhDSW9xcXJtTU1TdkNKOTg2cmhZYWhnSlFvRjJXeEtPYnp4WHdoeFF1N0x5N0NZbDdNcDdOcFVSVjFyQVZSU0pwS1YxWnlaR2xBdS8vRG91NkkxcXNGSFNIVzJnNERSbmd6Ui9rdUVOL0NsQkJiS2JjaktMeDZ5SmF1RGFrZ0tOUm1qdFNJb0RLQkphZ2piNEtFcW1CUTRwT1VFbCs1SHVmOS9tQThIRzJzYlc2c2I2d054NzJzbjFMcTRKUGxCQXNSZ29pZTY5SGRFdWZmNzZiUUtoYk9tWDQ1Q0pBUUNTQm1NQU1JR2t4OVlsWXM5dmIzOXhkNzFJK1I2bFkyZ2J1SVZlTFRCcTAwaXJRc0N5S0NHT1dYbFJ3NGdVL2dQSG5QeVdnd1hoOXZPRXBhNkFPZ1VTcG1Nc0dIR25GYmRsNjRmdW5xNU5wSFB2M2JzekE3S0E5bVlSNG9nRlVvS2dsN29OTUdhbUoyUy93bEhJYmpsbVBRaElJTnV0cDZ2WlhrVlR1emhBWGdZS0VBSWpRQ0RpcEZVVFNmT3lZeS9wbVFJS0dVbFIyWUlrZ1lOVkNEYXRwYTN4cmxvNjIxazZjMlQ1ODVjWHByOCtUR2VIT0l0UXhEUnRJT0JRMUxyNGxvVzFhOTVhS2hvUzNYTlVLRnFxaUxXVEdmTGFhellsckc4dGtYbmcwSVFlb3FWbFVvNjFpRkdFVEZPMit4RzJxYXRXbzdseFlsRlR0V0RCdTZDSHkzeFBrVzFzSm1sMFJUR01OemhjWFMrc0xOOVpabG1ZcUVHRlVzdEFZaUJyR0lldWNkT3lLS3NkSElkM0F1RUVkU0JTdDU5b2xMTXArbExqMTE4blF2emRjR2EydWo5ZkZnTktDQk9kZGFJVUZxcGZTL1ozRUozQVhpVjlZVVVrbEpETmYwa21naHE2M0tEQkxKT1FWRjZMU1lIeFI3TTlrUEtDV0lpRkdRbTJ2U09XZm9hWE5rbS9XVHdxdHpYVE5mRVZKVmMrRElaMG5XeXdhOTNqQkxlMm5TYy9BT3hNb3RaamJKcm9CWUkxeVhuZWV2UC8rNUY3N3d4TVV2dm5Sd1phNEZFaURSTWk0NmtiWTJVdExFSzdxMzNZTUFaNEUya01JSnJNVzlhMnVwSVczZ0cwMVhFVVVNbmM0R1JMVzVvMlJ0YlMyS0JJa2h4Z2kxanNVTzhFclVOTXdrUjQ3Wkpad3d1YklvemYyeHovTThId3lHSXorK2IvUEJrOE90VXlkUG45dzRNZUpoaXRTRFBieHI2VTFHZFdydmRDNFdKVG5udkNOSGx2T3N0UW9Jamx5SmNsWlBEK1lIQjlQOWc5bkJ2SmlYb2R3djlpTmlsRkNIUm1ndFNJZ1NlcU8ra29oR2dVUU5BcEVtUXV6dml2N2N3dHBqczV4N3JWNXBxMFJLQlZnWkZaRnltekVHMnZhNVFrMmMxMEpKek93U256Zy9uMDB0MkVaS0RFbzRTVGp4Y09XMDhPUlRsMlpKbGlkNTZ0UFVwN24wM25MK3JRTWE1bm5lNi9YeVBQZmUvOTdBOFYwZ2ZpVk4wVXlkbXJ3QW1xSXNBQklpTzBaVHJJelE5T0tWNTNhZUNsckZLQkpGWThPalVxQUtWUU1YRExnMjhDcklYVTVpZnFUUWNzWkdpZmQxR1dJdDNxWEQvbmcwV3N1eVhrcEpEeG5iNXRpSlpvRFZ4SGRxaEFwaER3Y1haNWVmZVA3Sko1Nzk0cVdkaTNPZFJnN2FoRWJzZDZPMjFYZU4wbVhySTVQQ0tWUGpGckxDYVlQRjFCS1NtcGs3bXZTZEpzeXRiSms2SXM4dThaNkpack1aTVJFM1BHWWxpQ3BVVXFKR0JLMHAwR2p5NkthMlJtQVJzWjcyenJtTWVqeFBFa2s5dWRSbmE0UFJxYzFUNTdmT2JRNDNUbTJjR2lUOVVUNGM4akJCeWsxelZjb3dhSjB0aUhhNmxLWmNMSzF3aEFoRWdZZzR4YlJFVlZTTGVUR2Z6bWZ6eFh4UnpvT0VhenZYQlRIRUVEWFdzWW9xTVZyUzd4aHA0OE54Wk1WeXVxRjZLRWU2WEtZTG1SNnlWc0xwbHN3TVduMUZSKy8zWlQ3Mm1BOUJVQ3ZSMXVXbkxmVld1NFVKS3krSnV0M3JVcDAzYkVuN2RnVnowVVhEY0JTRjIwMWk5VW5NblBvbWRkSm10Z1VxcE9RSVFOUlloenFxZ01oYklscGFTWHNCSzBIQXlxUGVrQVNzek9ERUpYbVdaMm5lUjM4dGJJejllRFFhamNmajRYQ1k1L250ZEFuNDNkdGRJSDZGcmV1VXNVb3N2V0daNXRsWXdIT1pUYWFUeWVTZ3Fpb2xkZDY1eEJWVm9heGdDSW1TV01zR0ZhUXVhK21yeTlMY2xxUk9yVUNFSVM4UitQU0pVNWxQc3pSTmtOcC9JMklJTWZOWlFCU0lKUzVxaElQRmRLL2UvYTJuUC9MU3dhVVhYcnE0dmI5ZGFjMFp1OXdoMVVvcTVTQUlVV3ZWQ0JJaUpXV3AwSlNjYWtkRklnQkpraTV2V2F0eUVBSFU4V3FrQW0zb29Ea3dIUXl0aVBhMkIzTkZKYTdyRnJFaUhXZHZtZFNSY3FkWTFKTG51Si8xZTBsdlBCaXRqemRPckcrdXIyK01Cc09CSDk4M2ZEREhvRk9JSjVDSHMwd09OMEdNWmc4QUVoWFRXa016anFLRmJGU29Rb3hWcU1xeVhKUkZVUloxWGRkYVhwOWRycldzNnJxcXE2SllWRlZaMVhXVVFJNUVsenRvT3l1a0ZjZG9xVTZtSmNhUk1uZnczWUVVQUtwREJQRlNXSzVWWHpBZU5JR2FHSkFWdDZocUNMeVNhWVFGaDZoVDZPdlV4NVNJb0M0R0QzV0FvdHNlTzBjTWk4K0lDZ2lpSWhKSmlDTTc4dFMwazZHb01jWVlSYnozMnRCTG1Dd3p3STZnS3VhVHRPZGRPK1dQMVh1bE1SYm5xNFRGTjVVNlZwVkRCS0NvU2lKaXg4NDFaRVQyTHBWa0t6dVZhcGI0SkV2TnNzUjU3OXphZU4weE8rY1Q1NzFQRW5nSDUrRmJEdnZ2dGQwRjRsZlRGQ1lESDRwNk1WL001OFc4ck1zNlZGRmowa3VpaHFneG1BeHdjNU93STk5eGJUcWNhekpESzhXNG5XWU5LU1ZKbW1kWlArLzM4bjdXOUoxcjVIMDF3b0VUNzJ3OUpkVUY1dHZZdnJKNzdmTE81WmUyTDc5dzlZVVhycjE0ZlhJOUcyZVJhM1VSWHNDcUZDMTQzZStOZ0NhcUs2S3grVmladVhFeVd5WVFNeE5VSmRLS083VUNMbWg5b3U3Z05INDBDQ3RRUzIxS25UcDBYaEhvZ1hTalUrdWROU09UR0xheU02MW1ZaUpLWW5ZaU9UMU8xc2JqdGZYeCtzWjR3NTRIMldEa2g4WjhjaTB1dCtqYzFlMnREQ0FkanF5OG9LYmlKa1RVZHBhRDFuVUlVVUtVZURDZGhGQ1hWVlZXeFdJeE56R05TdXI5YWhKYURweEFWSnY1aDFHdkcyRlFzYW9mVVVVK0dMYlVRdnVTdG9obW05RVVBV3JyY2VaSlNxcWdkZ0Z0d2xCQndxcnYyUUF4WE9JSFVHNGcyK0l0VFdWOEE4RVdpYmRPZWF5TVNpR2tyU0lKbUpndGhpdXFpSzE0cVowQ0JxcGl6Z0JicTcxR3pJZUphRHFkZGgvYTU4NDVyMGtxdlpTeUpFbXlMTE0rcldtYU12TjRQRjQyTG1tL2traXlUdXVKSlBZdkV4S3dVeFlSdTV0bGVkZTB3L0FkM01PdmtOMEY0bGZUVEhUWTdwd2FkVkV0cHZQcGJERXJxNUljSWtVbHNUYVI1ck8wQ3BhSExoUmF4ZUlsQ2pjZnhqb1FzWGMrOFdrdnpYdFpMOHQ2cVVzejVDMnM4T29hQlpVZ0tLUkNQWkhKbGIwckwxNi9lRzF5L2ROUGZub2hpM21jVjFSRko1R2xqcFc1ekVHRE5YQWo0alJKckNtbjhlMmk1VTNFMnZuQWNtNnNoN2IreHV1djNSZzkvSDg2dk1qUnU2WEZqeWFjM1lCMTJ4aENtM0JKcDlMZnJJZmhISG5IYkRyeERQYmtIUG5OdFkwc3lVZjkwZHBvYldOOVkyMjhQaGdNKzI0dzVyVkVFbWEyc3V5Vis3WVpEWFRsUlh0NCtjWjkwT1hOdjBRQmdjd3dDd2doaEtvcXk3cXE2NnF1SzVGWVZvVm9OQkFQSVlqRUdLTkFkL2YyQldqcHoxRlVnZ1lsZFlsVGtxaGhoWDZub21CTzFXclBPckJXQmRUQ08xalpGelBIMUwxZFRhQXgweExmMjZaNVRLd2hVamNKV2c3QkxrbFNVZ05mNXpoSmZPS2M5MFRqdk9lQVZRQzFMTmw0UERZZ052ZldlODlnajdTUE5WNlp2blRiV2NNNklGaUg3ODVUSWI4eWNONk91YnRBL0JvMGhaYXhaR2NEdFNxa2tHSlJMS3BRWHQyKzFsQndyUWM3WUJQU2VFT2djTlV2UHZRSE5xRmt0V0lRSlFaNzlvbFBQU2Vqd1NoUDhsN1NiNjg4QTByU3VpWVJjb0FuYlFyMllvMTZpdGtMZXk5KzRka25ubm5wdWV1VDdYa29BbUpGNVVRUDFBdHpFM1NOTVlZWVJFMEkzM0p1bGxzRUViRVNSMXFWcWJ6UlZuWUgxRmE0dHJQbGJyZTZRRVh6dG4ydFNvRklXZythT2poT2ZOT0pZN1VEbTVJdXFnV3NqVWNqdGV5TUVWWFhvZEgySjdheWNDSjIwZCszY1YvUDliSXNHd3dHdy81ZzBPL25XWjU0Zi9MRUNVZnN2YytRWmtoTmtzWWhTZEJ6U0k3c0g2RExxdmFqdDcydS9HbmpIN1pyVUVDMENWaXJoYkRSSkdITlE3WWFTeEhJb2xnSW9zQ1NoN0Z0TW9LcWpxcHRLR3NGanBsWkd6UlkvZ3VrTWRhMmxRM1BoY2dDQWgycHdPaUhUZWthUWFUMmliTzJWUllmWTJLQ2F6dTlPdXYzaXFab0RoN3FqamdXSUFCTnc5eDJJdEwreXpIU1ZYcFplMmdzOExVc3JtbWZWVFdzaml0TGJid2JvTHo1LzhyUC9WN2FYU0IrTlUyaHNTMzZhT2VYRWlHQ2VHWG5TaDNyc2k3S3Fvd2FtWW1kSTBjMXd1MG40VWtoTWJhVlljUkV4b0YzNExxS2cxNS8yQi9tYVo2NHhEbWZ1RFNCZDhvckxjRUVGRUVDeEtxWlgwdU51QytUaTFjdlBmM2NNeS91dm5oeC91Sk01MFd4S09zeVNDQ0dTNWc4Q1RVcVBIQmtYbXEwcVhhdFg2Sjkrc3IxYUYyYStFaG1uWTUvQVVCSmxDdnRDbGRiTENiQW9qRVFkRWsvbTFnbmlRZE0yNU9nM0ZXK3R0SXpEVC9QWFBOR3hBNUxBQ0p0UkNXeUpQWGVaeFlGNnZYeUxFK1NKT1BlUm5vcW8xNldadjI4MSt2MWUza3ZTelB2L01pTjJ4bko4dVpudUFRNU56SEtaV3pCTG96RHN3Q0xzNU5yUlBkWEQ5N2g4TTdLQzRJeWpvamdBRTJEaTA0TkIwWlNFU2hBQkk4VlpPeFdGUkVCNmdvN0FVU0lvQ2JFdG5DWUlrUUJBOS9KZkpyNkxFLzdHYkoyNEtkV08rMjJMbWlGUWluR0ppemNQYjcwOTI3d1hRQ0UyS2psdFpIMVZZQytDOFN2UGV0dUZkSFllWDVXR0RZUDg3MkQzWVBwUVZrV0NpUkp3aWxYcUlYbHBpczcvSXBNSEE2Z2xyQ2xBaElsTUl4V3lkNkVMTklrN2ZYNm1jOEh5ZEN2emtjdEtSVURTSU9FU0VvSkEyelN4SE1zbmxrOGZYMSsvY3FWeXhjdlg3eTZjM1Yvc2x1RVJkQmF2YW9UY2FvczZsUkpSU05XWEpMR1ZnUEd5OEJ4ODlka21wdFdmcXNoekpWdnJaWWpLb2x5M1RhWHhFcWdwcWxjN0xSNHJOWUZRRlZWQ2hFUkFqTTdnRldob3YxZUg3Q1NtTWJuQTRnZ2k5bWtLYW0yV1hmcmZFbUlhTzlnK3cwRm5IaFhwbDRUNTd4bjc1eno3QjA3QW1kcDVzaWxQczJ6UEUvekxNdVRKUEZJUnVtNmh3VjRralJOMGpSTnZHZW1ORTFOcldrWkFRVXpLRzFLRXJqRGRKdVlSMFFMM2xLcnVnQ0FJSVRRUk80UGg0UUZUYlJZTEJiY1VFZWdhS1FFWXd3aHhxWWpxa29JMXEwMmhsQTNGb0xFTUQzWWgwaXNZMVhVZFJsWU9VLzd2YVIzNGR5OXZiUTM3SStHL1ZHZTl4THZpYmdKZ0I5bk4xTjZXTTZLOU5DTDFjdHFGZEljb3gxWkRzOEFic3FGZUJWUUdIZUIrQ3ZIVkVXMEswR3plWnZPNjlsc1Bwc1hpNm9xWTR5Ull2QkJlRVhlM082amRtTGVyR25sV25MT3FTcWtrYlBSYURrdzZ1VjljOGl0bHNRMXdqZEo0ck1reWZJMDY2VjVqek52OS9BcTJ0azlTbEJGNENndUJ0UUtxVkR0bE5zdlhYL3BwZXVYZHFjN1R6NzNSS1ZsRVJlRkxDcXBsRVVaeWlKT2hKY3o3cmFsS1JweFpIUzdEMEFKVEpLUUhya3Ayd0hyRUpLZ1BRNWRwMGpDTXFFSFN4N3Fpa0ZKSVBrd2p4cEVoSWdkZXlJVzBkaFFDZHRDYVcyMC93azY3bWZRYU5MelhTc09nWHJ2bDI5RjJwK3dnaFFpTk9uQnpwTlQ4K3dVM0dDOUFTV0gwaWpVM1NjTjFqT3p3V3FYenJKZUw4UFJxQW5TRWpIWXNXTXdLWHYycE54KzRvaVlqZG10VFdOVFVRVlpFeW9JVkZTV1ZMQmxrNUVRNGh3STFzZzZOamxDVVlWOUVwcE81V3BSNGt6eTlDRGR6RGMzMXpjMzEwK2MzRGg1YXZQMG1hMHo2Nk5OVDk2UlR6ZzlqSm5IT2FzQWdCQndyTnNydC9yU1VTTVlvZWM0OEw0WjByODZPSHdYaUY5dGkzVTAyazEzQlVTTnFoSTFXcnRFaFZheE9wZ2NIRXdPWnNVVVBjUUdpQnNJYmp6b2xlbjdJU2V4bllwREZDQnJJOC9zNnFvbXNHTjI1QnFFaWlKQWttWUFHSnk0dEovMmh2bHdsSTBjbklnNnNLT2pVNzBZUVI3RUVFaEVqSWdWaWhyVlFkemZXK3hkM243cDByVkxWM2V1N0UxM0YrV2kxSElTSnBFanNGU2xhQjhtVUtsb05ZTXNKNlR3VFhOUGRQU0pROUdJbGZ2TVp0ZXJYWk9iYkJoYTVmN0RIQzlXcDRXVXRRRXh5RG5QN0ZRMGhwaWxtVVVrdU9WekVUR3BJSlRVRENFd0ZOT1ZEV3EzYVhsVEpjNGI5VzA1QWpRaGtkVE9WWE9PMnNpczkwbjdDYlJSRHRKbUlHa2p1OTNCVjZBV01ZMDRreVhoVm5sRG9uQWI5YmI1RUlQdE9Cc1JSVHFhaFIyTHRnMVZiTVlYNDBkRVQ1SFJGSFUyYkFmcjhLSk1TbzVkbnVhajRXaHR2TDYydHJhV3JML3A5SnMzc3MyMTRWcU9uc1ZZSEh3cnUyT2g0WldKemVGaTRtN0hWSTlQc2JYaHUyTWc2OWdQSFZqcnlIcGNMTU9TazAyVXZ2MzgxUWxMQUhlQitOVzMxY08vVEVhcGFPeW04UXF0WTZqcnF0THF1YXZQSzB0N25kcVUzM2hGUW1Sc0lXcDh6SlZUMjB5WkcxZXltYkFmMGpwcCtLTzZEQ2RhbXpzNEtKTzZzNmZQZVU0eW4yZmtxRTJwVVlBeitLSEcvUkNDVW95SUFaVkNMWGRVb3RncHRyZDN0L2VML2FldVBMVTMzOXZiM3p1WTdCZDFhZGtrSVZHbllESGRZWU5tUUlWUXhvaUdlV1FvWkk1OTI1MlRPaUJXUUVrNVJjNUxEN3JML0RWalVmdEtMZjRnck1oZEpDRTBRV0VMZXBJaWhOZzE2VmlKNFJKQ1RXMnJKSVV4OTBnSnNTWHVIdkhTVlN3dkI0VnBVRFM5bEVJREJHcUh2ajBKUzhGUmJWbHBObmxQdkc4eWtCMmpUMVhobEROdEZQUWJ1TGVhNFdnaHFTNXRSY3hFb09nVFZRMnhJZVBBWEdrQ1YyWHAyVE03VlpYR3lhV0VNc3dwbzl3N1R3SlcxMHY3RytQTmNYOTgrc1NaWVc5MFl1M0VpZlVUNjhQMUh2b2VIcUNBNE9COUkvRFB2Q1JsTndlempVRTNlOXhHbVcvWDdnd25qNDhQMzNMdGQ0SDROV3JIQVRFQWdYUVhxRUl0UWhkUXoyVlJoS0lvaWtXeHFFTXRLdVNJbUp3SkhLdElvK2RBNUlpWlcxb1NzQVJpZEhQMjFWKzFvSWhKUlNoTXE5dUs1YXdhanp3bm1jOTZhUzlQK3IwMFQzMmFnbExGTXJsSHpaWkhOQ1MxTHJrdkxXTTZRaGFZNzhmOW5iMmRuZjJkN2Qzck8vdTdzMkp5ZGZ0cUpXVVZxenBXZ2dpRzgwNDlTdFRCR3BzMno3WWI2cndIZGV4YWMrYUVsSE9Ya3picWFDM2tRbFd6UE8yeWRKMUZLQklmTzF3VFFKVVZVUFV1SWJRUlROVVZEZmpZZ1duamhscG9WUVNyaytEbWtCQzFkS2hXbE01MGdwUWFLcDNhY0tMdC9LYXVxaVlXMFhoeFJzbENXWllNNjRYaW1Kb3lEV1ZlQkczNlhoMmU4ZmY2L1RaTUlxRWhFU3BCVWtmUWFFR3FSaWVhMkNublNjYktHbFdDa0twbm4yVjV6dzFQOWM2dDl6WTMxemMzMWpiR2cvR3dQeDcxUjcyazM4ZUEya0VMMHRDMGhaUzlhN2tjNnRSNWVFZHR3WkZ0R1RXUmFMdkszSjNSeStpT3NmVk83VlhDNHJ0QS9KVnU3U3hWUkZWWVFSb1FaK1YwTXAzTUY3T3FyaUpFU1gzaUZCTGJ1N29wZXpEMUhBQkhyNjdqcnpWV0pLS2twaTVCUXJCMm9ncXE2MkNFWEVjdTgybWVaRm1TWmk0ZFpnT3JrbkRPT1Y1eU1BK1RrTGg3TzBlaEVBZW5UVkpJS3RRVnlvTnFmN3FZYnU5dlg5dStlbjNuMnQ3KzNxS1lGM0ZSOEtKR2JlSkhqYmFaSXpDQ3hUcmJPRVlYWHc2eDdpcGxpWllJV0ZXbDNmSk5qcndKVURpU2xPRFJSSlNiTnRWTUhkY0NqWkM0S2hSQ0dyMUlwMWZiUGdPUTJKV1NyQnhjSmMrcGRwU0ZabGl5U2pZeUZscGJ0TklNR0F6WFZGbWpVVGkyVFZJUkpvWjJWRmtDSUU3THBBNGMwZlFRb1U2ZHVTNnJkcmh0WXMycVlHRWZ2Uk1IRU1ONWNna2xDWG1ubkx0OGxBODMxelpQcnA4OHVYRmlZMjFqUEJvUGs5R1ExbExrSHM3QmR6dW5EZCsyZWQ5VWJHb01Lb0hWSVhGd0RpUVJISkVzT1NBdHpEWEtsb3JHSTc3OW0rR3JFNFZ4RjRoZmRWdU5iVkgzMVAxWDJ5QmVNeGR1bXYwQVdzWmlYc3huaTltOG1KZDFGYVUyalhkeUJDTFJHR01RaWM3NzI2ZTdzVnJkSE16TGFUb3NnWlRnZldJNThrWmppTmtUTTdNS09lZVRKTW5UM0FnQUthZStUZVYza1RsendhS0tUNzAyVkF6and6WjBQZXNpR2lFQm9VSlIxRVZWbGFVV3oxMTl1Z2p6Nld5MlA5bmZtK3hQWnBONU9TOURWY1pLcmZzZm85RTFZZ2hKZEpWU0JCcXZzOHNFbXVhRExEMWxVVldvUzZnSGNjc01YdE5LQ1lscjBGbmI0QUFCa1RRbUttMTlScWZyUklDS2taZXg5S01CZ0prU082ZHRja3lVQktSTmFWeEQvOUN1Y0VYYVhrME01bGFkaElrOU93SkpWQkpZN2FLS0NJbnZ1NGdvSWhCSUVCV0ZFQVI1Mm5OZ2huUGtHcllGT3haL1lyU1YrZDZnTnhnUDF6Ykc2MnZEOGFnMzZpWDVxRGZLT2V1aGx5RXpyRGZIdHRlRWVyVU5LUURkdUFTdFVNM25zOGxzY25Cd01Kdk5pckxhT0hucXhNYkpNK3RuSE5nQkZBN3pJbG9nQmpkcnUrTzR4SjNDMWQzUXhGMzdrdFpkMEFDNnhNRU5TeWlhcEQ4VUNCSzdUbHdSY1ZFdDVzV3NxSXZKYktMVWVGdHRqQlhvQW9yTnlsYldpNVg0Y0d1a2NJYTdiVExGYmp4UTI0amU1SFcxbVRncmFRVlJaa2ZzbmFYRnZTUFBjSU5za0hDYStTeDFXVUwrUm8zWDJPYXRpQmhRZ2RES3JkNGVuRkJoSGxBSFNJMjZrcktveXpKVXRZUVhMNzlZaG5LMm1CM01EdlluK3dmVHlXd3hLK0tpOW1YazBCNU9oUjBLb2lCaFJjWUlyWE5GVWJvQ01ISnRWWUtGQWxxM2V1bjhLcURlU1h2TGRDaE1yVWZjb1hBYjNDZHFXd0ZKR3oyMkFJWDNYcHZvYmZNVENnaHBpUkFocENUU0VFQklUS2F1a2ZGa1M4b1JNOGdKMDF4VFRiMVBNcCttUHN0Y2xyck1Jem14ZGpKMTZUQWJEdnVqOFdBODdJLzZlYy83WkgxajA5UWUyZzV2VGR2TjFXQnVsN3F5T25pUnFGQnlVR2lOZWxIT0YvWGkrdTYxTXBhTGFsRlVDeE54Qm9ISjEzTTl1WDc2d3VrTHA5ZFBaOGdjUVBHd0owdWRKSWtvSUhjby9rdkhYTGEzV3B6MFRyRDRMaEMvTm0ybFBncG9wM2p0YXpSblI0RVdpQUdFcU0yc3VvbTF4WUFna0lQWmZsRVhpOFdzcUlwYWd2UHNFKys5SzZxeXV4STdac1VTN0k0RUxEcmx0Q09iQ2RSMTNaS2tMR21tcWhJaGxEcHB3SVM1MGRsaFVrNDRjZXBjcHpTWTlySTBkWnhBS1BHZFh2Q2hlMFNoMHZUeEJJUFlNU0NLWUszN3VtTmxYck81YkFxcFVaZW9LbFJCUTQzNjB2YWxNaFNMc3BqTnB0UFpiRGFmem90NUhlcmQvVjJCUkRFdERGT21qNExvTXkvV0xZUzZFTElvNEh4RFFFVURsMjJwR1ZaSHRpYXJ0dW80NDRaN21haEw3MWxzQkNBczVrV0gvaTBkallWb1hwVkNqUnBEcTNwT0Rwd2xXY0krOVdtV1pIbVdwMG1hSmttbXlYMmI5K2FVNTJuZXkzckQzckNmRDNMZlMxMlcrNTVYSzhKT0hQbE9JcU1kKzZtN0JwYm5HR2hyWVZhU0U2Z1hjVzV4c09saU9pOW0wOFcwcUJma0tTSUtpMmdFZ3h5Ukk0WUxjMDJRalh2ajB4dG5McHk4c0phdU9Tc2lXUjZPQm9WQm9zM1Fmd2ZXWFBXM3UvQktnOWZiL3M2clluZUIrTlUwNHhXMFFFeTBjZyswSGgyQXhrVnRvcEUycTlmV04yaGJsQ3EwME1WME1aM05wMlZWUkNOZEVJSUUrNm1XVzlEZ3lmSStYSEV3V28rNDhleWFJbUpMd1ZuUWtpQ0VDSTNTS0JqNGhBQWxNc3BxVXcwTXBWaUxpaUlxS1RFN3p5NUpVczlKNnBMVVoxbVdKUzdwd3BxT1hlclNEZ3lPOFpGYTVCWlZnUWlpSUNnMUZYVFU3SmNxU09DYTNCdlV4SmNqb2tEbTFheU9kUm1xUmJFb3lrVlJsbFZWQmkwbjVYNHRWVlhYWlZVV1pWR1daUldxRUdNZDY1WlgyelFVdFFTZ1pRVzFsYlJIdzE1QXAvWFRudGxtcTcwalM3SVpXWkFib2lMMThyd0pGekJiclFjek0vekc0R1RDV2VMVFBNMzdlUzlMMGl6SkhMbTE0ZGpLMDFPZnBweG1qWkpuQjUzY3B2V1dGUnhrcGZGS2JhbUdRb1ZVMmR4ZlI2WlBiWGxVQVFSU29heFJGYkZjbEl2cGJEYXZabnV6N1NxV1ZWV0dFSWpJT2VlOUkrYXFxa3poak5rMDNVSmRWeUhFTE1zMGtoTTNTa2NuaDZmT3JKODVPVHpSOXdOMHV0Z1FRMkZBQUFhV0lsYTNkOHVzSHVZdllZUTc4WjdiNzd3cWRoZUlYMDA3emlOdVhuWmhDb1dTZHFlcG9mYzNYMi9wWnUxREl1S2lYc3dYMDlsOHZsZ3N5bEFsdmNTbTVHaGlrV2pqRlMwV0x3c29RRGJiTlgyaHBjNVpVNzRCSWlFb044OWdKbWlzQ3B2amQxUHl0Z2lOQ0dTYzJaYkxEQ2dsN0QzN3hDZldBcG5KcFVtVytqUkxVOGMrUy9JMkMwUUthRlRmY3J2YWRnemR4TmFneFhhbksrSmdFWVlhSTJ0NWtMdEpRQnVlYnFoc3BvNG1pRUNiT21zS1ZqREh6SUt4SWNZb29TVWVSR2hzbHJFd2Mwc1QxTllsWGducGdLQlprakFacTlCNTU1aWNFUjQ4ZXdLYndKdHZHcW1SZzJONGh1K0ExVkRiUm1oQ1MybHUzWEtCeVZHdWhFcmF2NnV2ZGZsV0NkTHRleEhMUmJVb1kxbHJQUzFtODJvK1hVd1c5YUtXSUpBUVEwQ0lWTUcxVlNRVzJ4WlJFY2ZlMEtPcDMydmtKakF2WmxtYUpwU2lKaCtTemY3bS9lZnVQek0rNjlBcG43WGpiYk5keWMyQitGaG9PZzRwWHlrTWU1VlFHSGVCK0ZXM1k0bm9PQzV4ZDVPdk4zK3JVRHZIVEpaSTBySXVpNkpZaE9McXdYWkVYRTZwelk4eUlTQ05obUxtV29vcUtTZkl5UFJuRC8rSTBSSTZJZnJPNDJ1Yjc5SU4yM1JNTnJ6MVVBNFBKaFkyWk1mTWpsMmFwS2JmNXIzM1NFWit6THFhZDI5K2ZVV2d3TXJmUktFa2xITGFiY3d5QlFkZExXbnRqcm5OU0tTWnFyZEVZeEFBRHcvQStvZGkyUnR0ZFE4UFphRUM0bUdGeklheDU4QTRmSHhXNVdiYVVPenlReEppWlJDSVYvenFkaVN4blZvOWRyUlNJZFlPT2MyUXJFQkVWRWpRYUR3MjRYajE0R3FOVUZWbFVaVmxXUlJWV2RWVmxFRE1LOTBBMEU2aFZBK04weXM3b2F0dmx2c2RwV0pqMThCNzlWNFRGdWZWZjkzWGZGMHY2V1hJQ0J4akFDaDFkcWJjRGRmNW9YbkZZWitXY0xUTTh2QTNqcnp1Y29OZjhYWVhpTDlLektRbU95V0hHR01Jb1VhWWhua1JTNU1rcjJPdHBPUUFRaFZLZGtaTU5Za3o4MXNkNmxZSW5GYnZoMlhTVHcvZkhuUUVrRjZ1eFJpNzZnTnpyd0E0OVRuNlR2MFJzemt5VE1kMjZXclpiYzNISnVKdkhQQnNzVXBxTk5xNHhnbGJ4dWpibEdWcjBpTHFjdDdTL2tmQUR0M2kycEo2djZSSDE4VmlsOXNwWGJ5b0dVSXN5K2VjNi9LNlloRXRGYWltbk5rS2d0WjFxT3RZbVlaMVVTMkNoQ3BVaTdKWWxJdXlXcFJWVldsVitSQmJyWkxWZS8rb0JzakxNb0tJQnFpUzZZdkNPWFdzanNXTitxUDE0ZnFacmJQcjZUcTMzT29RWXU1N0t5RnBDL2hFVmZYT3J4NmFGUWYvdUdqRHpZQVk3ZnpwSzk3dUF2Rlhzd2swSU5hb2lyS3dwajVWcUd6aTJXcHNLcmpSZVlrU29VU2FFbHdUOE94eVZDMHVIeEtlUEphZy9ITE5RbzFZY1dOVmxaU2RKQTZ1UStkdXNQSGVkOExoVFVjR1prZk9hYk5RTjV0ZUlXUGhCb3ltVmErcG5ZVXNLMkZYSVZjaXRDbGxiRXI3dEduUFF3U3F0VnBwdHdFSHAwRDc2M3o0OTdwMXQybUExbkZYRWxNdFJYT1V6YkZWZ1RvWVR6eEd4Q2d4U0JDSlVOM2IzUmVOZFFoMVhWV2hydXVxbHRyYU5UV2x6SzF5SmdBaHJTWHFTZ2xGaDcrdlVFTWdGUTFvaEpqSlZDOGNQQW5IS3ZhUzN2cG8vY1RHeVJQckp3WThiS1RYSW50MWJRbHl1NWFWRFRzQ1Q4ZGZiY2RpMkpGUjh5dmI3Z0x4VjVWMXBPUG1iVHRuQjJCOVFLYnoyYnlZRjNXaHJCR05mSzJCQzJBaGFBOXJ4d2lnclI1dW41ZWFGaXNhNGE4WUVIZWJ2U3pNQmJFNnk1ZVp4cnc5cTJxU0pHamQ1ODRZM0VzenBpVVB3UXhBbXFiZDhnMmdnd0JLa1dFcGdBQUdPemkwcUtCUUVURUZVYk1YWDNxeGpuVlZsVkVDQ0Q3MVNaNjZ4UG5FZzVVOXN3TUlBaFVSRmFRdWJSUDNiWkVOQ0VvTlA2U2hnNmhGblNQRmFYMGcxS2pwaTBhakN3dGsvMkJmb1ZHTUhpNUJva2hVbFRSTjFmUjZKS3BheCsvWUZQVXdyUGFQblltems0SUlEckIrR2RyOGlLcXFldTlmaWRPb3htTnJFZ3hnVXV0Q3lBbjdXSXZVTVhIcDJtaDk2OFRXMW9tdElZWTUwdU5hRXgwT0F0M3c4WTIvZXlPSzNSRkQrVlczdTBEODFXbmFlYklxeEkyckp0QlNpcUlxcWxqdDdPOEdqVldzSXFKQXlaRnpqcHlybytYWFdyZE5seWhNSmdMUmZONSsrZ3BkN2lFYzFvZHRzZmhtbDJkVE5kYzYwWWYrbzBzb1gxbFBNMFIxYmpVUk1Wem1jd2hCbEptVEpPM2x2Y3huSHE3dDV0Y0pTQzdIdGhyMVpIS3dQOW5mbit4UDU5TkZWZFN4SWladFp4amtxRW5McmFiTjJxNU9qZDh0YU80K2dZakNGRU5ZSXRjUkVXUUNhSUsyR3RpbjNqeHhSVmU3TGFBR3k0bFhwZ3NFSXFycmFxVklwQTAwS1pPNEpwbDUrUGk4SWlleDRiRGJhUUFhbW5nakVrUk1ESUZHSmRDZ1A5elkyRGd4MkR3M1BOdVdrQUFOYzFsaWtEUkpWMlpmcTZkMzlZZ3VvMmQ2dzZLdFEzeDhxT29yemU0QzhWZUpIWWtSTjg2T2lIbU9UUTZuWVZtSVFDZmxwQXhWRVlwNXVURENWdFBMTW5HNjB0bXovUktPQXJHdDlKWHppRmNodGFzbmJEcHRMSkZ6aWRHbTdXQzI2a3FIMkxYRlBHU211WEVFNVZuSnFhZElLa0pFenZrc3piSTBTN3czamVZODZYVXNEclE3VGszcVUwc3RGK1ZpWHN6S3VyeTZmYlVLWlZFVlJWVkVpY3prRWsrZUFxcVZuczFMYm9sM3hqcUF0alU5Rm9zaFI0MXNUMU1XMkRBeG9rWXNNMm1kUkpOVVZVbU01YTYxUmRjMnNMRzExK1IybCtHa1ZnUGlHd2E4VndBSGxCUk1iWFRiOUltc1F4NWlFS00vUzVTaUtEUnFtcWFEZExDVmJ3M1QwZnJhMnJnM3RyNVROdkk1K0xiTjdBclBnbzdFZkZkU21Nc3AydklUQzFYZkJlSzc5bnRucWtxMGVvVmEwRkd</t>
  </si>
  <si>
    <t>aMjNtZlN0c2t5RlI0b05BSzFhSmFMTXBpVVN5S3Fxd2xpRnR0TGR6ZENsaUpTOXp1ZFBHT3pLYkdqYWZYenBjRnlvNlZqZ0kwVnFEMmlEZkgvbFlGQWtjWEJxTldrbWJOUnVvd1BjbEJmK0NkejVMTUpOc2RPU05nMVdWSVhPTGJtaFNGMXFqcVdJTlJWSVhWKzA2bTAwV3hLS3V5MGlMbUliaXdjcVE2SkcwOGVqMlVmbUtHYjhiQkpsZllrRlZFWXFmZGJMOXNTTzI5cWUwdDQvVjJucDN6M1RYUWVORlFLR1ZaM3BBSkR4dmZUSi8zVHEybEM5c0FJeXZ3NHB6enpvbElDQ0hHeU13SnBYRkJ2V1N3Tmg1dmpOYzNSdXZqYk5oRDdxek5hNk9GelZabzM2My94blRuQ2tPeE84Sk5TdUN1UjN6WHZqTHNDSnNIQ0JLaVJPZGRHeHZWZ0ZqVlpWbFhWYXl1N2wxcjlNZTZMeTl4dWFNZXI2ejNhQm5leTkzTUd4QVdhSW5TaldvRWpqemZpQ2FxU3Q3ZHVHUzMya01yVnlVbERkRnhVMWpCUkNJcUloclZPVzhpK2t5Y3B1bGdNQmdPQmozdXA4aDQyUXowOEdGcDNtdXA5V3cybmMxbXN6QjlmdmZaNEdwMDgraTJ4cnFxU20waXVZU0dOZ2RTZGtpdEU3VWFaYUpwVnE4KzlVc0hXWmRuUkVKY09mNEV0QjFKbUczVTdRWXNBS3FDVm5mNHlQRi9oWkoxUjVPdUZsY1JWVElQUU5VNXRuNTNJaElqVkx3S3MxTG1rdlhoMnRiNmlaTnJtMnM4U3VBZDJJRmNJeVppV0x5aUVYUVVqbGQzYVlWZStmc2tZWGNYaUYrTDFoR2hXaTVCODdGQWRvcmRvaTRXaThXaVdBUUpZUExlcytPaUt0b0c2VmJ5U3pDMWNGR05UZWFuUzRVZGtkLzhYV3duN3VndWFpTFpkL0lMcmN1L0VyMEZ0Y1VzYlhUWXdzc0FLWjljTzVtNE5FdlNORTE5MHhXVUdoUkZPMDYxYmRzandneVRCZWF6eFd3eU9aak1wdk5pVmxabGtNQ2Vnb1JhNmlBQkVQYk9PY2ZrSkpCajF3WU5WRlJFSllxd1p5S1FvM1lFYXZKNWVaSlpYY3R5dHRCVXZwaEc1YUdqcDRDUTNHblI3KzFiZDlEYXE2cno2TFU3bVcwTVFRRUljUUNyZ3BSWU9DR1h3R1dVSkhDUHZPN2hmcElQM2NCNlFiVUE3S0RwalNkWTFjYXpkaU4rSDlwZElQNXF0bVdJb2IwKzZkQS9WMS9hZlNJQmRVQU1VcGRWdFNnWDAvbThLSXN5VkhrL0R4cWpTaERydGtTTklLTTBEUHRWeHhNcjRoaS9PMnRnOGZZWGwrV3RmanVtb0dpNm4rM3hhV0ZYRytKRUorSk1BSlFrcUhjKzlXbVdaYjJzbDZaWjZsTlAzamZsY0lRVjlwdUo0aXVFUUFLcFVSVlZNUy9uVlNpdlhyOWFTMTNIS2tnSXNSWUlFU2toemJLR0tXRnFHR0t4ZXpqSGFpSWdYVThBVlZLRXNzWlNqQk50R0pvczFIT0U0dDJFK1cvNzZOeXBHUkJUbDJTQXRrbUdycllUcTVGdUlRUnV0WCtVUEhtdm5MTDN5cWgxM0J1ZVdEK3hPVm9mNXFNY0dRRU8zaUVuWGVGc3IxNGFuZnZmRGtvS3VPUVZDcmw4bWUwdUVIODFteDd1bzNrSWkzVmxvZTRQS1NoMkV1dzE0cnlZejR0RlVaZEZYUWFOVlF4QllvU1FZK2VZbVdKVk1xSHBadGtsQ1ZWZm9ha3VrYnJiMTIxUmFtLzcyMTFlbElJMm5kMlBkREFoYW5OcksvOUYwQWlDaWpLeE54VWVuM24ydmF6djJhZEpsbkxxNEZjUm1kb1JzYXRFdHhaL3RkYUxjajZiVDZmejZXd3hLNHFpa25KU1R5TUZhVGdlWU0vZWUySU9FbFFiUWx0TG1RQVVlWlozK2oydFMzNFluSlo3Z1BhL1h5Nm5zUVBpOWhjUEZlbXRCcmp0ajVDS2cxaDBYa0JLcG0zTnluVlJwUzdOa3J5WDVvTitmelFZalVmakVZK0hHRnNya09VT0FhWUF1Rnl4cnNEMDd3OGN2Z3ZFWDlXbVMvWEZEb2dQRStXUHdERXBTTnFnY0JPSkZLaEFkMlk3dGNReTFHVmQxYkVPWXZxUklsSXphZGZSRW0xdzhCVzZydTRVaUtHUTI4Y1pKWWtORU9Pdy8wdU5CSjB1UlQ5SUlTVFpJSzJ0WjJZVldtbEs1OGlwSUhGcG5tUzlySitsZVpibWlmT2VraFJKQTVRSzZ4eTlnc2hXaXh5cVdKZFZXZGRWaGVyeXdVdVZsbldvVFphb3J1c2dVVlVHbzRINXlJMk1iOXZqS0FRcjBWWnRKWmFORXA0a3lRb0MyczRxNlowZHp6dTFMalRSSFdBQVI4QzNpNVUzSHprb0JEQmxJb3NSRVlCZW1vdG9yQ1dFd0tBc3k0ZkQ0VGdkbngrZDY3dEJMOHM5a3ZaNkpsSDE1SnVha05VTCsvZEhmQmk0QzhSZjNkWnFIcTRBemRIZ3hJMGhWVjBDc1pxbVRDdXBEcTBSaTFET2l2bThXQ3lLb280bGVWRU4yckowTzZMdUtyM3NkMkZFZWtjMXFvY29IMTk2YWRKSUpyWFJoaWJhZ2d1MGQvVUtRRU5JeEVleEZGampNcE1EazdJRUFaakJqcHgzM3JIM3pua2s0M3d0NVRSTjA4UW56WThDVVdOZFY4VHN2ZU9sejZhQ1dLT3FVVldvRnVWaXZwaE5aN09pS0twUXpSZHpLK2hvOE5hYStER0NSakdWSmhOcU10S0NsZjhaRUhkbjA5UTF4ZDNRRmZ2TGJVZE8zK3JaVVdwYWFtRko4R2hIY2VlOGN4NmdKanpEbEdveW9zSEE5UWFENFhnNEhnMUhmZCszTGdUYUZ1TTBBU0s3WGxYWi8vNUE0cnRBL05WdDJrb2ttQjN4RUZxSzhLcVoxc0dLa294QW9nb3p0OUpscUJIS2htVlI3aTkyb3RZeFJxdDVRd3ZIcjFSbzRnNWp4S3FRMnhlL1VFQzRrUlJGNnc2dlpPZTZyRjI3UE9raXpHRjlzTmsxZllrRVVLUStrMFphUnlIV1hZTVp6cW56bktSSmtxWnBsbWFKVDd3M010eHlmbTBSakNpeEtUMWZtYWMwTmMyUUsxZXZSQWxsVlpabFdSUkZXWmQxWFFXTmttaGthVVhweVBvTEtqUklhTXNybXBHMTRkVittWUZZampsWGJiUUh3QTIwYzJxdlQrMklGaXFpeWt6TXpqbW5vQmlqcXBJanJ3N3o2SVM5ODNtYUQvdkR0ZEg2ZUREdXA0TlJNaklVWG0wTjgrWGJ6VmZjN2dMeFY3Y3BFQS9uTlpaWm5lTStSQ2hyWjZMa2JwbUdWbWdWS25Ma0duVTN0RkdMY0wyNkZsQ0ZFS3FxcXV1NnJtdEQ1TGFRNUhlNzlYYzJ0Mnk5djl0ZFAya0hIQ3RCQ1RRUTJmakZ5K20yVWl2ejFrUmhTSnRhWVUxOWlwV3RKU0lHS1drdGRaUVlReVJRNHBKZTF1dm4vU3pOc3lTM1BrWnRUNU9tRTUwR1lUQzFBdnh0bUhVNXVRa1M1c1dpS0JabFdaUlNYVHE0SENqRUdJT0VFRU10SVVndGtNUUU3OXQrMkExVkRyQTZ0enM0cEhkaVNvZ0ViY3ZEVjVPY3pWRlpodDJiZ3lVU0NKMkdYRWNobHp6UEFSWFJFRUlJZ1JqTys5UjVSRUhVR0FRS3p6NzNlUy90Wnk0L2UvSnM2ckxjNTcyMGw3bWM0Vm9GMGQ4ZmNId1hpTCs2N1VhUGVQVkZGNzJqNWFmZHN0TFdkN0V0bzEzdUJXMkN1dTBQRWlOaXFXVlJGSXZGb2lpS3VxNlA5WWdWMXU1emRmTU9iZXVOenV5eE12R3JkaVJ0ZnZzb0RKZ0hEVjJ1cEVuVDRRYjRXQm5MMnBoN1N6SHJoTVNvRlkwREduR01vQ0VicE5GRWZJUDExNFpKNFhoT0hMblVaOWJvTDB1eUxNMFMrQXdaVEtSZHJGY0tHYWlMYXNmRzZCejBnRkFqbEtqS3Nsd1VDMnRnV05SRkhldkpmS0traHNVdGVWa0JCY255S0xWU3o0ZGpWSG9FcUE5ZEZhdVh5dklRb1h1bjZJQzRPM3JMSmR0b3o5THFXSVBnVmhJTURSWkw5TjU3bnhDb3pRQUxNY2dCcmFnUUJOYW5BSkU4SmJuUHg0UHgybWg5TkJnTitzT01zZ1NKOVlKcXQzbUZHNE5EaC9LWVcrVHdmaDdhemFQL3Z3SHJiM0VOM21SY2VEbEF2RmdzdlBmbThzUVluWE94a2MwVzA4RUNZTVV6V1piZFlpVnBtbHA2L2NaU2R4SHBzdkF4eGlSSnlySzBsZHUvRGc0T3ZQZjlmdCtXNy80YlF2RGUyMDZKU0FjSFZWV3BhcFpsM1haMkx3RHM3KytQeDJNaUtvcUNtZE0wRlpHNnJtMzdKNVBKYURUYTI5dGJYMSt2Njlwa0dHMjFkVjJMaUMxbWgrSVd4NjFqMnFyeDIxVm5zOWx3T095K3E2b2hCRk1VbTgxbWc4RmdQcDhENlBmN2RWM1A1L08xdGJYVmc0TldQWktaYlhuN1VGWHJ1azdUTk1ib0hBT1lUYWRwbWlacFdwWmxYZGZ0ajBvSW9UdEhWaFI3Uy9HWG85ZUtRZ1BxWTFrS1Y2NWZpVEdhajJ3N3pzendLSFVCQnlJaUpzc3NpVVJSNFlZcXFrb3FJaUdHR0tNcURmcGpDNVJvazk4NkxONTQ0eWJlT1B1OWxSM3hvQTk5ODlBOXBrYyt2OTIxVzJlMjVkcFcyTXFIWFc4QWNPTE9qTTk2SkNZcFo3TE1kR2gwT25Tb200SmdHeUlKUXRhK1JCVjZiZWRxcmFHb3k2SnF5eWJydXRhaXhDeFNwYW9DQVlPWXJjc1JIQXRFVkFScVFSSlJ0UmFGYlorblpyN1B4QURGT2xqb3BtMnowb3hlRGZLM2lOZVdWamVpUzBlSytpSWtPc2lLQjIzemp6Wk5TdERsbWdFSVNlQ2dKdU41Q05tSndUR0tCQUdRSm1tdjErdjMrb05rY08vNnZUbmxxYzhTZUc0NzhqRVlTbTBIazVWTFFMRjBYSmdBYlRVd3RMazRWODZCTnJuR2xSeUdIbk8xSElYdFZ3cUlEZW1XdjNLNFBqS0VzRmdzOGp3M21DN0xNc3V5M2QzZHlXU1NKTWx3T0V6VDFNNE5NOXQ2am1VN21WZFZWZFdKRXljQVZGVmw0TWpNcXpBMG04M3NpMm1hTnUwMVZZbW93MFNiTDkrSVVLdGIyKy8zdTRYdFgzVmRKMGxpSzdFUE94Uk9rc1ErMmQvZk4xZzA2TFFYUkhUcktibGhrMkY5OTZHQm8vYytoR0RJbStmNWVEd3V5OUlPbDRqTVpyUFJhSFJrVlowTDFoMlQrWHh1QTV1Tk9sZ1pvdXhiTnZ4MG1tUzJSNHZGb3RmcmRiMXdidU1xYU0vK29WWlBoMHhVWW94VlZWVlZWUlJGRTdqUU92ZzZVdE85eVhRSmlLSFFSbytZWVRtb2RvMWNWd0p3aXdSTGVRUmRyZkpiYnM4ZEd4MEM0dHZhNlMvZlhKZkY5V2pna2RoZzNCa1I5WHE5OWlBMGpld0FPSkJUdjZRb1NwUldiODhuaWRGZFNxbXFxcXpxT3NSUVMzSDE0R0pBR1dLbzZxcUtkUjNycURGQ2cwWXJZV3NEelUzcXI2d0tZaEM0YlZqb21CaEFyQ01hSDNNcGNFRktEc1R0WU5tbDNjelBCWTVXUEFwaENjUkFsLytrNVd2R01wcEJRaEpjMHlMcjZLRnp6cTV0cUlMSTIwaUdkS1NqSHVWNTFoc05oc1ArY0pnTldvMGhiaWhDRVFTM2pHRWNtalIybDVlR1VOc2tDSzF3QjQ3QjFkVjhCaDBEeDY4Z0VIZEkxOFVCRjR0RmxtWE1iUGN6Z08zdDdROTk2RU1mLy9qSGQzWjJQdmU1ejVWbFdWV1ZMYisrdm43Ky9Qa3paODY4N25Xdk8zZnUzTnZlOXJaVHAwNlpmL3JSajM1MGUzdjd4UmRmbkV3bSsvdjdMNzMwMG1nMCt2RWYvL0dISDM3WWZ2VG5mLzduUldRd0dOZ1I3L2Y3azhuazVNbVQrL3Y3QmxpVHlTVFA4MzYvWDVabENLSGY3eGRGRVdNMGxGa3NGdlA1L0w3Nzd0dmEybnJxcWFldVhyMDZuVTZmZWVhWmc0T0QrWHorTi8vbTMzemdnUWNNSHpzY3Q2dUhtWXVpeVBQOCt2WHIvL3QvLys4WFhuamg2dFdyNzNuUGU5NzR4amRtV2JicVNCNFpwWTRjdDdJc2t5U3hOYXZxU3krOTlPU1RUMzdxVTU5Njl0bG5uM3p5eWN1WEwwK25VMmJlMnRvNmZmcjAyYk5uSDN2c3NUL3dCLzdBdVhQblJxT1JIVmdiNUZZbkVIWnNiUnQyZDNldlhidFdGSVc1OHdDY2MwbVNoQkM2R1YrU0pDSXltVXdlZSt5eEN4Y3UyTm0zMFFpSGZlM2J1aGh1RHNTSDVNcENiWWhjU1RVcER3SkNDQ0hHYnE1T1JIRE9yVFNjYjNVemlLczZyRWoxdEMrWTRuR3NETkxsNzk2T3RmZjhIWHpoam1MUWQycWtMQ1ZZdTg1RFN4c01CdFMwalBNMnNqcDJIcjZIMUtiZXk4Q0MvV245Nk5Xem94QkZGVkZYYWozNkZvdWlLT3NxU0RpWVRVUzFsaEFraGhoRERGRmlwRG9kZWVHNDlHVGI3cTZ1TFhiclRvbTluczhYUU9jUkwxL1laWDhFaUFHRVlJRGViU0t0aEMrTXlyYjBpTldhN3Qwa0dkdjlWbmUxVStRVXFWUHYyV2RwMnMvN3c5NXdrUFV6bjYyTjFoTktFaVRXM0k4dHp4dGpJMGpmcXAxMDE5MEtjZm5RQ1FOaXF4OTlCTXU3NTVVdjN2ekNlWmt4NHM1WnMxQjZudWNBRm92RnB6Lzk2Wi8vK1ovL3RWLzd0Zmw4cnFvN096djMzMy8vYURUeTN1L3Y3Ky91N2haRllZZXBMTXVOalkyZi9NbWYvTk4vK2svM2VyMWYvL1ZmL3p0LzUrOTg2bE9mMnRyYTJ0blpHWS9IKy92N1o4K2UvY2YvK0I5L3k3ZDhDNEFubjN6eXgzLzh4NTk0NG9sZXIyZXUxbkE0WkdiRDNGNnZONXZOQUtScGF2TjlhMjVZRklXNUV2djcrMW1XRFlmRFhxLzMyR09QUGZQTU0wOC8vYlFORCt2cjZ6czdPMy9tei95WnYvVzMvbGF2MTFOVjczMDNxS3p1OGkvKzRpLyt2Yi8zOTE1NjZhWHhlUHl2Ly9XL2Z2amhoeTFvWVA0TDJsSHFTeDY5SjU5ODhxTWYvZWlIUC96aFgvbVZYems0T0JnT2grUHh1Ti92VzJ4a01wbk1aak56aEUrZE92WGQzLzNkMy9kOTMvZkFBdytzcjY5bldXYUE1cjNQOC95RkYxNzRMLy9sdjN6bU01K1pUcWZQUHZ0c1ZWV3oyV3gvZjk4NWw2YXArY0tHMFRacnNjcGpadTcxZW5aZzdjUjE0OGZMQW1JNTl2b1NGV3Y4ZnVoRHlGNnhHeERxdW03ZHREcEtWS2ozTG9wWWkyVlJwYmFRdWhQeGFlS1liY1dVNnRGUXBnS2tZS1hieDJKUzhKMVJDRlRwK1AxOWhhekpkdDE0VjNaY2xNNlkyWUhIK2NqQk1iTjMzck52NDZFZGZsR2I1WU5DU2VHSjJrUFZWbHNBQ3EyMERpSlZxTXV5TEtxeXFxcTZyaW90WDl4OVBuQm9WdG51dUxaNnc5TDJVZTJvNDV4NnRmeUNOVmR0bjFPTGdGbk1VSnNmVjlXRS9aSDAzZkx2TVVFbXVsbmd5ZVp6M2VqVmJJNGdUVktOS2tGRWxJa2R1WlJUUjM3WUgvYXlmRFFZalFialFUWklrUkZBWU5mS3YxbXMyOXJHRXFqdEdISTRqa0VLRjYzbjRlcGh2eGtXSC9HNVYrMWxxa0hidExkREJBQlBQLzMwVC8vMFQvL1gvL3BmcjErL25pVEpRdzg5OUYzZjlWM2YvTTNmdkxtNWFUN3MvdjcrL3Y3K004ODg4NEVQZk9DREgvemcydHJhOXZiMlN5KzlCSUNJSG4zMDBiLzRGLytpcXY3TXovek0vL2svLzhmaXY5NzdMdndhWXpTRUdnd0diMzd6bXg5NjZLRTBUUzNpa2VmNTVjdVhQL1NoRDNXcTRkLzZyZDk2NXN3WkFFVlJEQWFEb2lpZWVlYVppeGN2UHZYVVV4c2JHOS8rN2QrK3RiWDF5VTkrOHYzdmYvOG5QL25KRU1KNFBINy8rOS8vSGQveEhlOSs5N3U3SFRSNHNrQkVYZGVMeGVMZi90dC8rK3l6enhMUlQvekVUeno0NElOZGhOckFxeXpMN3NqY2FCWUVLSXJpVjMvMVYzL2hGMzdoZ3gvOG9BSDZqLzNZajczcFRXOTY4NXZmZk9MRUNXYTJPY1RuUHZlNS8veWYvL08xYTlldVhidjJVei8xVS8vdHYvMjN2L0pYL3NxZitsTi95dUlxRnFXeGRXNXZiei94eEJOZi9PSVhPMC9aT2ZmSUk0OTg3ZGQrYlYzWFJEU2Z6eTJtVWRmMXRXdlhQdmF4ajczNDRvc25UcHk0ZlBseXQyMDMraSszYVhhSkhYdHZPRHJtMGlMUVdyNFdJWkpMa0xvS2xkM3dVYVVvRmdRbHNJRGJFbGtDUVdMc0ttSnRCdHkrN2tCaEdWL2c1VWUzdndlNG80S1JMN09wUzUycW1vZDBhR3F2Q2lCRWtCRHExcWxVT3BqdU8zTE16bnVmdUNUeGlaSHIxdnZyWFhjU1EyY0NpRWhqSkhKRWpUK3JxbEVGcWdPWHF5TTRJSU8yQWNOQTFRUDMzbDlwV1ZSbFVSVHp4ZHhVNWFLRVJiRm84cTV0RkJtTVNDanFTZ2dXUmtyY3NxTktPNElxQUVmTm1FcDB0T0w2VUxuSE1iT1ZteGFrckRZV1dMNWxLa09wclBCUWJmU1JDNmxJYVRLWjBvVGN0a3Q4T3VnUFI0UFJjRGpzSmIzMWRDMkJkODAyV2djdEpsQWRneFVOZG5HaDV0b0JzQno4MEw2Z3cyKzd2YlA3NVJoNytiTDhGdFprNXJxdVAvU2hELzJEZi9BUG5uamlpYklzMy9LV3Q3ejN2ZS85d1IvOHdmRjRiUE54QTQ1VHAwNGxTZktOMy9pTmIzLzcyOS81em5mKzQzLzhqODI1TXpqYjJOajR3My80RDZkcEdrSjQ2cW1uTEphNldDenNnckM0eC9YcjF4OTQ0SUgzdmU5OTMvdTkzL3ZnZ3c5YXdOZTI0ZGQvL2RjLzk3blBYYnQyalprM05qYisvSi8vODI5NzI5dTg5d1ovSVlRWFhuamhsMzdwbC83dTMvMjd1N3U3WjgrZWZkZTczdlVILytBZlBIMzY5RC82Ui8vbzRzV0xhMnRyKy92N1AvdXpQL3ROMy9STmc4SEEzT0hWdkZ5U0pCLzg0QWNmZi96eHlXVHkzdmUrOTMzdmU1OXRkbFZWd0ZMT2RUWHllOFFzdVB5elAvdXpQLzNUUC8za2swL09ack8zdmUxdGYvRXYvc1h2L003dlhGOWZSeHRyUG4vKy9LT1BQanFiemI3cG03N3BYLzJyZi9WYnYvVmJ2VjV2WjJmbmIveU52L0hwVDMvNmIvL3R2MjN1dnptMnIzdmQ2LzdLWC9rcjczdmYreDUvL1BHZi9NbWZ0SEZ4TkJwOTEzZDkxMC84eEUvWWxNV09ub1V2ZG5aMmZ1bVhmdW5mL2J0Lzk5blBmamJHYUNPb1RRdFdaNDUzWW9UajUyeUhRaE1ybnpBREJBWTA0YVNYOWlUVm9FRTBWblVWSklRUXlxcXNRMTNYZFloQlk0d1Nta2dGVTF0UEJxSW1UR2dKZXRYVnEvMU9ZaE5mWWFhRW9LRjFCOXRHZ29DMkhUU1dhUzZKOWpaQ1NJbVVPYklqYmlMSVN2c0grNTVkNHBMVXAxbVNKVW1hT08rWW5mUEwzQmdBSWlhR1VxZ2oyaUFvTXh3eENKNTZDWktJaUI2MHA5aG91cWtxcEVSUmg3cXN5M2t4WHl3V1JiRW9xNnFTMmxFcHJVU2N4dVZBMHRJMGxsRitNbFVqaEtXSDJVQmJ1elE2bWZrMlZLRjhNNmM0N2FYU21qYTlwWWtVdFZia1RJaktvYTNmRTFHZitCaWxEbUVlaW9QOTZiWFp0dC94S1NYcitiam44MTZ2Tit3UEIzay9veWJMUjQ2cHVYUmJYeUJhRVdNbk1iMThQakludTUwTDhtVUNzWkVRTEViOC92ZS8vMS8reTMvNTNIUFBiVzl2ditNZDcvakxmL2t2Zit1M2ZxdDVsSFZkMndUZllnZ1dlMzNvb1ljZWVPQ0I2WFQ2MHovOTA5dmIyM1ZkaHhDU0pERVVPMy8rZkZFVVJKU21hZmNoZ0xxdUR3NE92dm1idi9uN3YvLzdMMXk0QUNER2FCUHdMTXV5TEN1S1lqcWRVc3Q4NkM1Y0FONzdCeDU0NEkvOGtUL3lpVTk4NHBkLytaZW4wNm10ODF1KzVWcysvdkdQLzRmLzhCK01QdkdSajN6a2wzLzVsLy9vSC8yajlsMmpXRmpXYm45Ly8yZCs1bWRzT0huUGU5N1RCWUs3UkNVUkpVbHlheUQ3TC8vbHYvenN6LzdzWno3ekdlZmN0My83dC8vb2ovN285Mzd2OXk3UHhFcHdlVEFZZk9kM2Z1ZnAwNmYvL3QvLys3LzBTNyswdHJZMm44OS80UmQrWVd0cjZ5ZC84aWQ3dlo3M2ZqNmZNL040UERhK3g3MzMzbnZ4NHNYRllsRlZWWlpsQnJKb0J3azdrdjErLzRkLytJZG5zOW5uUC85NUcwSzZuKzZpNFhkNkpkekNuZFJWUjNhWjMzQ3I2ckVNZGVSQXlMTWVvQUt0WWxYVlpWRVdkVjFIcVlOVWdtZ3VvZlczRjZpWTNDSTFhNUhXUWFHdUt2QzJiYlZMOGUzczdSMnMrbVZaakxFN29zdkxpVWhXWlR5SmpIaExESGJPNHFvS2lxcWlrU0FNbXMvbnB1ZHI4M0V5SDVob3RMWUdJdTk5bXFScGtub2tUVXNQNnp6Vll2U1MxaFZCc0o1eUFNRkJDVkJvanI1NlVhL1NFOTJRbHM0bzI0dnJ0ZFoxWFZ2aFNaTWE2QVNtUll3bzB5QW1pYytkVWtTRHRRMlJ6cXJKbTNQWnhiclJOUkUvNXBLTEZKUzFHU2RzSnFGQVZKZFFHK0FWS0pRaElrcVkxNEhaY2NxZW1NaXB4a3BqTGVYdWxlc0orenpOKzcxK1ArOFA4bjR2eVZPWHJvM1dFL0lwVWc5dllXUDFJaUlPU1V1dHdKSTYwcnhkUFk3dEMzNkZQR0ticW5lZzg1R1BmT1RuZnU3blB2emhENC9INDdlOTdXM3ZlOS83L3RBZitrTzJtRFZGRHlGWTJyY0xNaENSOS83UC9iay85OS8vKzMrL2VQRWlnQzRhV3hTRnhRRnNvbTNFQ1lQcGc0T0RqWTJOZDd6akhaWmlzZzg3SExUYUcrKzllZDhHSzUyalo5dDgvdno1ZDc3em5lOS8vL3Z0SjRqb2dRY2UrTTd2L000UGZlaEQwK25VQWdzLzkzTS85NDUzdk9QTW1UTkdpcENtY1lQN2xWLzVsUzk4NFF2VDZmUlAvc2svK2U1M3Y3dWpjR1JacGkxVkxvUndDNC80aVNlZStDZi81Sjk4OXJPZlBYZnVIQkc5ODUzdjdGRFlNTkcrMjcxZUxCYVBQdnJvVC83a1QyNXZiMy9xVTU4YWo4ZEZVZnpNei96TU4zN2pOejcyMkdNV1U3WWpaaHlWRG5uUitrMmRYMitEaEczaGNEaDg2MXZmdXJtNU9abE1iTHJRYmZNcklseloyU3I0THMySVRVcldiMDFVMmJITll5TWlnVDNJT1plN2ZKeXZBUUJrV2h3WXFiK3E2N0t1eWxoVk1haUs4NzRUdmFTdVFsQ1ZEcW1JZjJtN0kyMEsrOGFYMWVNMmhoNGROZ0JGVWFBOXFpdE5WR2xSbE5hQ21vaWM5YlMyWGxHK2lRSXJpZGg0RElEbzZzRVZNWDhVWUhMZStjUWxqdHpteGlhVUhEdEh6algxUEV3ZzUyNnNFZTZpQ2E1eFY5dG5nWnpyblZscGZyb01UMCtMcVhVV3I2ckthRUoxWGRjSTE2ZmJ3Zzd0WWgzcitVZzFTcnZDWStNVkFGQlhaWE44MnV0Qm03M3ZRaUpOMEp4aFZZaHNkMFN0Q2hBM2d0UTgyT3hwaUdWWUxHYXpuUmtsN0QwbENTZDUydXVsK2FnL0dnL1hocjFoU3BrRE0zUGJVZ3RvSUpqb0NCYXZIaUZhdmp0aWR3ekVIVjVZNHVpZi9iTi85cHUvK1pzblQ1N2MzZDE5ejN2ZTg5NzN2aGZBS2lRZFlSRjA3S2c4ejcvcG03N3BpU2VldUhMbGlubTRCaHdHbWtWUkdMZ3dzL25keno3NzdHQXdlT3l4eDJ6OWhpejJYd05jbTVpcnFrM2IwV3BVcTZwdHpHS3hlTmU3M21XSk93TnhBRzkvKzl0LzRBZCs0S2QrNnFkc2t6Nzg0US8vKzMvLzcvL1NYL3BMbzlISWNLb3NTMmIrRi8vaVgweW4wM3Z2dmZmUC90ay9hNFNFem5ta2xvMW52OUxsdTFhSmZmUDUvQi8rdzMrNHM3T3p2cjUrN2RxMTcvbWU3L254SC85eDIrQWpWTGJ1dFExT2p6MzIyRi8reTMvNXgzN3N4NjVkdTdhMnRoWkMrTHQvOSsvKzdNLys3T29oTmNwMlI0b3c1QlVSRzh5NnlVRzN3UTgvL1BBRER6emd2YmVEYktId08wM1RkWFpIMFF3TDhaTENzWU8xakd5bjRSN2N4aGphVkE1QW9QVjgzVnl3SUxFV1l4ZUxxRjdmMlk1bzNPUmc1VzJxaXVnY1FNdHVTWjFYZm9SemFTOUVCUTV5bkovYnpSZ09KZnFWRXI5TUxxMys2NVVaeGhTZWIwZ0tBUUJ5bng5WjBnQTdTL0lXWXRUd1JsUUJJVytEak9rS1JZTXZoUWF2cmRvY2tZWktLaEtRMHY1TGU2WW41OGdsUG1GeXpua21IbVFEQmp2bkcwWWRISlp4cDJZRWJNTzZTa0FDdnlMNTEyMnM1dm5tamJzcjBLa3VhZ2toMUZWZGxWVnBwZHRSNDJ3eGl4S2p4aUNocnVzb1VTUUdEWncwYzdEdTRGUER2bGoyUEd3R0tpWWlyYXBGZTRrMklRUWJrQ1FHQy85YUdOaVdCcVNXaFpJZ0lUaW9vbGFwcFM0aVQyY1RUSWl1cytja3ovSiszdS8xZWxtU245bzg0emxKS1VtUUdBb3p5SzducG5kckI4czNSMkc4RENBMkZ5ekxzaGpqQnovNHdjOS8vdk1XM0h6akc5LzR0cmU5emFienQ1bUMveE4vNGsvczd1NWV1SERCOHZ1clB0Mk45ajNmOHoxcG1yN3hqVzhFME1ISGw5eGFneWRiTWttU3dXRHd6Ly81UDcvMzNudlJuc2pUcDA5LzI3ZDkyeS84d2krODhNSUxBTHozLytOLy9JKzN2LzN0NzNqSE93Qll2Y08vLy9mLy9ybm5ubVBtSC9tUkh6bDc5dXo2K3ZvdGFqZTYrNStJdWlIaDg1Ly8vQ2MrOFluOS9YMGkydHpjZk1jNzN0SHY5MjhIKzRqb3dRY2YvSlp2K1pZUGYvakR0cllyVjY1ODlLTWZmZGU3M21XUWJRVHFORTA3RXB2VjJuU2J0M291YkpmUG5qMzc5Ly8rM3hjUlMrTEZHRzBabTZ5OFVwMGFqcmZWalBQaDNiUy95OUJsODB4ZG5adUhZOUxFcTZvS2RIQjJGRlhxR0txNkx1cktBbHhSNjZLZU5yU3FqdHhxSTZVdU8wZWdJMk94Mm5DZ04xakhCeiswRWxBTWNTazlzWkpvZWtYMGw1djUvMjM3M0FTU05tUGFnazNuUHk1Zm9NVWZJWTFOMjBGcTNPNm1wU2xKRUZMVVVqdHlaU3k3ZVB6K2ZKZUltWnhqZHV6WVpEYUl4OE14Z1J3N0p1ZWJ2dGZvYU1XckcybUgyOWpIZXVSSUUwWnVyQTV3cWhuUWxuRXJFQkFVRWhDakdKY3VpTVNJZU8zZ1d0RFExUXAxSmZYRGRJaVdKaStoalgxQVI3MlJXbEJDWWQxWGJBaHo3QUhyblcxK3N3S3FyR1VzTEZ0TVpOUnBoaU1vWE9JMVFrVXJxVU1kRjdIMDVjU1JlL3FGWjFPZjliSjgwTytQK3NOQmI1Q25lZXA4anpJR09iQTJmcnF4VmFqcEw5dE9GNWFPd3AxZUt4Ym9ZZWI5L2YzLy9KLy84N1BQUHB2bmVWVlZiMzNyVzkvNjFyY0NLSXJDWnMwZEROM003ci8vL3Z2dnZ4OHQzcUdkZngxcjU4NmQrK04vL0k5M1FRekxwT2t0NldMTGpMT0lPWWJqOGZpN3Z1dTdEZzRPYkFFcm1YdnNzY2YrMkIvN1kvLzBuLzdUc2l3M056ZC81M2QrNTVkLytaZmY4WTUzR05scmYzLy81Mzd1NXk1ZnZ2ek9kNzd6UGU5NWp5WFd2bVFSblcyWVJVaktzdnp3aHo5ODhlSkZ3N3N6Wjg1ODY3ZCtLOXBaeFMyMjN3YWJlKzY1NTkzdmZ2ZHYvZFp2eldhekxNdTJ0N2MvOElFUGZNTTNmSU5GaHpyZnYvdGRtd0JhckFhQWNmaFUxVmdvdHM2SEgzNjRPNHoyb2l2eHVHTjdHVkhUMWR4YWwwaHVuQVphelN3VGdKWmVSbURIalQrR0Z0SnpCMGxWVktLS2RaS2ZMSGExWWRrMHg4RU9SYWhDQjZuY2tsNEZVU0FnUVp0dTdaNWpXQzV2ODNvaWlncG03anBpTkh2d2lvb0UzSkVXaENxNFlVSXZ5NHFiYVVVRHdCMFdkM0xzUitiTmJleSt5WjFKVkkxTjlKMkVSSjJwdXpGSGR0em82VEI0VXU4enNRVTNQSHZudkNQMjVEd1NCN1lSblp1cmlrR2RrMHhZZ1dvQ2svS2h3c0YyaHBRM3FUeU5KTUpSSUtaWmV2cjBXV2xYWm9wSVZzQnljSEJnMk51ZGR4R0pVcytLZlVWVTBTalJlcDFZT3MrbXk0SW1ZSTJHSlJKNm81NDBsWHZOdUVoa3ZacWF3d1NHcUlxRVVFY21ndE41ckJiejZmNkNrejJmSldtV1pLbnptMnNiQ2JrMFNmTWt6ZE04YStseHRSQlpsSm1Jc1dSNjNERVFkMUQ0NG9zdmZ2S1RuN1FDMzdxdTMvQ0dOM1JGQVZpcE43dVpXWkxObnJ2NStDMitZb3hnVmUyb3dRQld5K1J1dEE2bk9yTnFiTnVGdXE0Tm83TXMrK0VmL3VFUGZPQURILzNvUjgyMS9OQ0hQdlRkMy8zZFgvLzFYMDlFdi9xcnYvclp6MzcyL1BuejczdmYrOGJqc1czSkxVcTNWODBPeGU3dTdxLzkycThsU1dJSnpLMnRMUnQrekdXK2hWOXZUb056N211KzVtdDZ2ZDUwT2pYMC85akhQbFlVaFcyTXVmeFdqZDFGcmxjOVlxeWNNb3ZPVzBpazI3emJyTTkrWmV3Mk1ta3RGcmRRdklUa0ZkUUdZaENydWZWTVNpNGhwd3lGOWthSklnYUVobm9SUWdoQlJDeTlyQzNWMzdKR0lJb2FoZVFJUmdOUVdXWWFWNTg3emJWbXNTOFBITittTmZIU051NEF0RFNTMWcyMmlBR1dBZzhXa1dpM2Z3WHh2ZmRrRG9RMmpxdXRXeE5ZcllOQXRHdEJvbGdVODNhK1F0WXppd0FXTjBpSHJONzhudFhLUUp1UXRlOGIvUWNIUFhMMXQvazVVemdoUitUQVlOOEtucURVQ2lRRzVzbUs5NzAyM21qMnFRbHQyU01xS2tFd3dudUQxQ0txT3AxT1Y0SFkwRGxTT0tnbWthS2FDSCtNWW9Fdzgxek5yN1gwYnVQYmkwODRTZ2gxS090UVJKbURIVHNHWFg3cG9tZWYraVJMMHp6Tjh6UkxrOFJSZXYvNTE3Y2pvZXBLVWVITFowMTgvdk9mMzluWk1Sek1zdXloaHg0Q0VHTTBPTzZxUEc1bVhiZ0FiZUQ0MXNrdXd3c2lzbVh5UE5mYmFEM2J6Ylh0d3JLQnFJc3ZHNWJGR00rZlAvK2pQL3FqTDd6d3d2YjI5c2JHeGhlLytNWC8rbC8vcThIZnYvN1gvM28rbi8vSWovekl1OS85YnUrOVZjZmR3bzA5Y3Q4Q3VITGx5dU9QUCs2Y0s4dVNpRTZmUG0wUjZpK0o1dDU3Q3hkY3VIREI4b2VxbXVmNWl5Kyt1TGUzZC9yMDZTNVBhT0VnYytFdFlkM3gyenM1QzNPb2JSclJWWGFzcGpwZlJvbHpZMTlXQ09KRCtOdjlsdmZjWGM3ZE0waE5IODdCWlQ1VDN5VjVtbHk5Sll1czNqcUVFQkEwUWtpMGRYS2x1ZWVRcGN0eW5oV1ExUmdidWxVWG5hUVZudXdyWVVjTFZXN0hXdjdJNmlkdHE1SWw5ZHBRbWxmd2R5bmFyaXNMTWJVRUFPS3FFWnUydW95b3JlK2RacG5SRXlBcTJ0YWhnUnhTUXRCb0l0WExxWU14UVMzUWJCak56RjdkeUEyOW11L3N2RW1IM3V5ZVZoQWhRM3BrViszdHNVaWdnQ0JWdE9GN1JsZUV1SldkV3ZsMmN3d0VVcUlPRUpQc2lHS3BGNXNoR1YvUVpsdGlPaTJpdFhBdEd0VVdFbWs2Q1FqS291ejZKNFlvMC9tY0FCSzNmZVZqaWN1TTE5VHY5M3U5bnQyVkx6Tkd2TGUzOTduUGZjNjhESXRGM0hmZmZiSWlzck9xL0hEc2VteEpveUhid3JmZUdDS3k3Smw1dFNhUmMvdmIzd1VvRElOVzRjWmUvK0UvL0lkLytaZC8rVC85cC85a2Z1dXYvZHF2L2UvLy9iKzk5Ny94RzcveDBFTVAvZUFQL3FEQjJmNysvb2tUSjJ4TGJyYWQzVjdibWk5ZHVqU1pUQWFEUVZWVmc4SEFNcFBkVnQzcytOaS9iQWRQbkRqeCt0ZS8vcGxubnVuS0JTOWV2UGlHTjd6QklOWFEwMnFkTFdXMENncWRxRkFudU9HY083TDlYZmhZN2xUTi9UWTgzRHUxSlNJQWFFT1BiUmJQN25hSXF2Zk5HV3dxeFN6Y3BrcU82TmhibVFCTEVHWllPa2VJaTFnS0xVTVo1ajdiREhjMXROVjQwNlRLVmx4M3RBcm1qcEtXdDlwOTBqczZwQ3RhR1hSRE9valJ1TVFyMmFKbGFHSUZna2lyRUN4c0RKUERNZmhtY3ZCc1YxVHJDQUlrcWwyTFVyZ3Vkd2RTcnFSYzZVSzlNbU93WGpFUmlFRExuUFRxZHVyckNUbG1kc2Jmc0tKQmNKN2xVRFRkdFptSjJKR0RXb25La1NNQUFLdjZFNGVSMmxGTE1GM1plVldWcmlKNitVV0FrRW9YckdlZ0hlNHBYZjNaN3B0UlVTMkJIbEJvaENsY3M1cUlucGo0bmpRZWNHQ0xTTmhOeDh3S0RUSGNNUkJibkhGdmIrK1paNTZ4aWduenJZYkQ0ZXExYU1wcXQ3NDZiWTdjaVp5aExVNjdtZGxjdmx2bmwzU0g1UVk1SVdwVk11eERZMFFZSkhudnYrZDd2dWUzZi91MzkvYjJraVI1OHNrbi84Vy8rQmMyeHZ6QUQvekFtOTcwSnNQeHJwcnVGaHRwcERlamY2anFsU3RYT2gvY09iZXhzYUd0K3ByUlA0NWR6NUdqZC83OGViUkFtU1RKaXkrK2VPUVhEWUxOMThqemZKVkdEV0ErbjNlSTNMR0diVURxMHA2M004TjRCZXpZMjZpMUpaTy9lZFpHQnJOcFFJbG0rZ3hZb0xCMTNORGRaUjNzSE1rTDJRUzUxY3B4anAzcDJxUSs2MjdFaU5nNlFlM1U5YkJGQ2pHcEk0VnV0YmJ3SzNWc1Z1dks3dUJMM1N0YUtTNW94WlR0OEhTZkh4RnEwRll6WHByUzdhWldMbHB6aitoNnJrL0NTbENqaEtyWXQwSVZ0QmttRy9nR2tVSkRLSXlCMFBEQjJ2QWdyUlNuZEFldDBzcWx2QlFURVdKbDFHRGljcTlrc0dOMjdMM3pSdUZ3U002ZU9NL2c5b3dmYjB2Nk5TQ2hpVUV2MDRoMlVNUXREN1YyWDZTTUdxYjBrZFZYWllDbFVxanBqUUlBY0tJUlROWWlwSXNWYVhNcGtvS3dqREF2VTlJMzJzc0I0dGxzTnAxT2QzZDNEVUNaV1VSTTdkQTVkM0J3TUJnTXpPMjZSYWpCektDdFkvN2VZclp1Q0dLc1pMUTBnRnNURHd5ZU90Smw5MkpWR2M1ZUdKMzIrNy8vKzMvbFYzN2wvZTkvLzhtVEovZjI5ajc1eVUvTzUvTkhIbm5raDM3b2gyeFRUWU50UHAvZkdvN3RJck5JaTRnY0hCemtlVzZDUG9aOWRtVGtsdXJwaHNMZFJ2YjdmUnVFVkxYWDYrM3Q3WFhMV0FBMFRWTmI4M3crdjNUcDBoZSs4SVg5L2YzRllqR2RUZ2VEd2ZYcjE2ZlQ2ZlhyMSsrNTU1NzN2dmU5Rmh1eDg5VWR6LzM5L2ZYMTlUdno3STY0Vm5ka3Qvb2RJcWd1MTI2M1R6c0EzN0NGcTFCb1I2azU0NTFzd09FbDI1Z2ZsTlN4NjF4UUJ3WW55Z3BndU5GTUlLSTJ6VWRpakpIaVBFNXJEYzNidGkrSnFoNVBYeU50Q3hOdTErNzhXQjc2Qm5YVGgrWmZ6WXNtVW5GVXRFaWhUUTFNNGkyQzEvYkxVQ0dBbGVveXNEbzFseGF3WmtZZ1pIblc4SlN0MVd4elJKSDRkRmxVR2EydStGWmpWZWRhTVlpSWxkVDBNZGJXMWhqa25QZk9PM2FKVDVnZEc4dlJjbWxMOUFRQWtlV3dzMnJlcit6dTZ1WGFPdkV0VFFQTmNYT0hUMWRUd1lrMFdZRktSYWZ6dzhpZ0FqU3BVRzFYeGQ0dkk5N0xuOWVJMEoycFZYckp5NGtSZC9wbmhyL2o4VGpHdUx1N2U5OTk5d0d3dHdZTnR5YVozVTZPcmpQRGkyNXRSOWdDeDVycFZObnJMcUxYZmFVRC9WVkIzci93Ri83QzQ0OC8vcm5QZmE3ZjcrL3Q3VzF0YmYzMXYvN1h1d1dNTXZFbG5lTEZZakVjRHZ2OXZoMEVpOWlPeCtQRlltRzY2YmJqbmNibXNTc3h6TFh0TDRyaXhJa1RocHRXTW03NU44dGIyblJrc1ZpVVpUa1lER0tNLy9FLy9zZGYvTVZmdE9TZU9mZ1c1WmpQNStmUG4vKzJiL3UyMDZkUGR3TlNkMWcyTmpadXZWL0gyOHVla1IvM3hadm85ZEJOM3pRZnJTYWRiblZKdEdHRTdnTzcrVzYxRDB5ODBtNU9SeGdlQ3lxenhjekd0bFdBRGxvWFdFU0V6cm0yaUlkbENJNjQxUmFoenZ1OWRsS2dxOC9IWCtyVUZreTAyOWNGMUUySGVzVzBpK0NzZklKdVp0L3djTzBUbXpiWURNUTFYbkR6ZzJETC9GVjFqY2JOSlBNVFFjVEV4Ynd5WWh4M2pvODV1MjNwNXFvNThDanBtMmpSSVRFak9xVG12cnJEQktianNoaDhPNm1ObTE1Y04zZFZ2L1JxdVIwQjBBYlNqcXorMFBhN20wRHVIUU94MFNHU0pCbU5Sb2F6aThVQ3dHUXk2YTRWYzgzd3BjSytYMUhXOGJvZWZmVFJxMWV2MW5YZDcvZTN0clplOTdyWEdkKzJxcXF1T09MVzFyRVV6TzIxZXIrT21XZk9yTG5HdDU0eFdQQzNFMEdtVm1lNTAvR3hqYW5yZW5kM2QyMXR6YzdGZERvOWUvYnMyYk5uRHc0T3lySWNqVWFHL2lLeXZyNSs1c3laVjNBcTNXN29LN3crVyttWFphMi91MS9wZU0wMzJucHYzVjUwcUtxcWtVTHdkYkNzZmNmV1VGWFZ4V0toYmE1MUdVQ0JMc3JTWnZFRVduMisyZStHRUhHY0d5MnQ1M1hFYm5iMjJ3amVVUmpoVnU3eWlEV0M2WTJEUTJ3RkVVcW5OdFlKVGZxblEyRUFscnB2Z2hWdFR6a1BwcWdzaCthc3gyN2U3OHB1R1ExN0pkWiswelVlNzJ3Y1ozY01sQmJTM2R6Y3ZPKysrMzdqTjM0anozTUw3RDczM0hOWWFjenhKZU1HWDJsbXhPUTh6eTljdU9DY20wNm5hWnBtV1hibXpKa3U4ZGpGVW05eHVSaFdkdnNlWSt5NEdlYVptdUNjcXQ0aTQ0Y1ZhY3FpS0VhajBYUTZsVmIvYUQ2ZmIyMXRkWkVOY3lJbWs0bkpDci91ZGEvN2tSLzVrUi8rNFIvdTkvdW1ORy9hU2JQWnpHWXdwa3QzMTc1TXRuck5PemdIVHBBQXJVUlg2MkZ0Wk12NVIwZTNBbEJKZmF4SGJPN09qVmFINDlNcWQ1cDN2ZG1sbVBqam80V2QybCtIeGUxY202aXR2anUydm1QVkdGWW84bnN5NW41bDJ4MERzWTFzWjgrZWZmVFJSNDBQWkxJNG4vclVwd3haNXZONWxtV1ducnBSMWZjcjFrelN6Szc3b2lnTUJ5MlRiZ3lOTGtDeFNnNjUwVG8zcHd1ZW1JeVJGYnlGRUM1ZHVtVHg3dGxzZGpzZE51MjNybCsvYm9jNlNaSmVyM2ZQUGZkMEN6RHpZREF3SGt5TTBaanQ0L0hZeHNLVEowOTJHOWJORUw5a0h2V3UzYW5aMUI0clFUQkxEUnIvOUVZdzZxYmVxNElNQUFaOFBQQ05rL0ZOZnZsNDVvcmNVR2ZjYk41TllQRW1YSTJiVHFVYmF0d04zdWF0MTMvanJ4eFora3VFWXI1NjdZNkJ1S09SdmZHTmJ4eVB4enM3TzJ0cmF6SEdqMy84NDVjdlg3N25ubnM2d3UvdlJZSEFLMnBkSElDSTBqUTFCa0pabHRibndwYXhNTjh0ZG0zMUFySVE4UDMzMzIvdDQyeTZjUFhxMVJkZWVPSCsrKysvTlFwM0xMMSt2NitxbHk1ZE1nRk1WWDM5NjE5Lzd0dzV3OWtPOXpzRmpGV0NzSTJhdHA2eUxFMjc0L2VvZHVNMVpzZkdyQWlVMHZIQXVreHZIZUo0d2JsT0NQOVFTTmZSc2NEMGl2RUhiMGFhbzlXZWJDc1dZc0NTWXRqbFVjRjBsRjUyYXhNNVR2Nzl0ZWNsdkp4aHgrNzVlKzY1NTYxdmZhdTJOYlhQUHZ2c1J6N3lFYlRxa2Jiazd4ZDN1RE9Ub2plQU0vaytpL0IyRkxHeUxHODk2VE44WENYNW56dDN6dGh2SmdTNnM3UHptNy81bTdpbGVERmFVcHE5ZnZMSkowMEtnNGhtczltamp6NXEzMTNOV0ZyV25wbERDR1ZaV3VpakxNdU9FZGpoL3FvQTVsMzc4bG1EdERkNVdGelZIbzZkUFR5N1JveEE0WlNja2dmYmc5dlBEejhJWXMyTWp6NUk2ZGdIZzQ5OU9MaGpIeVJFVmdSKytKR3k3eDRKT1hzNE9HbzA4VzczY1RpbHQ3UlgrK3o5WHRzZEEzRVhLajE1OHVUM2ZkLzNiVzF0ZFhWWi8ray8vYWRQZk9JVGFBZTBWMVpXOGN0dGxrd3pLcGhWUnRoejV6eGE1emZUOXJ6RmVneDhEUnh0Y2pBYWpkNzk3bmQzckkvWmJQYUJEM3hnZTN2NzF0dXpHajM0NkVjL2V2bnlaZVAvYm0xdHZldGQ3K3BndXFzZk5mcWFsUzFaQ2JoenpwU2F1MTJ3TTNYcmlzZTc5dkpzbFFLeExKcVZScldnZWF3QXBZYmpIOTNDS3BEWVBHSzRxZHZMdEFUMDFjZHFpUFpRdVBibVk4UHhBOFpOVm5Sa01aWG1jZE5WM1RoYXZOSTU0OS9YOW5LQTJQUjhBYnpyWGUreXpJOFZFZnpQLy9rLy85Zi8rbCtMUmFNN041L1BPMDJacjN3emVESkgyTjVhUU5aMlFkczZ0MVZLM0xHbWJiVmJWelJCUkYvLzlWOXZjWFBUNWZqRUp6NXg5ZXBWRzcxdXRoNkxNTmg0OE9TVFR4NGNIRml3NGkxdmVjdTczdlV1aTh0YkdSaGFSb2VGN0dWRmh4T3QvMnVSN3Fhb1ljWFh2bXV2bEMzSnl4MDN5emwyVFRYS29ZY3Q3NDkvZElzUmcxM3pjUDdtQUhxbmRvZEFmTlBIa2QzcEFKcHUvbHZMZzNVMDJuSGpNSGJuTy9iNzIxNE9FSGZoclZPblR2MjVQL2ZuN3J2dlBydlB5N0w4Ti8vbTMvemN6LzJjZVpkNW5sdVZ4K3JYdTRTWXZlNmd4TXhLM1F3dnFxcnE5WHBkY3VrVzJ3UEFldHgxTElLWHdkRFNWb3pDc21HTHhhS3JHK3kwMVZjMy9tYld4WWp0aFhtalgvZDFYL2REUC9SRE1jYnBkTHF4c2ZITU04LzgwMy82VC9mMzl5MlNzRHAxMExieHVITnVOcHM1NS83bi8veWZQLy96UDI5S1E0UEI0Sy8rMWI5cWg5ZDhjL3NWYTFPTnRqT2VEUlUySFA3LzIvdnkrS3FxYS85OXpybnprSnQ1SkNTUUVJYUVKRURDRk1JTWdpQW9vRldCT3RYV1dyWFAydUhYdnJhdmZSM2VxeDNVRGxhdGRjU3ByWXFDZ0NESXBNd0VDRk1JTTRHUThTWjNIczd3KytPYnN6emNKQmNTSWxUZlhSOCtHc0s5NSt5eno5NXJyL1ZkYTMwWFFJeUl3K1AvV2lTa0Q2VkxQenFhSzYxVndlQTZRS1UxMThNL2ZEZC8rdW82UGYzVDNRVlpOLzhrZFBYZFRyTkt4OWpuL1I3LzNhVEhEd3d0U2FmV3JGbXpicnp4UnFQUmlBcXVDeGN1L08xdmYzdnV1ZWRjTGhjc1NrWWtvV29aTGxTYnorZURIdzJkQzhNTnRKQit2NTgrQTkwWDVZVEV5d3VGUWlna0E2dExMekFtY0pzcWlnSmNGVW03VEJNRXYwcTU2NjY3SmsrZTdQVjZnOEZnVWxMU2UrKzk5OFFUVC9BcVNSVmpESVRDZUJ3TXdHNjM3OXExNjVWWFhvR1ZMUWpDMHFWTEJ3d1lBTllJUWxIUThvQU9NTXdicWtqK0Qxb1cvMmJTd1Z0MmhYOFVKaXRkSXI3Ui9ueXVIbjZYbUVLM2Z4VEdPbERySy92eitUZGovY0pJYi9LSU9ZNUQrckJlcjNjNEhFdVdMSkVrNlpsbm5vRUpXVnRiKzllLy92WHc0Y05mK2NwWEprNmNTSWVickhLVFE3RmFMSmJ6NTgvWDF0WW1KU1VOSHo2Y01ZWVFFMjVoc1Znb0FTQjZBZ1pBQTVpQnlHMTB1OTI5c0loUlAwMHBFMmF6R1RTKzBHNzBzVjRyNWV6czdEdnZ2TE91cnU3UW9VTXBLU25oY1BqdHQ5OUdMUjl5MFZDRHB6VmRqeDgvdm56NThsMjdkalUxTldWbFpkMXh4eDBQUHZnZ2NmZGdjbUQrd3gxQmtCQ05ySzZRcURNbW42dW9Idm1WcmtaNC9QOU8yR2xQNFErbGl4eUlxRmRubjFNOTBCZE5lcXlJQ1lJMEdvMW83SmFabWZuSUk0L0V4OGN2WDc1ODkrN2ROcHROa3FUMzNudnZrMDgrS1NrcG1URmpSbUppWW1abUp0ckZnNlRDNi9YdTNidDM4K2JOSjArZW5ETm56cU9QUHRxdlh6L29EcGpHcUtJR2x6bUx5cFpMbWhGR3RNRmdzTmxzS0R6cmtXalpmMkNsQWptaGFwK3JMRWlUWmZtR0cyNHdtVXgvL09NZnQyL2Z6bkdjS0lvclY2NVVGS1dpb21MTW1ERUpDUW1BRVVSUmRMdmQ2OWV2ZittbGw5YXNXV094V0FvTEMyKzc3YllISG5qQVlEQ0E2WUxhTE5FTVdLMVdxUExQcXp3cEpqRzV2Q2d4dmRvNzZiRWlwbmFaakRHSHd4RU9od1ZCc0ZxdDMvem1OM056Yy8vMXIzL3QyN2V2cWFrSkRHMzc5dTNidUhGalltSmlTa3FLeVdSQ28yVlltdWZQbjgvSnlaa3laY3E4ZWZQQURBbEtIZFN6TlRVMUJZUEJmdjM2ZVR3ZVVlMlYwS1hBREVTUER4VDFta3ltVTZkT29hbFNqd1I2UEJnTXV0MXVLdVVBZU1MWTFSWkJBQTZlTkdsU2RuYjJpeSsrK01FSEg3UzB0TGpkN3FlZmZuckZpaFVGQlFXNXVibUppWW15TEYrNGNBR2srNHl4bEpTVU9YUG0zSHJyclNVbEphaVRKdnlYQm9NV3F6NmZ6KzEyUXhINy9YNDBINGtWYmx4ZndkUmZ1WkhJYWY3Yms1djh1N3hpaFVoSnIweitqWVordmFVM3JaS2crSUFZNlBWNnhKRWtTWm85ZS9hc1diTTJiTml3WnMyYTZ1cnErdnA2cDlPcDErczlIby9MNVFKMEd4OGYzNzkvLzdTMHRKLys5S2NqUjQ3czM3OC9kWXRBMHJIWDYrM1hyNS9MNVRLYnpjT0hEOC9LeW9xZXBjRHpQUFI3WW1JaXJqOTA2TkQ4L1B4ZXpBV1ZvdVhrNUlSQ0ladk5WbHBhMm9jR1pudDd1ODFtR3podzRFOS8rdE1KRXlaczJMRGh5SkVqOWZYMThBK3FxcXFBTXdEWUhUSmt5TlNwVThlTkd6ZHExQ2d5OERtVnFRZHB3b1JMMk8xMm85R1luSnpzY0RqNjlldVhsNWQzV2Q2N21Gd1Q0VmhQZEUzUDF4bkgyT2VKWlhTa1FWenBEYUxUSjhVa2luQTk5YmhCekloU0xyMWVUeEF3WlZNQVEvRDVmTFcxdFNkT25MaHc0UUlTV3UxMmUzSnljbVptWmxaV0Z0akNpRUtNVnpzWjQrSUhEaHd3R28wMm04MW1zemtjRHFZMmwrdHlQQ0NxVnhUbCtQSGpzRjRkRGtmdmlNU0F1clMwdEtCamRISnljbkp5c3BZMWdsUEpWYS9HMHZSNFBFREFHV05PcC9QQWdRTXVsNnV0cmMzcjlhSy9TVlpXVm5wNitxQkJnM2llQjF5akpiSFRjZ0F4eHBCVUo4dHlXMXRiYzNOelhGeWNJQWdwS1NuNFZpQVFBQTF4VEs2bmZON2h0TTlWZXJITVk5cTQ1OUpqUmN4VVBoRnRzaXBUa1VwVVBaQXZqNlJqYUcxTzdYTEUxQ1EyYlJTT21CRGd3aE85RHZwM1hBbm5tUlpIN2gzSGhjL25ReDBkL1NZVUNsRmpwS3RVeEFqRVlZUkl0ZFlXVmlENVRCc1lwTWNocWt5Z3cxcXFJQ1FPRXdlL2xpZ1o4eFlyWmI3Kzhua3J5bjlEUmZ4dmN2RXZsUFJHRWNja0pqSDVkNUV2dENLT2lTcGZHTDdnbU1Ra0psMUlURkYrS2VUL1hBVkxUR0lTazVqOHUwbE1FY2NrSmpHSnlYV1dtQ0tPU1V4aUVwUHJMREZGSEpPWXhDUW0xMWxpaWpnbU1ZbEpUSzZ6eEJSeFRHSVNrNWhjWitrTkgzSEVENTNaM3hXTlNEMFVwUnNCcHcrdUh3Z0VRTlZHZllDdWNPUlJrcWFqY0EwcmFoZDAvQlg4ay9SejUyOXBQNm1vUGVXdWZKd1JvNkpueEtXMFhQS1lzU3U1RGlhd2QyT2dlOUg4VXdjbW1sSVU4dENIb3hEZWR5ZmFLUVVmS2V0bTNsd3VGMk9NUHROWlJGRU1oOE9pS1BaaUdDUm9iVVUvMDczb2w2RDRvTUZyWjVoKzZLNzFjdlQ3MHRlMUZPbTRWOFR1aTloNitLNmlhZi9jV1hxNkgxR2ZxZDFvc2NxRHowTjZXZEJCZllPWVdobU1GVU9GWVo4SDEwd1VEcmJPZ3VvMXRLWFE4a3dUQVR6OVZWdVpMVWtTMVEwU1dUWDFzYWR2YVIrV3lnaEI4VzR3R0VERW9lME5xaTJIdTBKQnRUZGpEQXh3MElNby9NTWdVYytORjhIelBFcnBpSlZZKzd6YXY5SWdlL0dDYVA2cDdKdXA1ZGNndnNCY0NZS2dyY251cVdDMnRTOGE5KzN5bW9yYTVZVG5lWnlYVkFsSmdubnI5WUxFWmJ0Y2VNVFBoK3ZUVlBmaWRXdHZoMnVDU0VSYnBBcWlhaTJ2Z04vdkYxUmhuZFkyWFJDQzMxOE41enJPTm0wdjNaajBsZlJTRWVQODErbDA5QU1kenBmdldSQlZ1ak1lZFRxZGRoV0NiQUZNQzcyN1VYZDMxdzRleXhkYmtlcWJPd3V0ZFhhcDF0RHVwWjRLYmVhSVltVXczNE8rZzhiYzVjQmdUMEdKMDVHcFBUeDZJV1NvMHM2UHVKU2tkbmpxeFh2UjZoRXk3bEFpVHlmOVpVdk1xVXBlRkVXVHlZUUQ3R3JhOUdudjIrV1lxZk0zL1JMMjQ5VlFRbXRQSSszUG5XMlJRQ0FRd1JISUxyVXo4RU9FRFhIbGdzcCtUbTJ2ZFRWSFdreWl5TldXT0dzWkdLNmx3R3FJY2w4c1gveVhXckJvN1F0U25maXYxcnJ2ZkxVdWJRMTJhV2VqTG9keE5jWVJ1NXdXWUJyYkhBY2hweEY4QUtZaUhTZDl5ejRCSGd5eTErajN2VGgrWUFuQ3pTSXZoT000TERDaXBhWlhSa1QrakRGMHRNSVhvYlBJUHVpckp5VzZRWXdLSGJMTlpqUHBTbUpLd1E5YUI2V3Z4cUFWYldmQ3ptcFhLOWZkTjQzSmxVaVBGVEg2VkhicEpESU5hS2pkTUQwYlVGUkxoNmw5N1hxdDNicGNRL2dsb1pPMGZ5TEdyM1h4T29NYjVKWWFqVWJ5by9GRGQvbzlpa1NvRW1EaVdxOVFleFJGWEY5N2JLQVhOUnFPZ1BNZUxaUjZ5cE1aREFhSnBaTXdIL3dUbEtiU3FadEo3MFM2bEJDS1ZsVG5KeVgwQm9xWXpON09FQUVSSi9WMEpOckR1MHZZZ1hpWGdCZGhJVjJsNTA0d01abWlwT0sxcTFFN0ZaME5oYzYrSGE3VDAvMEk5d3ZIdVhJcFVWZE0rbEI2WXhHVExxYVhUVnNDb3IxbTN4N0lXck9PM004dVA5a2wvWmpXZk1EdXhlTHVrblNZckYzdGJpUUxsQXh0N1Zkb3c3dmRialQwVkJRRkxWQ3Z4bW1BdGR2ZDlsWVVCWFQ0VjNnMTlGWHA5V0RvcGpoalFxRlFCRWpTdTRmVlVzZVJhRGxJV1NlM28vT1pXbDlmbjV5YzNOcmEydHJhMnR6YzdIUTY3WGI3c0dIRDB0TFNlam9lcHZIMmFObGN2SGpSWXJISXNvd081VDZmcjdHeE1UNCt2cVNraEw0RmV1NnJXZlphemo5SWhOa2JZZXhyM2I0dXY5SlhJa2tTVm5oTUYvZTVYQlUwNGZQNU9JNEQ0U1JoU1o4VGhFU09LaGFCMSt2VjYvVlJ6QnkvMzAvOWpDVkpjcmxjN2UzdFBwK3Z1cnJhNC9HMHRyWTZuVTRFdGRIa0xUNCszbTYzcDZTa3BLU2tKQ1VsSlNjbkp5VWxDWUxnOFhod0l5MnNRWTlKZXlBY0RuczhIcC9QMTlMUzR2RjRtcHViT1k1cmEydExTVW1aTVdQRzFaaElDSzlCMlRtZFRwUEo1UFA1MEdrVVhWYlQwOU1URWhMSUY4WWhnWkMzTE12UVN1Rnd1SzJ0TFJBSXRMUzA2UFg2VzI2NXBYY0laa05EZzlQcERJVkN6YzNORnk1YzhQdjlpcUtNSERteXJLeE1PK0JlMkUyU2h2YXpyYTBOZXg3OVdhRG02SkNMVU1yQllCRHpzM2Z2M2pmZmZIUFBuajArbjYrNXVUa1lEQm9NaG9TRWhFV0xGbjN2ZTkvcnhTdFFWR3BXNEI2MXRiV3Z2Lzc2K2ZQblcxdGJ6NXc1NDNLNUpFbnkrWHk1dWJuVHAwLy96bmUrRXg4Znp6UVdRSyt4SURwK2FtcHEzRzYzd1dCd3U5MU5UVTJEQnc5RzM1a0lxMXhyRGdPekRvZkQxTnN3WXNYMlFyeGVyNklvSUxhTzZlTFBTWG9mMmo1NDhPRGF0V3RQbkRoaE5wdngxbkVtVXhpM1F5LzA4TXBTTjhFRXVOalk1SUZBSUJBSUZCWVd6cDQ5RzUwM093dU9CNy9QZCs3Y3VVT0hEdTNhdFd2ZnZuMTFkWFdoY0pqeWNtaUJRbkZROU0vaGNHUm5aK2ZuNTJkbVp0NTU1NTJNTWFJU3BnWGQwdExTME5Cdzh1VEpjK2ZPWGJ4NHNhR2g0ZUxGaTA2bnM3bXBLUlFLNFJod2V6d1RKa3pJemMwZE5teVlkbXphbzYrNytZRkx5QmdqSlBUTW1UTWZmZlRSMGNOSG1wcWEwTExhNVhJbEppWGVldXV0UzVjdTFldjFvaWkydExSY3ZIanh6Smt6cDA2ZHFxdXJ3M2pPblR2bjkvdTlYaS80NHdzS0NsSlRVcVpPbTlhekY4UFl2bjM3M25qampZOC8vaGlLVXBabG85SFkzTnk4Wk1tUytQajRBUU1HQU1tSndJdXZVUEJHVHB3NHNXSERoajE3OXFDUFZGdGIyNElGQzFKVFV6TXlNdWlUeE9tTVYweWRzRStlUFBuV1cyL0praFFYRnllSm90bGswdWwweDJ0cmQrL2ExZVowcHFTbTluUTg5TWJoQmgwOGVQQnZmL3NieHhnNjUvSTg3M0E0bUtLY08zdDIxUWNmVEo4MnJhU2t4QkVmTDZoNEVjZHhRcS9jSUNqaXFxcXFwNTkrZXZ2MjdhSW91bHd1anVQdXZ2dnViMy83MnlrcEtWZ1BCSDlwTld3b0dIUzczWDYvZitlT0hZRkF3T1Z5dWQxdTJPOGRObklQMWJFa1NVNm5NekV4c2JLeXNyeThYQkFFczlsOGxZR2xtSFNXSGl0aWRNVGdlZjdnd1lNdnZ2aGlNQmowZUR6d2kvR21FVmZGUnVVWVV5U1pJcTNCWU5CcXRhS3BtdGxzOXZ2OVBNOTd2VjZ6MlV5LzVIV0NyQWJac0FIb3dBY3R1dC92eHdBKytPQ0RxVk9tTUZsaGpOSHljcmEwbUV3bXM5WEtHRHR5Nk5BLy8vblBUWnMyWGJod0FYQ0tLSXBHYzRjTFQ0RjRlcTZNakl6VzFsYS8zKy94ZU02ZlAzLzA2RkdQeDFOVFUvUFVVMC9Cd0lFL0RrRHc2Tkdqanp6eUNEcEdlNzFleGxoU1VwTGI1ZElMT2ttU3pFYVRMTXZ4Y1k2TDlmVmFqMXZSL0pla3k1MEI2MCtXWmN5dEpFbDc5Kzc5NVgvL1FtQWNVeFJaRFVrMTFOZTNUSjdDS1V3TWhYVjYvY25qSng3NDVnUE90amJnTFFHL1g4Y0xMUzB0R1JrWk9sNFFaU1hCRWU5cWExLzl3YXFwVTZkSjRiQUF3MHBSRkVBdWd0RGR5UkFPaHgwT3gxdHZ2VVZBSVNZa0xpN3VuWGZldWUyMjI5Q2VxbmVVL1BTOC8vVmYvMVZkWFEwNEc5bGFkcnNkelZraWxEdnVRbWF5TE12RnhjWEZ3NGNmTzFyVDJ0eVNrcExTM3Q2dTArbXlzL3J0cjlxM1pkUG1CWXNXQmYxK285a2NDZ1FNbUZJOGZqZlBTeFlmcWJseDQ4Wjk4NEVIbnYzck03SW9HZlVHbnVkOUhxL2Y1N1BaYkI2WCt3ZmYrLzZ5WmNzY2puZ3BMUEpHSTFQWVo5UGJFNkU0cENSSmUvYnNhVzl2aDJPbktJckw1VUx2RlJ3U1BNOHpSZkc2UGZ2MzczYzZuVWVPSEFrR2czdjI3QkZGc2FtcHllZnpNY1pjTHBjc3l6YWJ6ZXYxSXJXSjF3bGRLbEVZL3RoWitDN0NzTWhUd3ZZWk8zYnMxU1FteGlTSzlIaE9vUmZnRktQUEpuUXJjclpDb1JBYURCdU5Sb1BCd0JSRkNvc2NZK2pRb2RmcHdxRVFZOHhvTUlSRElVV1dqU2FUSklvY1kyYVRpV01zRkE1enNrUmFOU0lzQm1nTU9VbklIdlY2dll6amZHNjN4VzZYUWlGWmxoT1NraGhqOVhWMUw3Lzg4c2FORzJ0cWFqaU8wK3YxUE1mSmtxVFQ2ZngrdjA2dk41dk5ScU1SaVZiQW1pVkpPbjM2Tk13Y3M5bmMwdEpTVjFlWG1abnA4L21Dd2FERllpRjdtYWtZTWZyMXdZSU9oVUl1bHlzY0N1bk5PbXFKeUxFdWVMdTF1cmlYYldnVXh0TjNGY1lwakRHbTArdGxTV3BxYWdxSHdtZzlKWXFpeitlTGozTmtabVNneHNGb05BYUR3V0Fnc0hmUG5vWUxGOUl5TTVra01VR0FuYTlFVFd6UzYvVU9oNk84dkh6Mzd0MkVmcUR0Q01keCsvYnRHejkrZkNnVTZwMFdab3lKb25qMjdObno1ODhqTnhiZXQ5MXVIemx5cE0xbWk0aVZJZTdFY1p6UDV6TVlEQjZQeDJhekRSMDZ0S2lvNk9UeEU0a0pDWW9zbTAwbVdaYkRvWkFzU1o5czNicGc0VUtnTVFZQzA2T2FkWjN6VmRMVDArZk5tN2UvYXQvT0hUdjhvWkRWYWhVRXdXcXhCQU1CblU3WDVuUSsvcHZmL05kLy9WZG1kcmFudmQwV0Y5Y0xMYXdWeW1TbjMzU0pCcno1NXB0Lyt1TWY2K3JxRkVWSlRVME5oVUpKU1VsMWRYVTZuUTdMM21BME1rV1JSTkZtdGNLNzZ2S3hUU2FUeStXQ25xWFFuQ3pMZ1VDQTR6aFJGSkdUQnh1ckYwSDRtRVNYM3N5bUxNc2VqNmV0clEydnpXUXlvZVZhYW1wcVZsYVd3V0RBSWxBVUpSd0tHZlVHdlU2SElnSzlYbi84K1BFTEZ5NWdFV003aGNOaFdaWUxDZ3JpNCtQZEhvL0NkU2dwSE5Fb2taSWtDZmltS0lwV3F4V21zZGZyaFNtS3M0SGpPTDNSeUJnN2MvTGszLzcydCtYTGwxKzRjQ0VoSWNGa01uazhIc1pZWEZ4Y1RtN3UxT25UMHRMVDgvTHlzckt5QkVGb2JtNCtlL1pzWTJQanNXUEh0bS9mZnZiczJkYlcxb1NFQklmREFRQVVqaDVadGRpWlBNOFBIVHIwaHovOG9jbGtjcnZkaHc0ZDJyQmh3NkZEaDdJeU0zMGViNSs4bUo2S0dBcnhnbEJSVWZHYjMvekdZck8ydGJWVlZWVnQyYno1K0xGYW05VUtYTUprTW1IL25EbHpadGV1WFhQbnovZjVmQmFialhFYzQzbDJ1UXhUdTkwK2UvYnN2WHYzNGdEVDV2WisvUEhIOTk5L3Y5ZnJ2WnFtcGR1MmJhdXZyMGREYnJqU1E0WU1HVFZxRkx2VThtVnExRlN2MStPOWtLZnNkcnREb1pEWlpBSzBDdlJKRUlSUFB2bmsrTEZqK1lNSGk4R2dEdUM0SkFtWGEwcExQd3VDQUNOMGVISHgwcVZMMjV6T1E0Y09vWWJGYURUNmZENUJFRUtoME1xVkswdExTKys3N3o2YjNkNVRCQ0JDQ09Wam1yQWI5WTNWR2loeGNYRUdneUV0TGMxc05qdWRUa1FSN0hZNzFibUlvdWp4ZU1MaGNFNU9qajhRWUR6WHBTS0d4NG5yNC9ONHk2Ui9zZGR3d1d1ZnJ2cWxseDRyWWlxN3JLK3Y1emd1SVNFaEVBaklzbHhXVmpaMjdOaUtpb3JzN0d5YnpXYTMyMDBtRThkWXdPYzNHWTFBS2p3ZXp6UFBQTE44K1hLRUZHRFVXQ3lXaElTRXUrNjZhOGFNR2JLaW1DeG1Vc1JrWWt1U2RPREFnVTgrK1dUZHVuVjFkWFZXcTFXbjB5Rm93MlNaMStzWmRnN0gxUjQ5K3FjLy9XbkZpaFhoY0RnOVBkM2hjSncrZlZxbjAwMmRPblhhdEdtVHAwenBuNXNqcTZsMUhNZGxabVlXRnhjenhyeGU3NTQ5ZXo3KytPTjMzMzMzekprelNVbEpEb2VqdWJrNUVBaFFKYXRXa3BLUzVzNmRpNjB5YWRLa3RMUzAzLzcydDI2M1crQ3V6eHJWR1F5TXNmaUVoT25UcHh0TVJzYlk1TW1UcDAyZCtyM0h2dHZtZENxS1lqQVlVQVdEcWR1NmRldmMrZk4xT3Qxbi9rZlU4QXVRMzRxS0NvdkY0dmY3b1FjcEVIVHc0TUhEaHc4UEdUS0U5VFplTHdqQ3</t>
  </si>
  <si>
    <t>A1OStpZ01iZnJkT3A1czhlVExDRDNSTlREamx5VUU3STQ2MGJkdTJIVHQyUUgwd0ZYcUNyOTNVMUxSbXpacUhCZy91TUNvVmhWMVpyQW42RndsQ0dNTk44K1kxWEx6NGw3LzhwYVdsQlRjQ2RDQ0tvczFtZStHRkYxSlRVeGZlZGh0ajdET2wzeE9ocVFQd3pXbThRMWowaXBvVmpwL0hqaDM3Ly83Zi8zTTRITUZnY011V0xhdFhyNjZycTB0SlNVRXVFMmJTYXJYbTUrZi82RWMvaW5NNDR1SWQzVGtDU003eGVyMW56NTQ5ZE9qUTVzMmJ0MjdkbXBLU2dtRjRQQjdnVHJHYWpzOURlbU1SNDRXMXRMUmdyWHM4bnZMeThwLys5S2NGQlFYSWkvb3NYcXdvUnIxQnAxcEo4VWxKQ1BvenhzeG1NNnhkdUtKeGNYRkpxYW1NTVVrUytVN3BxTElzNStYbFZWUlVaR1ZsdmZMS0svWDE5Y2p2Y2J2ZG9panFEQVk1SE9ZRm9ibWg0YTIzM2xxeFlnWFMybmllUDMvK3ZDaUs4K2JOZStpaGg0YVhsRENPaTJqNWpXUVB4cGpWYXAwNGNlS3dZY055YzNPZmUrNjVJMGVPcEthbU1qVnBnUkwxS0tLTlNjRFhVMUpTSmsrZS9QTExMNTg1ZmRwcWpzekJ1cWFpS0tGUWlCTjQ1SUZNbkRScC92ejVyNzd5aWw2dk41bE03ZTN0Qm9QQjcvY2JqY2FxcWlxL3gyTzIyUmhqaWloeUhNY0VnY2t5RTdvK1NHQUFEaGd3SUNjbjUralJvMVRUakpwWGw4dTFjZU5HcERmMFRoRTduYzc5Ky9jajFROXptNUNRVUZsWmlYOGxRNXRzTVo3bkFWTWc3MDFSbFBYcjF6YzFOWm1OSnVSTkkzb0ppNVhqdUE4Ly9QQ2VlKzZ4eHNVeHhwZ3NYMVlSU3hyYUUzanJvaWh5akFtQzd1YWJiMzczM1hkYlcxdVppb2xqa2Roc3RpTkhqcnp3d2dzREJnd1lXVmFtTXhyRHdhRGUxSnZzRktEd0VaWFRVTVRJQlNaMW5KMlRrNTJUZzIrTkh6OCtKeWZuOGNjZjErbDBaclBaNS9QQnJRVGdObmJzV01GZzZBNlJRZVlQenVuUzB0S2JicnFwckt5c2YvLys2OWF0a3lUSllyRUVnMEZBVHpFdC9IbElqODAzckVpWHkrWHorUlJGYVdscFNVeE12T3V1dTBhTUdBRXRESGVtWThNZ2pVbVc4VWNSeFE3VnFkTUZBZ0c0alZoZUhlVVBvUkF4dHNEMEJvWUxhQ0kxTmZXdXUrNjY0WVliNHVMaVlERTFOVFZ4SEJmeSszbTludkg4cWxXclZxNWMyZDdlRGtUQzdYYUh3K0daTTJjKy9QRER3MHRMR1dQT2xoYW1LVCtEOTRmc0RzQVh5Y25KZDkxMTE3MzMzcHVhbWhvSUJLeFdLK3h4dVN2NkhxUzFZWkFKQ1FseGNYRngyT2ZYUXdJK0gyT01jWnpOYnRmcjliRGl4WEI0M3J4NXljbkpoT3RSeGZENTgrZjM3dDJMNzVLWEV5VWFEZ1BOWURDTUd6Y09NRDFTNktpVTQ1TlBQa0hrb0hmanI2cXF1bkRoQW1LQWdVQ0E1L25odzRjUEdqUUlEeExoQzBOVHd3N0F5RStjT0xGdDJ6WmsrQ3FLNHZmN2tac0l6aHFPNDQ0ZVBicDc5MjdHR05Pd095bmRqeFo2RU9jOW1kaUNUaWVGdzhscGFSYUxCU3NIYWc2WnY0Mk5qZjM2OWF1dXJuN2lpU2NhNnV2WlZTVFJReUZHNExCa0VXdi9LNElNU0JTbFVDZytLYW15c3RKb05IbzhucGFXRnEvWEd3d0drUy92OVhyeEZFbzN3aGhEWE03ajhRU0RRWTdqS2lzcnYvYTFyeVVuSnlQcFFzdXkxT3UzSEpQdXBEZCtORFFnTkNuSGNSTW5UcnpoaGh1QW8rSFlKR3hMRWtWT0VCalBNNTVYMVBvcmc4RUFkUUJEQXp1Y1N1bU5KaE5RWnFvUXhZb0VRSmFZbURoMTZ0U2twQ1FnVnZDMThkM3paOCt1V3JXcXJxNHVMaTZPWW9tWm1abTMzSEpMRWZMdE9TNHVMbzRNZ29oTkF2Y1d1L3FXVzI2NTZhYWJKRWxxYTJ2eisvM2cxaUowR0orbmtpME1Nams1MldBd0JBS0IzcnlFdmhDVHhjSVlrMFF4SEFvRkFnRnNGWjFlUDJqUW9DRkRoaWlLQW5NR1JZa2N4NFZDb1EwYk5paWl5QlJGME9zN0h6TVJRZzgrWmNxVXhNUkV3aXVoRFhVNlhXMXQ3WUVEQndEOTkyTDhtelp0WW1vQkljL3pGb3RseG93WkZvc2xRaG1SRGM1VTZCWXZidjM2OVVlT0hPRjVmdURBZ2FOR2pVTEdCUklBNkUydFdMRkNEb2VaSUhBd0RxNk1TQXhQUk5wS2tpUXdtQ0dpaFpYTXFSeFBjWEZ4SE1kOSt1bW4vL3JYdjFxYm1uUlhnWmhEMFpORlRMZUlHRE10WS93ZUVSVDRveGFMeFdReUdZMUdxOVdLajRtaFVFZXhmeWNodU45bXMrR21KcE9wdExSMDZ0U3BTSERTVXRuRk1PSStsOTdRWUpyTlptZ29qdU9TazVNckt5dnRkanNVb3RGb2hGZllrWnlyMHpIR0ZGRmtqSEU2SGEvVEFSMzJlRHg0bDRGQUFERTMyRGgwNXRPNmgrRGk1ODZkWTR4Tm16YXRyS3pNWnJOaEgzSWNKeGdNY2ppOGMrZk82dXBxdlY0UDJCcithV0ZoNGNTSkV4bGpQcmViTVNibzlSRlJGRVQvQVVZenhwQ05sNWlZdUdEQmduNzkraUV2UW1zTDhHcUJQN211Z0VwaHdsL1BCU3JMVEQwWVRDWVRmUHlBMzI4MG00Y05HNGEvNm5RNkdJejQySUVEQjF3dWx5eUtUSU01UnI5Sk9Cd3VLaXFLajQ5SDNFK3YxNVBtZGJ2ZGh3OGZacGVqRysxT0RoMDZCUDlERUFTVHlXU3oyY2FORzhmVUNRK0ZRbFRUaUYvaXpBUE0xZHJhK3Vtbm4zbzhIcnZkUG12V3JGdHV1U1V6TTlOaXNWZ3NGa0MzakRHOVhyOTU4K2FXbGhiR0dPTTRHVVp1MUhnZCtEYnhYVHJ2RFdwMkFWYXkwV2hFUG5VNEhFNUpTVGwzN2h4T2poZGZmSEgxNnRVOW5RUVM4dGkwditreWEwTFE2eFZSNUhRNm5kRW9Cb09DSURnY0RtQWFuTXFKUVFzMXlzR0FLWVcyQmZUQkdCTUVZY2FNR1VsSlNlU2s0Z014ZEtMUHBjZUtBd3Fyb2FFaEZBcjVmTDcwOVBTUkkwZEcvd3FuMDhFT2hTZG9zVmpnQkVGekdZMUdiQlVteTB6TmhJOUkzSUgwNjllUE1TWUl3b1FKRTZBZnFTcWYxK2xXckZnQnF3RlJiSlIrUUdzd3hpeHFvVkhrMkRSZ0hQZ1NNWmhodzRiZGV1dXR4REtEU0JkampHS01RRWh4Y2dBN2hrYkdRNUhYekt2cC9aKzc4RHhqekd5eFVESUF6L01tczFtUnBOdHZ2eDJvQXVCNGFPUkFJSER3NE1HcXFpcUVPblU2SFpQbEtCc1ZuajdRbUVtVEpybGNMZ1Q5WUhpaTltejE2dFdCUU9DeU5Xd1J6alZqRFBrcWpZMk5HUmtaalkyTm9pak9tVE1uT3p1YkZMckJZS0JwaEthRFZrTENUSFYxZFZWVmxkbHNibTl2THkwdFhiQmdRVnBhR2w2Wm9sYkhJV1QzajMvOGd6RW1oOE84dWlhalNIZEFFOVF1WTh4c05qYzJObEljcjcyOUhYaXhJQWdYTGx4NDRZVVhEdXpieDlUVGdxazB6ZEZaa2hXVmFCaVpENGdXNHBkSURVUWFlMGR1TDBwT2REb0dCOGhvUkhvRFRHbDgxMlF5SVp1bHk1aXpWaWlwaGhZdHovTmxaV1VGQlFXSW1XT0RNQTE1ZEV6NlNucEpEQjhPaHk5ZXZDZ0l3c2lSSTNOemMzdGhBZlhpdnVUekRobzBLQ3NyaTZsVXM0d3hkM3M3Q25uaFZRSE5rR1U1SXlQRGdNeFdubysrOGZTcUFCUzIyKzJwcWFuaGNMaSt2djcwNmRPQlFJRGlSWkxLV2Z5RkVFNFF6R1p6Y1hFeDFhQXpEY25Sd1lNSEdXUGhRT0N5d1NzeXgwd20wK2pSb3djTUdJQlRFT25ZQUdjYkd4dHJhbXJZNVN3bUN2clR6N1cxdFM2WGkrZjU5dloybTgxbU5wdEhqQmdSL1RxdzhveEdZeUFRV0x0MkxZcURTa3RMQ3dzTERTYlQrUEhqQVY2aFNKM094VDE3OXJRME52SjZ2U0pKckxkbW5kL3ZEd2FEV0FPNXVia2pSb3hBUE5CbXM4RkF0bGdzaVltSkowK2VmT0tKSjg3WDFWa3NGc3E1dnNLQ0NFN2xDOVQra3Y1NkxRMVNoOE14Y09CQW85R0lXaWY4OG1xU0ZHUFNwZlJZRVFNVUN3YURYcS9YWkRJTkdERGcyZ1JTY1FzWUYwbEpTVmxaV1VoQmh5WFkzTng4OGVKRkpEOHFLbm1ySUFqSWZBakNKTG5jYVVHbUNxNHphdFNvRzIrODhlYWJiKzdYcjU5MjgzemgwbmVzVnV1MGFkTW9Qd1RoVmpnTm4zNzZhY0RyN1hqd3FKWTc5aDVNb2VMaTRveU1EQ0xlWkl6aGFrMU5UZHUzYjJkWDNNUUJIM081WEx0MjdVSXVoOXZ0dGxnc09UazV3Q1dpWElkMHdlblRwMkdKUzVKVVhsNmVNMkFBNDdqWnMyZkRzd0h0SEJTeFhxL2Z0Mi9mdG0zYkdEWGE2SlVCZ2FOYVVaUmdNTml2WDcvNTgrY1BIVG9VQThEeEJpS2tRQ0R3OGNjZnYvcnFxNkFNcG9KcGRtVWRUUEFWSEZTVXZLSDl3RFZiaE1YRnhaTW1UU29vS0lDdlE0SFFtUFNoOURLUHVMS3lFcDc0dUhIanJsblZJekFFeGxpL2Z2M3V1T09PQ1JNbVZJd2ZqekcxdGJXMXRyWkNCWk96ak9USHo3N1A4N0lvOHZwdWg0cmlhWncwakxIQmd3ZC8vL3ZmdDlsc3NMN1ZhM1RCMC9adkxucWpzYkt5RWhsSUNPTUF6NUZsK2VqUm85WFYxZVZqeDE3SmRRQ21Hd3dHSUkrb2lJWDdENGpHNy9lanhGWlJ1N2QwSjV5R3hmeml4WXY3OSs4SGVBS2xPWDc4K09Ua1pLYmgyZWdzMEUwY3gzMzg4Y2NYTDE1RUdkNllNV1B3YjBWRlJhTkhqOTY4ZWJQWmJJWnBqRUcydDdkdjM3NTk3dno1K05pVno2SDJ4aFRnUXBoazZ0U3BITWY5NWplL2FXNXVkamdjRG9jRGFRWldxMVZ2TUx6eXlpdHA2ZW4zM0hNUG1PckE0SU9pN2VqelF6a2I5RXM2ZTdpclkvZnZxY3lhTmF1MHRGU1NKR3lFWGhkUHhpU0s5RmlCSXBoYlhGeGNYRnlNblFERmQyMlFVS3hGUVJCdXZ2bm1EaHRCWVV4UkVFekFNR0NZQ0lMZzgva09IRGl3WU1FQ284V0NXbDVabHFPTUV2Rmlwc2xSSFR4NGNNUm5lSldWOFl2RVBzVnhlWGw1QXdZTU9IYnNHTUFjK0EyTU1iZmJ2WG56NXZLeFk2VlFTTGljdjRsOFVzYll3WU1IR3hvYUdHT29SV2Fha0ZwTlRjMnBVNmNHRGh6WTNVVVVUWll4ZnFpdHJVWGlHaFhMVFo4K25hbVp5OTFkQjh5ckZ5OWVYTGx5SmRMcENnc0x4NDhmMzhId0lBaXpaczNhdkhsek9CeUd4MGFZNmI1OSswN1cxZzRjTkloSlVuUW5vTnNIVUVtWk9ZNXJhbXBLU0VpNCtlYWJqeHc1OHNZYmI3aGNycXlzTERCa1FtRTFORFM4L3ZyclE0WU1HVGR1SEd5WDZMeDMyaHdKeWlQRzc3SDR0YWhPandmZmN4RkZFWG1aQ0doVDM1Tll0NlMrbFI0dlJNSVpFVVZsbHdaU1BqOGhXRmFTSkFTZGRHQ3VrR1hHY1VhakVTU3dsQTlyTUJpQ3dlRHUzYnVQSHorT2IwVVBSaUYza21sWUZxRmlFSytQQUlXL1NGcFlVUmhqT3FOeC9QanhSSTJvZlYrN2R1MFNyNndISysyOTdkdTNJMWdIMVFrVEd3NTdRMFBEenAwN284eFBCTnFBZ2tiNDlTQ3VIRHg0Y0VsSmlhSWFudDFkeDJReWNSeTNlL2Z1NnVwcUlBOWp4NDUxeE1kM3FDZEpLaTh2NzkrL3Y4L25RdzRBRG1aRlVVNmRPZ1YwNGdxTDZ5S0Y0NmgzTGNLRHJhMnQxcmk0cjMzdGErREVhVzF0QlVVWll5d1FDQ1FtSmg0NWN1VFBmLzd6dVhQbkVCQkcxRFRLSFJTVlBFdXJpSm1HQitwYVdzUjR5L2hCR3hLNEJyZitQeVc5VWFBUkZvMTJyWHgrUWdrTWdxWURBZ2VTQko2M1dxMVdxeFZaWlFoMHlMSnNNQmhPblRyMTJtdXZuYXl0NVM1SGFrT3dIV0p4eUxlRkw2blZDRjg0WElLZWV0cTBhZkh4OGZBWUZMVVhxcUlvZFhWMU8zZnVGQXlHNks0NkpsWlJsS2FtcGgwN2RpQXBoYWhFS1VQYzcvZHYyclFwaXFLaHd4SVQzdGpZdUd2WExsNnRTemFaVEZPbVRBSFI0bVZQTzUvUHQyTEZDcnowbEpTVXFWT25Nc1o0TlljOU16TVRsaldDaXB6S1Z1UHorVFp1M05qVzBxS2RuQjRJeDZGQ1JGSjdObnE5WHFZb3VYbDVTNWN1SFQxNk5GSnVjVTRnTzRqanVFOCsrV1Rac21WTlRVMVFwcDBibjNlZUpWN1RrMVNMRVpNU3ZHWkxrZnduYWcwVk00ZjdYSHJERzRzZjRPRWluZXNhS0dJSWJnUkN2MEFnb0ZNWGhORmswaHNNa2l5TGtvU0NPWDhnWUxQYjNSN1BzdGRlVzcxbURTOElISURzYmtacXRWb2xVV1NNR1F3R01SeUdWdEtyMkRlZ0Qvd3NhVXF6b2dqWDZRZjhqRDg4NjJCUTY4MW00ajU3Q0lVeFJYc245WXBLeElOSzB2RGh3KzEyTzZ4WFdkUDVJaGdNN3QrL24wVXRNeU5wYVdrNWQrN2NzV1BIWkZYQW9zY3hadERyTFdZelU1UkRCdys2MnR1alhJUVVzYUlvYlcxdEowK2U1TlUrUUFhRG9heXNqR2hsZ3QyYjZ1RncrTlNwVSt2V3JVTU5SWDUrZmtsSlNUQVE2T0R6MU9rTVp2T2tTWk9JcTA5UkdSMEZRVGh3NEVCdGJTMjc0cURpSmFJb1lWSFVHd3l5b29pU1pEQWFCWjBPTjUwMVo4NHRDeFlrSlNjcmpFbXk3UFA3R1dNK3J5L09icGRFOGUvUFAvL1J1bldNTVRBbVI3MUQxK0REZGNsU3AzQUNSZ1cyL2xoQlI1OUxqeWMwd2s3QjRyNEdMNGFLUk9pdkhjMkJPQ1pKb2lNaGZtVFpxR0E0cERQb3ZYNmZvTmRKaWl3enhSWm5ENFpEVHp6MTVNUGZmcVM2K2tESHRSVEdaSVhKU29lNndoOUpGamdlUHhzTVJueUdlQ21vMlFmVE1NNTBLVlRnb0NnS2N1NzBndTZ6TzhvS2QrbWY3b1NwUGRNVXRhdG1PQnpXRy9RS3gyUlYvOG9jQTFtZG90SG9DbE0vd0pqQ0dDY0lpaWhLa21TMjJhWk5td2JiRThROW1FKy8zNzk1OCtad0lNQkZUYTNGZTA5T1RsNnpaZzJVV254OHZOZmpNZW9OUnIwaEZBanFlSUhKQ3MrNHhvc05hMWF0cGhGSW9iQVVDdE5meFhBWTV5aE02VGZmZkJOSmgrRHdtemx6NXBBaFF4RFhBdTdCTkdjL0dZTW9LWDcrK2VjVlJRRVp6VU1QUGVUMWVvMG1FNGVscUNoTWxrZU5HalYxNmxUQTRvTGFNa092MTdlMHRIUWtGTXN5VTNQRHRmbVJVZkprWlVYbWRZS3p2WTN4bk13VVVaWmNIamNuOERnQzc3cm43cS9jY2J2Q01ZVmpnbDRYQ29jdFpyUGY2N09Zekg2djcwOVAvZkhqajlienZPQjF1Wm5DeEdBSTg0T2xHUElIbU1KNDFaOWpqTm50ZHZnWmdBWHNkanZsQmRFQzYyNmNDTjVncWtGRWgwMHFTeEpPNGk3dEp6TFZxVWEwTTh0U1I5Wi9UUHBVdmd3bm02RFR4VGtjcFNORzZBMkdkcGNySXpPenBiWFZaRFo3ZlQ2UDEyc3ltd1BCNElxVkszLzhrNS84NmxlL2RMYTBBRlptSENjR2cySXdxSWlpSW9xQU9IQkJNUmdNQlFKTVVYcVJha3I5NWJENWVZNkRvWTA3ZnZhSFJOVzh4SzBCSVhVTUdJRjRaeFRXWWZZU3I3RVNZU0JmK2dPdWowQmNhV2tweWw1OVBsK1grYjlSbmhlN3Q2R2hBZlY0NkphRVlMb3NTVHBCa0VReEdBandIQmNLQm84Y1BpeUh3eUFZRVhRNnFqR1JOUXlLZXIzZTQvRmN2SGlSSGo4dUxtN0lrQ0ZVdHFCb0dOY0lUZ0VRWVRBWVRwdzRjZlRvVWRSNkRSOCtmT0RBZ1IzUmZEd0N4eW15YkRTYmh3OGZqaGNCSndDSVp5Z1VPbnYyYk1PRkN6bzE5a3RBRGMxWmQvTUFheGM2VEdFTWRyR2lma1hRNlJZc1hGZzVjV0pqVTVQZVlMRGFySXFpY0l3WkRRYVQwWGoyekpuWFgzdnQwSUVEVnJ1ZE1hYURqdFByRlVsU1JGSGZLZldJeWpoWjkxVk9VZDRYcC9ablFHWUxTR0xSUVFmR0UrV3UwUE1TNWdBcjU1S2tvNWg4bnZLRlY4UzBoaVpPbkZoV1Z0YmUzbzZOR2c2SExSWUxFdXgxT2wwd0dOeTFhOWZMTDc5OCsrMjMvKzYzdnoxY1hSM3krM1ZHbzg1bzVIUTZGYlZRNUhCWUVVV2QwV2d3bXhuUFM1ZkQ4anFMeVdRQzc1ZmY3MGNDYWJUSWhxSlE3VDh5UFhTcWFBRVEycENYeFJhN25COWU1WDRjT1hJazZyYkIwY0U2NWY5R3NiQXd5R1BIam9GcjMyZzBKaVVsTFZteUJNeG5CSDJDdGIycXFxcSt2aDdhVUh2d0VQSUxuWGowNk5HVEowOUNFUVFDZ2J5OHZQTHljbzdqa0MydXphOEFlVDlkaERHMlljT0dtcG9haEFxblRwMmFtWm5KcXpVN1VpakU0TmR6M01TSkU5UFQwNEZPWUpMeGMyMXQ3Y2NmZjl6NWtXR3FSeWxZSUdTY3FkRVJHaGhlOU5DaFF4Y3ZYanhreUJEd1dTUFZMeFFLWWFJKyt1aWp0OTU2S3d4N1V4Q28rbDhFS3d2ck9FakkvS1RucGRQaUNuVXhZaVFJZFdEMkZFa0tCUUppT0V6MXlsb1YzOW50WUYrc29QUVhYTDd3aXBnS1BRb0tDaFl2WHB5Wm1WbFhWMmUzMitHWFNaTGtkcnQ1bms5SVNFQUs1K0hEaDU5NTVwbDc3cm5ud1FjZmZHUFpzcm96WjVna3daTmxITWZyOVp4T3A0Z2lxQnQ2MStwR1VudnIyZTMyK1BoNHQ5c3RSYmk2Y0NwQkphTWhtUXVIdzZnbHhlQmhudUJma2JlTDdOcWV6UThzZlZsV0pNbm1jSlNYbHlQS2hGUWtGQk1pLzFjUlJhbjdRZ1BNOC9idDI5dmEybUJOVDVvMGFkNjhlVGs1T2ZoWDZFVFEvOWZWMWUzWnN3ZlpzQjMwT3FMSXNMRTVqdFR4d1lNSHo1OC9qMmNNaFVKang0N055OHRqcW9MVDJvTlUyZ0FvdWJHeGNmMzY5ZFFlQld5WlpObDFxQ3BCWUl3VkZSZVhsWlhCSkNUd3dXQXdORFUxYmQ2OE9lajNNMDFHTXhXN1IxZDJWT2FPa1ZOaEM0VW9wMDJiOXRCRER6a2NEcmZiamJwaFpCWW5KaWFHUXFHMWE5ZisvZTkveHljRGdRQlRTWTA3MzBoTHZVSm03Slc5OW81TVpJcGRXNjFXVHFjem1FdzZ2Ujd1V25jWjhZVEx5N0ljU3htK1p2TGw2WGZDY2R6MDZkTVhMMTc4eWl1dk5EYzMyKzEyN0RxME1BQ3ZVRUpDZ2hnS0N6emYzdDYrZnYzNmp6NzZhTUNBQVRObXpFQmpSSVBCQUJZWVRuVVMvVjZ2MmRZMVNVVjNJb3Fpb2xKTWhFS2hvMGVQUHZua2szcVYzb3hwOUFYK3B6TjB0SzdSL3A2cC9MQ3dqbm1lTnhxTllHTXdHWHJEYnl0TEVxL1hNMW1lUEhueUcyKzhRWGVKeVA4ZEVEWC8xK3YxYnRpd2dlRFU2ZE9uSnlVbkR4OCt2UGJZTVZCTUVKRkZNQmpjdkhuem5EbHpCSU1oSEFycFRTWkZVVGhGMGVidEJvUEJRNGNPK1h3K1lJNTJ1MzNTcEVuWStTYVRpYnFpa1BKbG1vWjRlL2Z1QlhseE9Cd2VOR2hRY1hGeE1CZzBxVDJRZUwxZURvZDV2UjdVN05PbVRmdnd3dy9CQmdrODJtS3h1Rnl1UTRjT0hUaHdvSHpzR0VBMGlwcEpjdG5KaEZwbjZvRkI3b1hSYUpRa3llZnoyZTMyUllzVzFkVFVMSHYxVlZtV1RTYVRLSXB1dDl2aGNGZ3NsbE9uVGkxYnRxeWdvR0RxakJsbW13MVUyaDI1ZENvZk5GMVFVZGxMSW5qaUx5c0lCbEFyQUlQQkVBNEVCSjJPQ3BvSUI4T3pveXNIMHU5Z3ZqREdLaW9xZXRmdE95WTlsUytKSWdiMW44UGh1UC8rK3dPQndJc3Z2dWh5dVd3Mkc4cmswRU1FMnRCa01ubmNiZ1NzQkVHb3E2dDc0WVVYM25qampaS1NraGt6WnN5ZVBUczFJd1BSTFozUmFPNkdLaWlLUUhIQTZJQU52bnYzYnF4eWZFQzdseFRHT0lIdkVwbmxWQ0lob0J4b3N0Y2JWMUZSbUdwZHlwSlVXbG9LWm5kaVVvWmFRZjd2d0VHRHVyc014M0dIRGgycXJhMUY0N3QrL2ZxTkhqMWFscVR5OHZJMXExYzNOVFVCd0VWcUYyT3NxcXJxN05tekEvTHo2ZXVLSkhHYXJzTm56cHc1Y3VRSTlRQXNLaW9hUG53NDAvQmcwSHhTK1F4KzZmRjRObXpZNEhRNjQrUGpSVkVjTzNZc29sZ2RtVjZTeEtrc09majg2TkdqaHcwYlZsMWREVUFaSFVETVpuTlRVOVBHalJ2THg0eG1ITWRyT2dBcDFOYWdHK25TSWdZc295Z0tCbU13R0I1KytPRlRKMCt1V2JYYWFEQWtKQ1FnL3gzVkplZk9uWHZ1dWVjeU16T0hGQmJ5ZW4zUTV6T2FUS3lqRm9tbkI5Y1NFR3VMcEQrRHNEbE5mT0JTd2NUaUxhTTk5bC8vK3RkUU9Oem1hZytMWWlBUThQbDhIby9INS9PQlA2dTl2VDBRQ0JpTlJnUkNmVDZmdytGNDRJRUg3cjMzM3N1dHNKajBnWHhKRkRGVDkwOVdWdFpYdi9wVm5VNzMvdnZ2ZTcxZWhKWEF6U29JZ3N2bDRobkhjNXpCWUVCWUdUVzFPcDF1N2RxMWUvZnVmZWVkZHlvcksrZk1tVE8wcUlneDFvc09DMGFqVVpZa2FIOEFEdWlrQzNOR0s0d3h4bkZldjQ5MStqM01ZYWIyYXFTS3dWQW9wRGYzN0pYSnNzeWord1pqdkU0WEZ4YzNjZUxFMnRwYXBhdjgzMXNXTERCYXV2VkdOMjdjR0ZLYlprNlpNaVV6TTVNcHlxaFJvOUxTMHREdm5Tb1NlWjZ2cjYvZnYzLy9nTHc4dmNuRUpJa1RCTzE1STBsU1RVM044ZVBIS1dWNDh1VEpTVWxKVEZYRVdrT00xeEQxS1lweTVNaVJ6WnMzQSszTnlzcWFQWHMyMC9aelk0eXBtQkw2aEtablpVMlpNdVhRb1VOSUlXQ00rZjErbEZOdjNyejU5anZ2eU83Zm42a25INi8yemV4dUVyckRpTFdvQ0I0aE9UbjUzbnZ2YmJ6WXNIL2Z2a0FnZ0V3Vm51ZkJHYnR6NTg0WFgzengyOS8rZG1aMnRxSW9zdnFXNlViS3BhVjBQYzFOd3NvQlZadWlLT2ZPbmZ2NzMvL3U4WG81Z1ZmVUQyai9Ld2lDMStzRmp6NUlQNjR3VFRNbWZTSmZFa1dNZmptTXNWQW9OR3pZc0ovOTdHZHBhV2x2di8zMndZTUhFeE1UTFJhTHgrT1JKTWxxdGVwNFFaWWtwQ0hETW9JN21aQ1FvQ2pLd1lNSER4NDh1SDc5K3B0dXVtbnUzTG45Qnd6bzZVaENvUkIwQWVBNXRPOURvMnRTdFJTelZoZ3ptazJLU21GQi8yV3FqWTlyd29nN2QrN2N3ZXJxbm82SFZ5MjdrTjl2TUp2RDRYQlpXZGxycjczbThYamc3ZXIxZXJUVk9YandZSHQ3ZTJvM2l0anRkbi82NmFmSXN1QTRyb1A3bE9NRzVPV2xwNmRmdkhnUitvaU9uRkFvZFB6NDhZRFBaN0pheWFTVndtSEJvR2VNQllQQnVycTZob2FHckt3c0lrN2pWUkpVUldWNWxsVU80a0FnZ0c1cFhxLzMxS2xUeDQ0ZGc0MDVjT0RBa1NOSGdpUkVraVJNWDBlNml5d3puZ2RYTDBaTDJSZm8vU3pMOHJGang4NmVQWnVRbUlqcWRsbkZsS0tyUEczaWx4WjNCcklQcjRzeDV2VjZKMCtaNG14cC9hK2YvdlRpeFlzSkNRa3dUZ1cxdGNjLy8vblBJVU9HM1BPMXI1bXNWamtjWm9vUzBUWlFVSXRUcmh3MklZRWpoWjlCRWU3MWVnR1RFeFNtL1R3T1VSeDFJRHZsMWU2bE1ia0c4aVZSeE5SbEdVYUVUcWQ3K09HSHg0d1o4NDkvL0dQejVzM29xTlNSdWlSS1RGRTR0VThTcHhaNndkbUVRM2Y0OE9Gang0NVZWVlhkY2VlZFUyZDA4QjVRb1owU3RTY2JMRkRnRXVnNS9jd3p6NlNtcG5acFhDaU0yZUxzWFZvZHNObVpxb1VWUlZtNWN1VmozL21PSXZXc0dFeVdKRjRRRkZFMG1NMWlNS2czbVVhTkdqVm8wS0JEaHc3QkNNSzA4RHpmM056ODBVY2YzYmwwQ1VWNG1NWlBQM2p3SUZvWHg4WEZaV1Jrekp3NTArZnpHUTBHUWRBdFdyVG8wMDgvcFF3d3FGMk80NVl2WDM3dnZmZWFDTjVCUXBVb0NqcWR4K1A1OE1NUEV4SVNmRDVmTUJpY09ISGk1TW1UOFNsdDJXUUVGYStpS0cxdGJYLzV5MS9pNCtOaFJ5OVpzaVFZREpKWkhRNkZESVNoUTYwTEFsT1Vpc3JLYWRPbXZmdnV1d2tKQ1V3bFFUZVpURzZQNTgwMzN5d2ZQWnFwbXVoSzZLc0F2K0I1Y1RLUndhNzlHQXJLYjFtNDhPTU5HM2JzMk5IUzBnSWFhTXFJNXpqdXlTZWZURTFOblROdm5pekx2TnBKajNyYTQxN2tTemtjRHUzYWkyNnVLb3Bpczlrb2ZTMFVDbFZVVkp3NGVWSm1pcXpHa3lINERFQXd1SThJUERvY2pyUzB0TXZPUmt6NlJMNGtpcml6aUtJNGV2VG9zckt5dlh2M3Z2LysreHMyYkRoejVvd1lEdHV0TmtXdENoUFZVRDdjYlRUNE1wbE1jWEZ4N2UzdDY5YXRxejU0OEQrYW0rYk1uVXVwOVl3eHI5Y2JKYWM5SEE3ejZsWXhHQXdPaHlNOVBUMGpNN043ZnBtdTl4UHlMaFJGUVJ4ZlVodU85WFFldEdjR2ZyYlpiTU9HRFVNMUhiUXc4QmxReFRQR3FKSkMrM1dVTlZzc2xrQWdVRkZSb1NoS3grR25zTnpjM0t5c3JMTm56NXBNSnBEc0FIZjIrWHlIRGgycW5EeTV3N0FTQkY1UkdNOHh4aG9hR3M2Y09ZUG1ub3l4OFdEUml6cCtxS2R0MjdhaGZialQ2UncvZm54eGNUSFJ0RWR3bGRIMzhmOUpreWFoUTRmRllrRTFQQks4YW10cmp4MDdWbFJVeE5Rc0JXQkIzWjIxbkNiVEN5SkZyVWlVd3VGZi92S1g5OTkvdnlSSnpjM05OcHNOcEJ6QU4wUlIvT2MvLzVtVmxWVTZhcFFZREhLeUxCajBndG8yVEsvWDIydzJRbVo2WkJIaktZQXMyMnkyb1VPSC92clh2N2JaN1pJaWk1S0V6QnlRWm1BOENHTndIT2Z6K1hpZWIyaG9DSWZEaFlXRlYzN0htRnlOZkdrVk1mVWFLQ3NyR3o1OCtMeDU4elp0MnJSLzM3NVB0MzZpeUxKT3AwT0tNWkoxcUZZYmlXSll1K0Z3dUsydDdibm5uclBaN1ZPblRrVWVxSEk1Z2tlejJheklNcEJFWWt1Snh2TFZ6ZmFLdUF2aHVWZkRMd0FqeTJpeFRKZ3dZZm55NVNBd0kwSkxyOWU3ZS9mdWhvc1hFeElUNlN0UUFWNnZkK1BHalp6YWtXVFdyRm5hSTJIdzRNRWpSNDQ4Y2VJRUhGdGV3MEc2Y2VQR01XUEdHTXptanZZcktvUjY4T0RCK3ZwNk5IQktTa29DS1VSMFFYdW5WYXRXdGJhMkppY25wNldsRFJ3NFVGR1V1cm82dDl1TmlpOUpGTVBCRG1nb1lsNnpzckt5czdQQjZJYld6b2pPblRoeFl1dldyVVZGUldSczRwQ084cFlqc3JtaHY3cjdzS0RYeHlVay9QakhQNzczM25zdEZnc0lseEUvQUdmeCt2WHJrNUtTY25OejQ1T1NRb0dBd0RxT0U0UXVtRnBlRDU2UUs5ZkZNQnFBRVRVMU5lWG01bVptWnVxTVJzWjlkcHhyczNRSWhjQ0JweWhLYTJzclVQdVlYQVA1MGlwaVdHUWc4VE1haldWbFpjT0dEYnRZWDE5ejVPaW1qUnMzYk5oUVgxOVBiVXlSVm1FMEd2VjZmVGdjQm1xcEtFbzRFRGh5NU1pcnI3NGFIeDgvWWNJRUdESW1rd2txck12NzZuUTZCT3NBUnlJOExZVkMzYVVrZHhjWTZoS21WSlRQcXE2dlVHUlpGbmdlaGIrY2VzMFJJMGIwNzkvLytQSGpQTStqK0FVYStkeTVjenQzN3B3emQ2NldKY2RnTU96ZnYvLzQ4ZU9DSUlSQ29hS2lvcUtpSXV4Yk1Sd1dPQjZhL2QxMzM0V0ZDMXBVcUlCdDI3YTF0TFJrOU90SGRyOGl5OEZnOE5OUFAxVVV4V3cyTzUzT3lzcktRZDFuYXpDTnB0aXlaVXRWVlJWdTdmVjZ3VVRzZERveDIzaFNCR1B4UmEzYVNrMU5CYjhFV3Y1MFlMV0M0UFA3TjIvZWZOdHR0eUZJd0trOU9xTUlxTmUwZjQyaUh4Vko0aGdiWGxyNjNlOSs5eWMvK1FtME1NcGVRTjZtS01xR0RSdHljbkllZWZSUmc4a1VEQVNNSmhNR2p4d0dTaXFQUUd5aksyWGs2aUd0RzVNamlpSXZDTHorczdZR1VhN0FjVnhNQzE5TCtkSXFZbzdqaVBVUlpxL0ZZaG1ZbDllL1gvYUVpb3FsUzVkKzhza25IM3p3d2U3ZHUxRW9BZGVNVWpXaEI4T2lhREtaTm0zYTFMOS8vNUtTRXNwTmpsSXM1L2Y3RlRYNHptdWt1K3BoTHVwK2tsVjJucytDOGowRUp6cFVocHFrQWNzMEl5T2pwS1RreElrVGFBR0ZLSllnQ09DZG1IdlRUUlJNeDkyM2JObmk5WHFoV3lkTW1JRGdEMkpXQ2xNNHhzckt5akl5TWk1Y3VHQzMyOXZhMnV4Mk8xVDV5Wk1uang4L250R3ZIMU1wSURpT2EybHAyYlp0Ry9BQnh0aXNXYk9pSUxNMEF6elB2L2ZlZXk2WHkycTF1bHl1dUxpNHRyYTJyVnUzSXRES0dBdUZRZ0xQY3dyak5Na0FOTHUxdGJYQllEQXhNWkZhRmttU3BEQm1NQmoyN2R0MzlPaFJ3Q05Yd2pRZFFVVVVoWmtJODQra3ZhL2NlZWZaczJlZmYvNTVwRDlUelNlNkVMMzk5dHNGQlFXejVzekIzUUZoVzYxV0RCVnRIbWxnMGFNVUVPUkx3THhBUzE5VFY3bVlzdHFnbXRvNHdYb3dtVXlBKzY5Tno0ZVlmT0VyNjZJTFV0YXhGaFZGa1VSUlp6RFk0K01MaTR1Ly9zMXZ2dkxLS3krKytPTENoUXQ1bmtla20wSXVjRCt4R2VBL2J0eTRrYWtjQ05Fcmp1QlU2dFVTSmtFUU9KNW5rdFQ1VHhUQ014WEh2bHJpVng2M3ZwVGRnZ25DNk5HajBiTURFQW9pVGh6SDdkdTNyN0d4RVNvTWczZTVYSHYyN0VITUp5a3BxYkt5a2dCclBhaW9GYVYvLy81bFpXWElCOEIxa0R2bDhYaDI3dHpwOTNnWXh5a3E1MFoxZGZXWk0yZDBPcDNmNzgvTHk1c3dZVUtVOGRNTW5EdDNic2VPSFV4dDllUnl1ZENuR2ZnK29xT0FmWTFHSS80TE1abE1KcFBKNFhBa0p5ZWpMSVdTRUJBVGEycHEycnAxSzBvWXRNZGVkd0xOUzFsdTBSVXhqMEpOeGhoajMvbk9kOGFPSGV2eGVLRDR2RjR2UUJLVHlWUlhWL2ZFRTA4Y3FxN1dxZVdVaUE4amV3RjRjWThzWWlBd2VCRStuNis5dlQzazk0ZUR3YUNLQytPOWMycnpYSnBxM0pTcHRYbFJiaEdUUHBRditVUnIxMjdIN3BKbDdDRk9wM01rSnM2Y1BidW9xS2ltcHVaUGYvclQ4ZVBIWVhBaDZNVHpQTWZ6b1ZBb0lTSGgvUG56VzdkdXZlbW1teGhqNkVqVzNSMk5SaU1zWXJJMVVNTE1kK1h3Y296Smt0VGxwdStyekNGZUVNUmdVRWRYNDNrVWM0OGVQVG9qSXdQYUIybkxlcjFlNFBtNnVycXFxcW9iYnJpQjl2bmV2WHRQbkRpQmo0MGFOV3JvMEtGVVdkQnhRVW5pZExyS3lzcU5HemNpend6bDJpaGUrT1NUVHhZc1dEQWdQeC9tbFN4SjY5ZXZSOG1HS0lyVHAwOVBUMCtQTm42NEp1SHc2dFdybTVxYVlMRU9HREJneElnUm1abVp4TUNBazArV3BEaWJuVmQ5R2s0ak1Qd1BIRGp3L3Z2dkl4N1ZnYjF3VEsvWGI5aXdZY3FVS1dDNklCdThPOUZpeE1vVkVJQndnb0RjUVVWUmZ2S1RuNXc2ZGNycGRJWlVRZ3hxVUY5ZFhmMjN2LzN0UDc3emFPNkFBVWhlSkF3M0ZBcFJIc1VWaXN2bEFpaGhNQmpNWmpOUU9DWUlVWkF0VXJ0NEtIaDFNVjE4YmVSTE84dlFMUGdacGlYUDg0Sk9KNFhDZ2w3UE1SYjAreFZGTVZrc21kblptZG5aNHlzcW5uenl5ZGRlZTgzcGRKcE1KckRoK0QwZXhuTUppWWwrdng4VnhxbXBxZEdMUHNQaE1JSjFHSUFFQ2d1VmNnR2kxYng4VklWTGU2OUhFWFB0alRpT1NiSjh5V3ZtZWNaWWRtNXVXbnI2K1FzWG9CRkVTZUlGZ2VkNVY3dnJZSFgxNUVtVGREb2RNT1hxNm1xbjB3a3p2NlNrSkQ0K1htRXNGQTRUY0lHa3EySERoZ0h6VFV4TWRMdmRSTEpUVTFQVDJ0bzZRRDBJRVJKME9CeklGUnMvZnJ5aXFaM3JjZ1pRSDd4Ky9Yb0VWMjAyVzJGaDRUUFBQTVBVaGttTU1XUVdNc2JrY0lkZTQ5QTBRSlZRSUdBd21mTHk4N2RzM1hxaHZ0NXNObHV0VnIvZnp4Z1haN2RYSHpod3JLWm01TWlSZU84UnBEL2E5OFYxU3BPSW5qWEJHR01jWnpDYm1hTG9qTWFjM054Zi91cFg5OTkvZnlnY05sc3NvaVRaN0hiRUpKS1NrOTk2NjYzaTR1STdGeTgybWMwOHh6Tlo0VG5PWkRSU3R0eGxicVFSa0xoN1BCNmszMkRxT0o0M21FM3NNOG8vaFhROXluRElDZnZDZGNqOW9zc1hIcHFBa3hYeHk0amNCbDZsa1dTTUNRWTlhQ1NORnJQSmFpRXlkYVBGL0lNZi9mQ0gvL21qaEtURTFqYW4zUkVYQ0FYTlZvdkZhZ1U1VG5WMXRjdmxZb3loR1dVVVFaV0VUcWRqSE5kQkZzeHpUT0R4UjFGLzZQZ1RWYlNWdnJSdGVpcEdpMW1sbytjK0k0L24yTTBMYm5GN1BXRkpGR1ZKNFpnb1M1SXNXeTJXOTVlL0Z3NkdPSVVKdk1CejNJb1ZLK0M5Mm15MldiTm5LNHlGeExCT3J4ZGxTVllVeGhnNkxSVVVGQ0N0RFhVRVNNT3cyV3pCWUhEZHVuV01NYjNCd0JqYnUzZHZZMk1qek9IQ3drSzArOVJxWWZDZk1WVnhRMSt2V3JYcTJMRmpTRzROQm9OejU4N3RlRFQxVUNUVnlldDF2RjdINlFTbWNnVGpqOEZzQ2dZREpTTkhsSThaYlhmRStZT0JrQmlXRlVVbkNJb2s2d1hkeXZkWElFY2J1cmhqMnJ2NkEreVZVNG1EOGRkdVo1OWpvVkFRa3kvTGt0NWtIRjVTL0wwZmZOL3Q5WUExT3hnT21TeG1RYThMaGtNbWsrbUozLzloTGRpY0pUa3BQa0VPaXpwZTRCbW40d1VkTDJqUGhPaUxBY0U2NmgrbTE1UWFNaFg5SjdZLzJpellLUkZhV0l1OXlKcnVLakhwUS9uQ0syTFFaZ1AySXZDckY0YzVETU1wVTZmZWRmZmRTY25KNXk5Y0VIUTZqdWZoWlNQNkRFZWV5R1dpaTlMcEI2Ylp6TEtHdnYxemxTalh6OG5OemVyWEx5eUtITStId21HZFhpOUtZaWdVOG5tOWh3OGRRcHJIcnAyN21wdWJrWDlTVWxLU2twcWlFRjJSWGc4L1YyYzBNc1lNQmtOQlFRRVFBQXBSQWcrdHFxcnl1ZDI0NmY3OSt5bUZ0cUtpQXF5aFROM2g4TWNwMU1ZWVE2SEJybDI3MnR2YnpXYXoyKzB1S2lvcUxpN3V4VlFnRzJGVVdabkpiRFlZalFwallUR3NLRW9vR0JSNC9zeVpNMVY3OXpLRlJVU29Jdm1kTlNhd292TDNSN21wTE11aStvR3dLRExHRWhJVHA4K1k4WlhiYjI5cWJtWWNaelNaM0I2UFRxLzMrZjJDVHVkMnVmN3g1bHQ3ZCt4Z1BLL1g2Ynh1RDZld1lEQW9rSFd2WE5OK1haVHJMY3N5YXFDWkJzU0lTVi9KRjE0Uk04WVFqcU1vRGJVNzdKSEFwRXBQVDcvdHR0c0tDd3ZCQ3VUMWVwR3lCdVVDUnc5WlhKL0RjMXhUVVJRRitiOTRGbG5GdGJIZk9yaDZHVnUvZmoxNFJBVkJtRFp0V2tKOEFtTk1FSVJRT01SelBHTWRiZC9rY0pnSlFubDVPUUppU0Q3QkFhblQ2VHBRWm83emVUeG8zQmtLaFJ3T3h3MDMzRUFtYlVlK29DWW5sOXprL2Z2M2I5dTJEUlYwZnI5LzRzU0orU3FYVUMrZWV0S2tTUU1HREFDVEo2eEZySi96NTgrdlc3ZE9Vbmtrb2dqVjJ1RE1pRzRlSWtHUTdvN1p6czNOZmVDQkI0cUtpaEJNeGxIRXFYM3FObS9lL1BycnI3YzBOS1NrcEFBc2h0SGFJNHk0cjBSUWkvM3dJS2prdnZiRCtOTExGMTRSRTFHV3krV3FyYTF0YjI5bnZlM3VoVTJTbloyTlBoRkVmUUJmRld1UmN2Nzc4aG11aDRCNVk4S0VDYURDb2Z4ZkpEQnQyYkxGMWRZbWhrSlZWVlZJYU0zSXlCZzdkaXkrSy9BQ21ZSEFrVUVmV2xoWU9IandZSFRaUVpnSUdxUzl2ZjNUVHo5bEhGZGJXM3ZpeEFsVStwYVVsQXdaTW9UQlpsUURWdVFtS3lxSGd5aUs2OWF0TzMvK1BNZ2tFeElTYUJnOUV0eENGTVhVMU5TS2lncWNPamdHb0dKa1dmN2trMC9PbkRsRHBYcmRDZFlKS2VMTG5zcklEbVFxa0lLeXcrSERoei82NktNWkdSbWdTUUdiRWlLY2dpQjg5TkZIeTVjdjkvbDhpWW1KUHA4UFJNOFJBWVBlNFZROUZaeFZ1TmU1YytkT25EalIxdFoyRGU3N2YwMis4SW9ZUlhHQlFPQzExMTc3d1E5KzhQTExMOHV5SEwxZGVaZUNFQTAyZjJwcXFpekxIbzhuUGo0ZWVWR293VTlJU0tBV1huMy9KTmRXc0xYS3lzb3lNek9ScVlyTzh3aHpuVHg1OHNpUkl5ZFBucXlycXdQclcybHBhWFoyTm1OTVZtU21IbldvTGxGRWtYRWNVeFN6elRaNjlHaFlpeFR6Q1FhRFZxdDEwNlpOVEZHT0hqM2ExdFlHNjN2NjlPbndjREczR0JWVjl3SWY0SG4rekprejY5YXRRMTJKMiswZU1XSkVjWEZ4THpCSzBGWkFoVTJiTmcybHhreEZSWEVVMWRiVzd0cTFpMTFPeDRIazl3b1ZNYkxFcUZjQW9Cc28rcmx6NXk1Y3VEQXhNZEhsY2lGY2laVWNIeDlmVjFlM2JObXkxYXRYbzNkZk1CalVLdUpyTElDWUd4c2JmLzNyWDMvdGExOWJ0bXlaV3dXYVl0Slg4b1ZYeEV4dEpGcGZYNzk5Ky9iZHUzY2pnNnFuRjlIaWtrQTVVRzVIcFJrcEtTbkVnZklsd01oZzZmVHYzMy9VcUZIYS9GOEFBbjYvLzVOUFB0bXlaWXZUNlVSd0VuVWN3VkJIVVpsZXI0ZEdacGVtYzQwWk13YnBhTWdib2VxQVE0Y08xUnc1VWxOVGc5WkJPVGs1RlJVVnNCT2gvU2xHeDlnbEtPM1dyVnRyYW1wUS9pY0l3dlRwMHhNVEUzc0JrdUtBQWFQSThPSERVZE9Nc21sT2JjN2tkcnMzYmRwRUNSaGRpcUl5d1ZQc05Mb2lCcW9EQ2ljcUVVU0hGTWJZM1hmZlBXM2FOUHpTNS9NUmRtR3oyWTRlUGJweTVVcTMyNDNpNXM2SytOcFl4RXhkN1VlT0hObTllL2Z1M2J0RG9aRGRicjgydC82L0kxOTRSVXlJbGRWcU5SZ01wMCtmUG43OGVDK3VBL3dCR3FHNXVWa1FCSlBKNVBGNGdKbmFiTFpCZ3dZbHFpUU1YNExNSGlEcGVyMitzcklTVkxrV2l3VzFWYkRPTm03Y3VIYnRXbVJXNWVmbnc5UVZCRUhnQlVtV2VJNG5SZEFSYytjNHhsaGhZV0ZoWVNFK0NaMkNFcS8yOXZaLy9ldGZlL2JzZ1Q2cXFLZ1lPSEFnd3A3RUN0SVo5cW12cjErMWFoV3lVTUxoOElBQkF5Wk9uTWl1d2lPQkRXczBHbSs4OGNiNCtIaXFta0VLbmRsczNybHpKNHppS05KVGpCZy9hTm51Y2NDSFFxSGs1T1NsUzVkT25qd1pNVW5FaElQQklGeXhob1lHVFBKbm1RelhpU0M0dWJuNWd3OCs4SGc4eWNuSnFhbXB2ZWlkR0pQbzhvVlh4SlI1QTd2MTFLbFRodzRkdW54cVoxY0NoMHVXNWVQSGo3ZTF0Vm10VnFURW81MVBUazdPbFFDQ1h5Q0JPaXNzTEFRdUFVVk1wYmNIRHg3Y3UzZXZMTXMybTYyNHVEZzNONWN4cGhNNldoWXhvb3lSWlU2bjYraUdLVWsyaHlNdkx3OHBFN2hPWEZ3Y1RNaFZxMVpWVjFkRHA0d2NPUkxoTXB5anNIWXhLbGx0ZnVIeitlcnE2bmJ2M2cxRWlPTzQvUHo4L1B6ODNta0JJTmVVSXp4aHdvU2twS1FJOURZK1B2N01tVE03ZCs2TXJsdDdta2NjQ0FTSTV3Ky93WUVIU0tTc3JHelJva1ZValNrSUFpaUJ3RHpGY1J5STBJUkxtZld2bWVBRm5UcDFhczJhTlcxdGJhbXBxZWcvZSsxSDh1V1d6MThSVXoyYkdvR0J3S3pnMUk3ZlBIcGM5dnpBaDhVQmxCUGg3emZmZkxPNXVUbmlZK0Z3bUpKdkVKM1hXbDc0R2R3VW16WnRPbkRnQUpZK3ovTnhjWEZvKzNqTExiZXdTLzFRUWtLcGdvNGVVTkgweCsxYmFFOXJqRk9jdlhjV0luVFQ0TUdESjB5WUFLZ2RXZ0RNeTJTb2hzUGh1WFBuYXU5cnM5cVlxcFF2VVRFOHp4aWJQMysrWHE5SEJvc3N5eTZYQzhEb3hZc1g0YVFuSmliZWVPT051QlEwSUZtTGZyOGZwQWVNTVl2Rjh2cnJyd00zUUVma20yKytHZFp4TDJJQWVBdmFNTUROTjk4TVBBU3BHZ2FEQVN3Wjc3NzdydFBwMURyK0NsUHdYNFYxbU1CSVZDYzRDelBabmFCL2FNUnZtS2JweG9JRkM3NzN2ZThCaXdjK0RxTllVUlFnN05EUmlzYWdacGZpWXpSYXFpUUVBU1l1aUdSQm85a3NoY01kamVvNkNidVU4QjRNbVhoQkhvL25EMy80QTRwT0pVbkt6TXpzNmVUSDVMSnkzU3hpU2pYVmdyTzlPUE94SjlITjEyUXlCUUtCZmZ2MlBmUE1NN1EzcUdFZEZqUU1yczdKUUY2djEyQXduRHQzN29NUFBnaUh3K25wNlY2djErMTJlenllL3YzN0wxcTBDQ2xUVU5aUk5sNUhUUmRqVEtPZ2UvcFFVWVIybXZZV3ZiaU9MTXRnb2RUcjlkcjhYK2hLVVJSQkJ5cEpVa0ZCUVVGQlFYZlhnVHJvR0lPaU1NWVNFaEtHRFJ2bWNybVF1MFpLRmpFcm44OVhWbFptMVJEUWdEa1h5dGVvcGlRenhvNGRPN1p2M3o0Z3A1SWtGUlVWRlJRVVFPUDNBcVAvck9LRDU2RkdCdzBhbEpLU0FrY0syZUlvZ21odGJkMjZkV3RIeUZHUkdXTWM0MlJGNWxoSER3RkpiYmlKbDB0OHB6MFMrZ29XOE15Wk0yKzk5VmFrQUlFT3llbDBvcVVUVUlzcnZDeU5DbGc4NXJhajlhclhLMGxTQjBWeEoyRWFGQVdoVWNvc2ZPMjExNDRjT1JJT2g2MVdhMjV1N3ZEaHczdm5jY1lraWx3M1JjeHBPd1pkaGJhaWJITndvOGl5M05qWXVIejU4alZyMXB3OWUxWlJPN2N6eHFBRlNJV0ZRaUhTcHp6UGc5UHIzWGZmWGJGaVJVTkRBOHBEa3BLU1BCN1B1SEhqNXN5Wnd6U0VoMUVVUVdjdFRQbXdmU0phQ2dXdEpkN1Q2MUJ5bUU2bkt5OHZUMHBLQWw4YWxjTkFLZkE4UDM3OCtQNzkrM2QzSFU1N25pa0tZeXc1T1JsSUxoVjB3ZEdtcXEzWnMyZURnd2xmd3E3bVZJSUlnaWsyYnR4NDZOQWhPcW9wZlpnU2Izdnh5SGhxMkhvbEpTVW9ETkhXbFNtSzB0N2V2bXJWS2h6WUZJRWdYMHJSa0V0ZzhydXM3YnlzNEtsSjkyVm5aOTk5OTkzbDVlVXcwZ1ZONzVnZWVWUzBIdXgyTzBqeWNJeGgyQWFUNlpMcVpvM1FZMHFhL2l4ZXIvZU5OOTU0L3Zubm01dWJBZFBGeDhmM2RFZ3h1Uks1YmhOS05nVnBxOTVkaCtpeWtKOWtzOW1TazVOZEx0ZUREejc0eGh0dnRMYTJ3dmdOQm9PeUxGc3NGdHBGQ01maDUyQXdlUEhpeGYvOTMvOTkrdW1udlY1dldsb2E5VXdiTTJiTWtpVkxNakl5NERVejFYM3VianlkemRWZUc2Mlh2VDY3Q3FNYjg0WUhHVFpzV0VGQkFkeC85UFNGTnkxSlVrSkNRblIyTk8zVjhKZ0dzN204dkR3OVBaMHFnSm1xN0FSQnlNL1BIemR1SEZQVE5tZ01wQTBCL3B3K2ZmcWpqejRLaDhPZ0hvMkxpeHN6Wmd6ZVk2KzFBTm5kbU1Dc3JLd3BVNlpnZVNDVEFZUjVqTEdxcXFyRGh3OHp6WWtycTkzem1OcU5rUGlHZW1jUlU1WTZHcG93eG9ZUEgzNy8vZmVucHFZQ0kwNU1URVQxaEhLNVhnUmFvZldHSGxUNFdaSWtrS1V3cG5HcExoVzBwK0hWUG5VdWwydmp4bzNQUC8vODczNzN1OU9uVDRQRVRwS2t2THc4QXZGajBvZHkzZEt3b0Q0NFRicjQxVnhLRUFTNzNZNjlZYmZiL1g0L3gzRnZ2UEhHOXUzYkt5c3JiNzc1NW9FREJ6S1FCYXNkajdEZ2dzSGdtVE5uVHA0OCtjb3JyMnpZc0VHVzVheXNMSi9QVjE5Zmp5cUdiMy83MjlST0RicitzbjV4NTFWK05VLzNPUW12ZGx5V0pNbHV0NWVYbDIvWnNvV2krU2FUS2VUMWVyM2VZWVdGSlNVbGNuUkNzazVkTHdjT0hKaVhsOWZRMEFDTEV1OGxFQWdJT3Qya1NaTlNVbExvMW9TVFVta2ZYSnpkdTNmdjJiTUgzT1NCUUtDd3NIRFlzR0hzY3RSM1VVVExLNFJrT0wxZVAzSGl4T2VmKzF2RHhZdTh5cDNQODd4ZTRKMU81NFlOR3dvTEMvVTZmVmdTZFlLTzUzbFprUVZlWUlxQ1lUUEdGTFg1V3k4V01OWVN1UjFnV0o0eFkwYnRrYU92dnZ6SzZUT25yVGFiTnRIaUNvVlQ2WUhRV0E4SGpDaUtkWFYxenovL2ZFNXVydDBSMTEwakFsbVdBNEdBeCtOeHU5ME5EUTNvM01oeFhGSlNFdEtaZVo2Zk9YTm16QnorUE9SNjVzT1NMb2JIeWhoanNueFpIcHdJSVZNRkhTVGIyOXV0Vml0VWljZmpxYXFxT25iczJQcjE2L1B5OGhCeno4cktRalpWUTBORGZYMzk2ZE9uOSsvZlgxTlR3L084dytHd1dxMHRMUzJCUUNBdkwyL3ExS21MRnk4dUxTMWxLcUxLR0FQdmhKYmFyVXNoRlF4RjA0Y0ZJQkgyOWRYRUE3VlBNV2JNbUxTMHROYVdGcFBKSklraVl3eEZCS2hhanRLUkJHTmlsd0lVOGZIeGhZV0ZPM2JzQ0FhRG9MSUxoOE9oVUNqZGJwODBhUkpUNFFVNm9vQnBBcS9RNlhUdDdlMWJ0MjV0Ym03T3pzNXViMjhYQkdIU3BFbUlFZlU2WGcrVlJ3U2VlUGI4L1B4Um8wYXRXYjFhUkUwSy9rM2dKVW5hdUhIandvVUxNN095RkRXQlRCUkZRVzlBNEF2WEJEcUVnRmp2Um9XS2VaMU9oOVVsNkhRUFBQREF4UXYxYjc3MVptdHJLK3hRcmllNU9uaEduVTRIS2xmeU9Ud2V6M3Z2dmFjM0dPUnVBdUtjeW1HRWI0R1ZPQzB0RFZuVmJyZGJsdVhFeEVUMFVvbWVhaDJUWHNoMVU4UW9wUVZ1Q0FKdkJyT29oNHFZZEJCQU1UVE9FZFErNU9Gd3VLV2xwYjI5ZmMrZVBVaUJBTTZyMVY5RUpSRUtoZHh1dDZJb2t5ZFBuajkvZm5sNSthQkJnM0FSdUlmSXgySlhocEY5SGxxWWFTQWRkTHZnTkJtNFBSWEFMekROaGc0ZE9tellzSzFidHVDZllQUmxabVlDN2IyTUU0RFprS1NPWVNpS3ptZ2NOMjdjZSsrOTE5RFFBT3dlRGEyTGk0dUhEQm1DNm1lbVNlY2k3eHZ2YnZ2MjdUdDI3RUJTbmFJb1dWbFpNMmZPeE1XdmtIR3BzMFNVUkhZOEVjZmRkTk5OMjdkdGEybHBrV1FacXdLMjg5R2pSdzhmUHB5WmxkWHh4cmtPeXgxQk1NcVdrU1FwRUFqMExxa1IrZzZXSmhLbEJZN1htODJMRnk5MnRqay9YTHRXa2lTVHlSUUlCcFVvM0UyS29nMXg4MnJEVUVsOUhTaWJSajljblY2dmRLT0lQUjRQZGlKQ3VNRmcwT3YxOGp4dk1wblFFdEJvTkU2Y09KSFRodFpqMG5keWpSU3h3aGgzS1pjZ0Q3ZUw0M2hCMEJzTSt0NGVzTEs2ZjFKVFV6TXpNNUVzUmRzSjJVN0lrQTBFQW1oWGpNVktZUmE5WG0rMzIySHFUcG8wYWRxMGFaTW1UVUo0Q3AvQjVpY3J3T1B4Uk9uaXpOUUg1RGlPY1J3djhCRmFtMU5ubzNlaUtBbzBzWURyOEpIUXh4VmVIellwRVIwa0pTVU5IRGp3azYxYmtmTXJ5YkxKWk1ySnpTMGFYc1F1TGFEbzd2b1NPZzJyZnkwcExVMU9TV2wxT2hYR2dxRVFQTnlSSTBmR3g4ZUh3bUdra1pGcXcwSEkxSVNFM2J0M256eDVNams1dWJtNU9UNCtQaWNucDZpb0NGd2ZPQzk3WVk0QklOYXA3VGh4QlVrVUt5c3JFeElUMjEwdUpSd1dkRHFPNXdMQklQZ3hUcDgrM1JFRVZtU2U0L1dDRGlPa2lCWVFjSFRBNitsNG1Fckh3VlRZUkpabHZVSHZiWGNOS3kyNWFmNzhmUWNPTkRRMHlFd0poSUlXaTBYakJFVVEraWxnVysxb21jcnpJTGdNaGtJV2k0WGpPSi9QSjRLU1gxRXNGb3ZYNyt0eU1LbXBxUzZYQ3lrY1NEMUVORVZSRkwvZm41U1VaTFBaN3JqakRxUzdmQWxLL1AvZDVQTlh4QnlUSktRTXM1QVluangxQ3VPNTF0Yld0TFEwazhtRS9yV0RCZzNxMzc4LzR4aXY3L0Y0S0VXL1g3OSt6ejc3N05HalI0OGNPVkpmWDE5Ylc5dmEydHJRME9EeGVIRGFJL3BFMzhLMlRFbEp5YzdPVGs5UHI2eXN6TTNOSFR4NGNLS21oekd2dGxCaW12d24wc0tjcHJ3cUVBZ3NYcnc0SlNYRmFEQVlqVWFIdzVHZW50NC9KMmZnd0lIYWV0RE8raXU2eG9RNWlSTWxKeWRuNlZlL2V1SDhlYVBSYUxmYms1T1RzL3IxeTh2THk4dkw2OTMxd1RESFZIOS8xcXhaNTgrZnYzRCt2TUZnc052dGd3WU5tanhsaXRWbVkyb0x0YzVYNHpTL0Vnd3FhQ0R3akxHNGVNZUNSUXZYckZtREloR2owVGgrL1BoNTgrWXhqc05NMHZsRUxEOGN4NWxNcHVQSGoxc3Nsamx6NXZBOGJ6UWEwVXNKUmMvRUFYWVp6TG9iSWJ1ZThBMUJweFAwMGtPUFBBeVNPVWQ4ZkZ4Y1hIeDhmR0ppWWw1ZVh2LysvZUZyQ0J5dnFEd1ZpaXpQbXpjdkxpN09aRElsSkNTWVRLWVJJMFlnbDZDblFpc0tlZzFPb2Q1a1pCeWJPR1h5ZDBQQlRaczJ0YnZhN1hhN3hXSzU5YmJiV3R1Y0FNMXhESkMxd1JqamRSMnROeHdKOGN0ZWY2MjF0YlU3bzFWU1V3bTFBb0JGVVdtZ0NmNmlqQXVMeFpLWm1abVRrME5PWkF5YTZGdmgrakNnMzUzQWdzQTZVeFRGNC9GZy8wTXRFbklIOU8wcWkzWndFWmg3VHFlem9hR2h0YlhWNC9INGZENnYxeHNJQkxDcTR1TGliRFpiWEZ4Y2NuSnllbm82K2puU3Jhbkc1TEluUDVZcDdmRFcxbGJvY1ZMUVYrUEVVZm90b2k2TXNmcjYrdVRrWkZ4V2k3QmZ6VjIwMDM3NjlHbjBINExkQi9vMHBtbUUwU01KaFVMSXprWmNqdU00OEpSMytXRnRNTTN2OTh1eURPTkxPNlZreWZyOS9sN1FpWFFuY0pWUVNBa255V0F3QkFJQk9uRXBZb1oxNWZmN2tWUUxWQWNJVzE4TmhxWWE0SURGWXNFUjZISzU3SFk3M252RU5zR0NwN29ldUhIZHZTK3VVM3Fsb3BLSGRQbDV5Z25SWXZxWGpaSEVwS2R5TFJReFU4dnpvK3MxckluZWVUMFVzdE91TTV6MjBmV3BRdDJSTlplNjhuMUZDSEozNVcyMDFxK0dKMGc3ZXhIRG84eS9YbHdmMjBsUkZKZkxoYmdRdXpRT2d3T3AxMG03bmFjeHVrS24zREpLa0NKdEdLRjlDR1M0ZWlGcm9MdGhFL2JGTG9XcXRCL3VROFZFbHlJYlhKWmxGTmwzTjBLbTJzaTlPQS9JOHVVMDFKcWtFeUxXTGRZRDRVZ3g2VVA1M0JWeHhONERKc0EwVVFYV2xUYThjcUZTYWNMc0pMV0xPS2ZwOUVYbnYwNXRXQnVSZXlDcnZTR1FTOC9VWmpOUm9rT0twcXU1S0lwQVYyR2Ywa1d1UmxCNml3SEQ5S1prcjZzWGVLUDBhcURhcUtHNk5wK2hkM1k5d24yeVdzdXV1NExlbDUxUFUzS2N0YWNwWlgzMWRFalJSYXQ5WkpWMUwyTE90VE1URG9mUnhrbHJLbDY5QUpudFV0bkJPTVV4Q2RDZ3MzRkRCMzkzUTdxYWVhTnk5bGl3cnMvbGMxZkUzUmtMeUZXQUJrVEdESDhWdEFrOWxlaXEvd3FCQlNUTWQ2ZXB0Y2JGMVZqNlhRNURVWXM0NkJEcTNjVTdXMytJaGltS1FsQlM3MXh2YlhYQWxVZ1UzUkY5ekZjcGRFS3pTOHMzY0NPNkY1WC9RVUZIRFBVS0I5OVRRUmdRdWo0Q2Y2QjNCRFpuN1NrRjZXN21LVXhDQSs1RklzVG45THovbCtVYVFSTVF2OThQS29NK1I5WllON3BWaTRKQlljRnVGZFMrYXJBczZCakF0eUtRMys2RVFBbW1XcFN3QVdsS2UrY3QwaGc2WXhHS1dsOExIYWZGWVhxNk1mQVYyTVZRbW9BcHdGcEpJOGQwOWNMdnBpRmRZWmN6UENhZWpncWplVTBGZksrejlLNUVLQkdpUy9PMk15d0xqSUk0Z3FYdXUxRDNRclFybWVKbTJvV2tLQXE0bVNKbVZic011dHZYVVRENkxsVXpYTXdJOEsxdm56Y203Qm9vWXVRa0lpKzl1OC9BNTRLaTdDbjJSOXMxNHFZOTBvQVJXNTBXSDZlRytIc24ybU9ncDgrRlVpdW13VU83QTBhaFNiVTBPbGNpWGM0YjYyU0Q5OW9DN1hLMGw4VjJBUzVCNVlFemlDS1RaT1ZKa2hRS2hmb3FXQmNSdlFCMHBpZ0swbWxwS2tqSEFZN2dPSTVjT3RiYllHYVhRaGtSMmxjVE1XOWRSbE02QXp0ZENtbjJMdVVLdmFzKzkwdGljbzJ5SnJUR0ptTE43TkkxMFd0N1I5YVFBSFJwRGpNTkU0S1dMd1o3SGd0YWU5UXJLdVZLOVB0cUlVVmFsQVRQOVJvdTZId1hTaFdnYWV6c09QZE9BT0JxVzF0RzJGTlhxWTYxbU9abEk3R2t5MlJORzFOaXFXZFg3S2IwUW1BT0kvMDg0dmVrb3hXMU1VZUVQd2VPdWo0Y0ZRVkx0YzlMMkgyRWRZeS9hc01iOVB2ZWVVaWRmMDhITm9XRit6QlFFUk9TYXdwTnhDUW1NWWxKVERwTDdHU0xTVXhpRXBQckxERkZISk9ZeENRbTExbGlpamdtTVlsSlRLNnp4QlJ4VEdJU2s1aGNaNGtwNHBqRUpDWXh1YzRTVThReGlVbE1ZbktkSmFhSVl4S1RtTVRrT2t1UEZiRzJLNHpMNVdJYWtrQVNwWnQybGhHOURJaGptNzVGamNyeEczQVMwZ2UwLzZRZGh0ZnJaWmUydUVkWkxZMGg0b2RnTUVoTTN0cnIwekR3QThwdHRYZG5LazkyeE8zd0cveFhWanV1NDUrb0RYQ1hRaVN3MmdtSitLZUlEMkFDWlZuR1UxK05ZTFlaWXg2UGg2bjFoSFJIZWdROEZ3UWRqMmhJUGw4SHl6Z05HOThLQm9QYWYrcnlyV21GU3JjVlJVRVhTL3crWXZaQ29SQVlNdWxiOUh0dGZZMG9pdUZ3bUZvWDQyckVOaFZ4Mys0bUo0SVdLaEFJUkdkL3A0WkpYYTc4emtLMUdQUmZlbXJ0TTlKZ3RCc0h0UlgwZVdKcm9TdDMrVng0M2ZRVXdXQ1FCa3lYMHM0a1hweDJKTEdhZzg5UGVsUFFnVFZuTnB0UjlVUzBQdEFqb0VIUTF0NWdsVkN0dXFJb1RxZlRZckZRcVQ1ZVAzWHUwVlo4UlpBUTBzOVlKYml2dG1WR0lCQ2d5MUkxVjNTU1FOUU9hV3VXRkEwcklPcXpXVGQ5dWpBRDFHR0Jib0ZTS0NKcW9PNFNUTE1EdGNXRUdDb2VFTCsvd3Nvb0xUbERUNFVlVTF1aGkyMkpPaTRpSXdZVGhmYTdnVUFBWFB2MFhkQk1heWNaWGUrMEQrTHorVXdtazkvdlI4ZFNqdU9nRHNCUDNlVUlxZEFPZFc2MEtyVE5vZW5EcUhQclBCc1J4Y3IwbStnVll0UTlvRWVGYzBUaWNTWEZtVzYzMjJxMVlxb2ppZzlEb1JDdjlqT2xjYUtqU3VkU1ZmcVpyb3lpUkZCa2NCd0h3aUQ4cS9aMWQvbHl5ZWJBa0hBNzdjeGZKUVYyVERwTGJ4UXhsWDZHUWlHOGJ6VFhnaTJEVHV6MFlTMzdHam9WZFZabnBPTzB5d0lEd3kyMCtwU29jTENYY0hkUTFVUmNHUXZSYURSS2t1VDFlckh6OFUvUksyNXhVL0NRYVNsdndFc0piaG9zWmUyV1FCc0w3RjdvN2dnaVRXZ1RXWmF4TjZoZFpuZWxwZXpTeW05dDJYRUVLMll2K0htMUd4aXpFY0g1U2NvTC8wUm5MZEZ5RWhXdnorZHpPQnlrNXVoQW9nL0RlNUJsV2F0d3RiWExnaUQ0L1g0aUpOSHlZTkRIT25NN0tDcmxOS2Z5amthY2hhaG8xL0tsNGNpSEh0RXlDMGVaSW1LcWlsNWpUWVkvV1BDeDhIRHdkUG41N29yVXZWNnYxV3FGSVkvcHduYkRhWVJuQ1FhRFpyTlpTN3VLNzBZME40Z2dPY0V1aUl1TDYyNjFhSzlQMWt6RWhPQzdNY2FmUHBjZUsrTE94TlZNWGJKYS9sd29IV0toamFEZnhtckRFc2ZWY0NtUHg4UHpQTmFmOXR4R1d6TWMxQkZFRUZxV010cGFnVUFnb2hrRTlXOW5sM1l5WnhvN0lvSnhRcWZUVVlzZ1NIZVVDM0ludm5EUzhzUVJ3enBSU3BKYTczeE43WTBpV0hnaURNOWVjN2RITUV0Y1ladjZMcW5CNlJ6Rk5YR01CUUlCaThVU01jK0NJRUNmd3BDbmd4UHJnYTVHaHg5OEtReE1xNUdaUnI5RXpDclRuS05NVmQrTU1aelpXazBxWDQ1cW1SUlR4RHJ2OHNOYWg2bW5YZlVpbGhrOVY0U0c3WHpaQ0ZkUGV3UnFMV3RGSlRWbG1xMmhLQXJjR2tFUThMSndGaksxQnhpSWpaZzYxZHFEczdQUkU1T3JsQjVqeEdRWlFZTTduVTZtcWpZdCt3bFdQTS96N2UzdHN0ckozT2Z6T1oxT244OW50VnBsV1RhYnpYQmRSVkgwKy8yS29saXRWdXhlbjgrSFZkamEya3AyRFp6RUNBZ01pOFB0ZGhPVE4yTU1WakErME5yYXFoMDJrUVFSV0VaNm5FYU8wY0xNaHlvaE1udmNpKzVPTkxWWXdVQW5BYzdnaWRDZEZ5WWg3Wm1XbGhhbU5sR21TNG1pU08yQkNYNEIwaXJMc3R2dEJsWnJzOWw0bnZkNnZlUS9hdEhxS3hmaUVzTkZTTm5CaXUrdUxURTBBcy96QkFFREM2SjVaaW9UTWRqUlBCNFB2U0JzZUt3UWc4RmdNQmpRdjRveEJpMGNDQVR3TWRMQzlIWm9jclRLRkI2WVZoTjV2VjdxeWMwMHB5QTVFUGdpaGdvYk04b1VhZi9WNC9ISVVkbm9pWmlKWFhxaVI3aytYcWdXUXdjbWp2OXlIT2YzK3pIUDFPS2F3Z2I0THF3VFdnQ0UySURJR0QranhSLzJIV01NYmdmNmhKck5acnhObUQ1bXN4bHp4UzUxdjdBOXRXQmRUQXYzdWZRU21vQWQxOXJhK3BlLy9HWGt5SkZ6NXN5aDAxaFdXeXJRZVY1WFY3ZHo1ODZkTzNkdTM3NjlxYW5KNFhBNEhJNFJJMFlVRmhaT21EQWhKeWVITVlZM0RYVkd1dXpDaFF2UFB2dnN3SUVENTh5Wms1eWNyQjBBYlQ5RlVWYXNXSEg0OE9GdmZldGJjWEZ4RVo1K2JXM3Q4dVhMeDQwYk4yYk1HQ2cranVNQ2djQ09IVHQyN3R4SmdESzZXM284SHFQUkNCMEhSWnlibTd0dzRVSXlyMlJaYm1ob2VPdXR0d1lQSGp4NzlteHRMe</t>
  </si>
  <si>
    <t>jc4NjdKbHkrcnI2MmZObWxWU1VnSVZDWDBrcTJTN2VyMyt3SUVEcTFhdG1qbHpabWxwS2EvMkJtV1hXc0V1bDJ2ejVzMWJ0MjdkdTNldnkrV1NaZGxrTXBXVWxJd2JOMjdDaEFub01IMlZmZHZJUHNYWkJsWDE3cnZ2bmpsenhtZzA0dmcwbTgxMEF1bDB1dmIyZG92RnNtREJnc0dEQjFNLzdFMmJObTNidHEyMHRIVHUzTGwwY1MzcG5kUHBmUG5sbDBPaDBIMzMzWmVVbEFTVVUvdTg0WEM0cHFabTFhcFZOVFUxSjA2YzhIcTlpcUprWkdUY2NNTU5OOTU0WTNaMk5oMmlXc3VhTWJaOCtmSmp4NDZoRnpXbXlPLzM2L1Y2UkMrdzB1Yk1tVk5jWEV5Y2Z4ekhWVmRYcjF5NWNzYU1HU1VsSmRFOUNUTHdqeHc1c203ZHVvcUtpbkhqeG5YM1ljd2t2WlRHeHNaWFgzMDFHQXgyWjNHSFFxSGMzTndGQ3hab2U4c0dBb0ZseTViNS9mN3g0OGVQR2pXS1hmcVdjUXRKa3JadDI3Wm56NTdKa3llWGxKUm9KMFJyV2J0Y3JsV3JWcTFacyticzJiTTRuOUxUMC9QejgyKzU1WmJpNG1KdGgxeHRTT2J3NGNOcjFxd3htODN0N2UyRXlCUGtpQkJ4YVducGdnVUxvc3hiVEhvaFBhYnZrOVZ1UTR5eHMyZlBMbHUyckxtNWVlYk1tUkg5eEFEWXVkM3UvZnYzLysxdmY5dXhZMGRtWnViUW9VTm56Wm9seS9McDA2ZmZmLy85anovK2VQMzY5WXNXTGJyeHhodXhlZGlsTnNYSmt5ZGZmLzMxNU9Sa3A5TjU3NzMzYWtGZU1uNkR3ZURxMWFzM2JkcTBZTUdDdUxnNE9zT2hYMDZlUExsczJUSlJGRWVPSE1tckRTTkNvVkJkWGQzdTNidWJtcG93VG9QQmNQcjA2WFBuem8wZE85WnF0YnBjTHB2TkZncUZCZ3dZc0dqUklxM3JkK3JVcVpkZmZubkNoQWt6Wjg2TTRIaHNibTUrNTUxM0RoNDhlTzdjdWU5Kzk3dTV1Ymw2dlY0TEJZWkNJVm1XRHh3NDhQcnJyNmVtcG80Y09aSnB3b1AwR1J4YVR6LzlkTDkrL1lZTUdRSzFXMWRYZCtqUW9iVnIxeFlYRjk5eHh4MExGaXd3bTgyRXVmZWl3enhPVTd4S3VLS05qWTMvL09jL04yN2NXRjVlem5FY2ppVkpwVXVYWmRubjh5VW1KcGFXbGc0ZVBKZzJ2RTZuVzdseTVlN2R1NHVMaS92Mzd3OUFDVWNVTk1pcnI3NjZiTm15bVRObnd0Q0RGdlo0UEhxOTNtZzBOalUxL2ZuUGYzNzMzWGROSmxOQlFjRzBhZE1NQmtORFF3UG0rWTkvL09QUGYvN3pHVE5tSkNjblIxaWpIby9ubi8vODU1WXRXNFlPSFFwZGpDZ1dkREhIY1Q2ZnIxKy9mc09IRHk4c0xLVDN6dk04NWo4bEphVzB0RFRLL0JBRXA5ZnJEeDgrL1BlLy8xMm4wMFZSeExnRlRVdFZWZFZUVHoyVmtwS2lWWGxhZ1ZzemZmcDBOTDJuWmZEeXl5ODNOalllUG53NExpNXUwS0JCWnJNWlMxM0w0THAzNzk0WFgzelI0WEJBRWRQNWhMZnBjcm0yYk5ueTR4Ly8yR1F5WldSa2pCbzFLaVVseGV2MW5qNTkrdkRodzZ0WHI3N3BwcHNlZnZqaDNOeGN2OThmQ0FUaTQrTUpiTnk4ZWZOdmZ2T2J2THc4aThWQ1lWTFkzVEJORkVVeG1VeE9wek1oSVNIcStvcEp6NlRIaWxnTGNVTFpzVXVEMTJRL3V0M3VreWRQZnV0YjN6S2J6UTgrK09EZGQ5OGRIeDlQYjdldHJlM3BwNTkrNFlVWExseTQ0SEE0S2lvcThDMllhY0R2TEJhTFRxZXJyYTE5NjYyMzVzK2Z6M0VjekFkdFhnR1FYeGhFV0s4VTVrWU1wNm1waWNKRWNMM2o0dUxtejU5ZlZsYUdYczZ3RjM3d2d4OWtaV1g5NUNjL0dUTm1URnRibTgxbWEybHBjVGdjdFA4QnJ1bjFlby9IZzkvVFB5RjRncWRURkdYVnFsV0ZoWVhmL09ZMzZjU0NYUVBUVzZmVHRiVzFhUThNcGhwZmtpVHQzNy8vaFJkZWVPV1ZWMzcvKzk5UG5UcTFzTENRQXQvTnpjMmJOMi8rK2M5Ly91U1RUN3JkN3E5Kzlhc21rd2x1YVM5Y1JUTGtjV3U5WGg4ZkgrL3hlQ1pNbVBBZi8vRWZSVVZGR0J1NmtDRHhRNmZUdVZ5dXpNeE1waUw0a2lSTm1qUnB5WklsZi83em41OTg4c21mL2V4bmNYRnhGTFJrak8zWXNlUFpaNS9Oek16ODduZS9tNWlZU0NZYnRMRFQ2ZnpGTDM2eGF0V3FVYU5HZmYvNzN5OHRMY1hieDBwWXMyYk4zLy8rOTUvLy9PY2N4OTE2NjYxd0thQVVPSTZ6Mld5eUxPZm41My8zdTk4dEt5dERtQmN1Q0dZYnJrOVNVaElaL25CZkJFRm9iMjhIakJZRjh5VTBnT2Q1bk0yVTQ5V2xVR0lQTGlnSWd0MXVuenQzN3JlKzlhMHVQeTlKa3Qvdno4ckswdjdTNS9NbEpTVWRQSGh3M2JwMW8wYU55c3JLd3VrQ0FJR3B1Qm04TjRwbTQvWFJnM3o0NFljLy8vblArL2Z2djNUcDBubno1aEg0N3ZmN1Q1dzQ4ZXFycjc3MzNudU5qWTIvK3RXdit2ZnZENlFDSFJjdEZvdlpiTTdJeUxqdnZ2dG16cHhwc1ZoQ29WQWdFTERiN2JBaGNQWnpIQmZUd24wdXZiR0lnY1pDNFFKSUpZWGlkcnZ0ZGp1c2lmcjYra2NmZlRRUUNQenBUMzhhTjI0YzlpMkZzQ3dXeTQ5Ly9PT2lvcUp2Zi92YnYvdmQ3NHFLaWh3T0IzWWFxWFhBZ25QbnptMXZiLy9hMTc2MmN1VktuODlISUNNK0EyMExYY3hkMnVBRHhqdmFuc3RxTzJlNHFCYUxwYUNnQUp2SGFyVmlpenFkenJ5OFBMUFpESndhRFRLdzNKRUlJYXNOY2lMeVc2RmM0SmtPSFRxMHNMRHdEMy80UTM1Ky9vd1pNekFNakJZV0lnWURuSVFDbTRpV2hNUGgvL21mLzltN2QrOHJyN3h5NTUxM1FpWFJreVluSjgrYk4yL2d3SUYzMzMzM1UwODlWVkZSa1orZmorTkg2VzNmS1ZudGw2eW9kUGgrdjMvUW9FRkpTVW5hTUNDRmJnQVFVV1FQYi9QZWUrOXRiVzE5N3JubkprMmFOSC8rZkl3RW1XMlBQZlpZWEZ6Y3IzNzFLeklZWWJyaU0zLy8rOTgvK09DRE8rNjQ0d2MvK0lIZGJnZkNUbTkvd29RSkpTVWxDeGN1Zk9xcHA4ckt5dkx6ODUxT1oxcGFtaUFJZ0NuRDRiREg0eGswYUZDWGVrRkw2dzdnR0ljeEZnRDQzUzhiL2NmYngzSzlrbFFCK294T3AzTzczUWtKQ2FtcHFSRlhVelFaeE5yT2ZvaGQrLzMra1NOSEZoUVUvTzUzdnlzcEtSa3hZZ1FPR0N3L2NwdTBXd2tKY0hpUDFkWFZ2LzcxcitQaTR2N3lsNzhrSnlkREMrTXRtODNtb3FLaW4vemtKM3E5L3ZYWFgxKzFhdFVERHp5QWI1SHRBaHcvSVNFaE96dWJia2RoYzdycGxTVG54YVJIMG1lVmRWaFllUEZ3RlQvNjZLTUxGeTQ4OHNnalk4ZU94WXRFUWo1Q1ExQmVzMmJOdXZubW00OGZQNzU4K2ZKZ01JalFGbDFUcjljYkRJYWlvcUlISDN5d3BhWGxmLy8zZjVGOURNc1hGK3lyOGZlVnlMSjg5OTEzbDVTVVBQWFVVNDJOalY2dkZ6dU5OaUcwQStWK3dGK0dqbDYrZlBuUm8wZm56cDE3d3cwM2FJMjFZRERvOS9zeE15VWxKWGZjY1lmVDZYejc3YmNSTnV3dWw2TjN3cXR0OXlSTnl5SmdGM1JzUkhSdnMxZ3NNOUxyWks0QUFCbVJTVVJCVkdmT0xDOHYvNS8vK1ovVHAwOGJEQWJnN0k4Ly9uaDdlL3ZDaFF1SER4OXVzVmpRYXhYUmVVRVFUcDA2dFhidDJ1enM3UG56NTJzZEhRcGFtRXdtdTkyK2NPSEMxdGJXZDk1NWh6R1dscGJHR0hPNzNXaWFDVlBBNi9WS2FtVVFERGR0MWdyV1NmUTB0VDRSQ250aVRSb01CcDFPUnlGTkNOdzRRRlV3R21ESkl2SUdGTUpnTUFpQzhQV3ZmNzI0dVBpLy8vdS9DUTFnbXVvUGp1Tm9CMkhINGFiQllIREZpaFdoVU9qT08rOU1Ta3FpNUhvRThUQXpOcHR0MnJScFJxTngxYXBWWjgrZVpXb2hGU1lLWS9ENWZBall3cTBoNXduTFdCdGRqRWxmU1Y5dVlML2ZUeHFoc2JGeDdkcTFPcDF1MGFKRjVLaWF6V2I0alBnTXp2bGJicmxseG93WmFXbHBlTi9ZN1ZRLzVuSzVUQ2JUOU9uVGI3enh4bi84NHg5cjE2NWxqQm1OeGo1VVBYMHJITWYxNzkvL1c5LzYxckZqeDU1OTlsa0F1SlRob0ZYRVRGT3FoQnpQRFJzMktJcnlsYTk4QlE0MVUyc0xqVVlqQXR6WUNVdVhMcjMxMWx2VDA5TXA2aFc5Nkt0SGduWndnTTd4RzF3Y2FwVHlkaGxqOE5ieHNiRmp4eTVkdXZUOCtmUFBQLys4SkVsV3EzWHIxcTF2dnZsbVdWblpWNy82VllyT1V4WXd6L1A3OSs4L2N1UklSVVZGZVhrNWJoU2hpQTBHQTBDa3IzemxLMWxaV2RCMGxNMUdPVmlZVEtSaGFidDVZcDVsV2NiSSsycCt1aFBLd2dUaUFXZXV5M1JkTEFOQkVNaU1vQlBYNy9lM3RMVG85Zm9SSTBaODlhdGZQWHIwNk9PUFA2NE5VVEFWME1lTEFEQ2xxUFZ2VFUxTnExZXZqbytQWDdSb0VjVkxJSndxakxGSmt5YmRkOTk5QUlKb1NEUUExUFhwOVhxZ0ZoZ2tNQXFtWnY3ODIrNitMNjcwWlFjd3JFVTQ3M1YxZFdmUG5pMHZMNGNWb3kzczhmbDhlcjJlcktyS3lzclJvMGREcDJnN1ppTERLUmdNdHJTMGNCejM2S09QSGoxNjlFYy8rbEZCUVVGdWJpNmNhQXJ4L1Z0SmMzUHpsQ2xUSG5qZ2dhZWVlbXJTcEVtVmxaWFVBMWpSdEJPRlVBWnVXMXRiVFUxTmJtNXVhV2twZ2QzMHJ6QUFrWUdibVpuNW94LzlDSkFMN05ibzhHV1B4TzEyVS9Zb3JISlk2eWFUS1NKckZXK0txU2I1M0xseno1MDc5L3ZmLzM3bzBLRno1c3o1L2U5L241U1U5STF2ZkNNMU5SVytMZG5YOGZIeGpMRTllL2JZYkxiS3lrcW1NZXJKZFNESno4OS83TEhITEJZTDBIbXIxWXA4TERqc0VkbTdqREZvZkJvazBtK3ZqU3VOdTFBcUNJVTBJb1JHZ2dRK09IbjByd2FEd2VsMEJvUEIyYk5uSStJM1ljS0VLVk9teUtyQXdjTHBqbm84NEZlaUtOYlYxZFhYMTgrY09UTTlQWjB1Q05pYWJncnc4TUVISDVRa3lXNjNVekFaZUNNY1Z0cXFsTkN0Ylc3Tjgzd3Znc014aVM1OWViSlJtU1pqN015Wk02RlFhUFRvMFZpWENLbTUzVzZBZ0hpN2dMMEEzdUdMdExmeG1xMVdLL0F2eGxoS1NzcUREejdvOC9sZWZ2bmw5dloyZHNWRi9kZFlKRW15Mld3K24rL2hoeC9PejgvLzZVOS9ldmJzV1RwMVlHbHFlUThvMnRuWTJIanExS25NekV5cjFRckRpaXdkSkJKaEpvR05JdEpOMVFxOUszSHVVZ1lOR3VUeitTaURCYTR4ZkdlVTIvQThqOStUUDR0Y0JZUEJjUC85OTVlVWxEejMzSE9QUC83NGtTTkg3cnJycnJGanh6SU5Md2VCeTE2dnQ2YW1KaUVob2FDZ0FGQTQ2Vit5K0JTMTZOemhjT0FCZ2QwejFkZTIyV3hXcTlYbjg4RnZ3TWxObUZWTFN3dWcvR3VqTWhSRjBSSSsyR3cyanVQcTYrc0JtMERnNzBNdVhMaUFKNUkxOWNSV3F6VXpNN090clEwQXhkMTMzejErL1BqSEgzLzgxS2xUaVBSU2FqRFA4M3E5SG9jbFl3eXErZHk1YzRxaWxKU1VTQ3F0QklCeTdTR0VzOEZpc2VBSHNtTXd2TGk0dU5UVVZJN2p2RjR2SEJkS1QyS01VVEp5VEF2M3VmU1pSVXlsYXpoT201dWJBNEZBYW1vcVpiUHhQSTkzWDFOVGc2QWNmcCtRa05EVzFxWW9TbjUrUHFYclU4WStLU05SRktkUG4zNy8vZmYvNlU5L0tpZ291T09PTzdBSis2cU5lVjhKbmhRUTRhOSs5YXZGaXhjLytlU1RUenp4QlAwcmRER2VsT000Q2srNVhDNUprbkp5Y21qZGs5cTZlUEZpVzFzYk5wNG9pbDZ2RjE4Wk9uUW9ZOHp0ZHB0TXByN1N4ZSsrKzI1cmF5dlNEeWhqU1JURlFDQ0FzN0N5c2hJNUt2ZzhRcEVZczhWaStmV3ZmMzNycmJlKytPS0xkOTU1NTExMzNjVVk4L3Y5Q01SUnRwd3N5MzYvSDZyVDRYQlFQZ0RUZE9NbXFKYzRFMHdtRTVWZ0VOaDY2TkNoWC96aUYyMXRiY2lXUTB3ZnVYZjkrdlc3ODg0N2I3enh4ajQ4cGFJSVpkMmlQdHRzTm5zOG5oMDdkdHgwMDAzNGdEWlNweWpLeElrVHYvR05ieVFuSjFQQUEwQktZMk5qZW5xNnorY3pHQXpaMmRrLy9PRVA3N25ubnQvKzlyZFBQUEVFdkFvYzRaeGFrVVFwa2pqTEpVbEtTVWtoeDRLME1HRktCSjFqL3ZGMWluSUxnbkRpeEltbm4zNzZ6VGZmQkNFTVpUSEJQYTJvcUhqZ2dRZFNVMU92SkhRWmt5dVhQbFBFZURFd2lwa2FOS2VzR3NyV09uRGd3QzkvK2N0OSsvYVpUQ1prRVNVa0pEUTNOOCtiTisrUGYvd2pWU0hqdzRGQUlCZ01Ja2FNSzl4eHh4MGJObXg0NTUxM3NyT3pKMHlZOEc5b0ZPdDB1dGJXMW9TRWhIQTRQSGJzMkljZmZ2aWxsMTVhdG16WnpUZmZEQllPU3UrRElxYVpRYm9lMEdGb1oyamhtcHFhMy8vKzkydldyTUZKNXZmN0V4TVR2VjV2Ym03dTQ0OC9YbGhZaUpoUFg0MC9OemUzdUxnWUpqQXl4cUJpV2xwYVVsSlMwdFBUdFZBQXJGZVVSd0tObFdYWjRYQ0lvdWh3T1BBeGFFd3R2d0ZTZldIZklkK0RDaTRJUTRCV2tsV0tHZExnMml3dXdDWnBhV21KaVltQ0lDRDFHNVpwYzNOelJrWkdhbW9xWmdiRm5IMDFSZEVGbW9zdzR2ejhmUHhlYTFvaUl4QUd1MWFqK2YzKzF0Ylc3T3hzcjljTHNLNnNyT3plZSs5OStlV1gzMy8vL1Z0dnZaV3AzZ0JPUjBBRU9KOG94WkNxUGZsT3JGSTZsYVFKWUFXRmk3WEJUS1BSbUpLU01talFJSnozZU4zdDdlMHdpYkt5c2lpQUVaTStsRDVUeER6UDR4MERiVUNSRytCTHZFc29sNEtDZ2dVTEZxQXlKeTR1em1ReUhUOSsvSmxubm9FRlRYd2lXTVFta3duZ0lGYVZKRW5wNmVtLy92V3ZGeXhZOE5aYmI0MFlNY0ptcy8wYllzUkFNeEd6L3RyWHZyWjkrL1lubjN4eSt2VHB2RnFsRFZlQU5BNWpESTRuYW55WkNqV0FnV0h3NE1HTEZ5K3VxS2d3bTgzSVZYSzczUys5OUpMSDR3RTBURFI0ZlRMNGdRTUhQdkxJSTVtWm1SU2pwL1E3S29yRGhoZEZFVm11VEpNby9ZdGYvQ0lRQ0pTVmxTMWJ0bXpreUpGVHAwNmxwREdtV291Z0dVRXFDTmpYNkxTV05SWGVFVUVoMHRyNFFDQVFDQVFDK2ZuNWp6NzY2SUFCQTVqS0VZcVFIZE1rWFltaWFMUFpya0c4enV2MW1rd211SHBJQXF1b3FQalJqMzVFSDlBYXhUQklJL2gzT0k0Yk1HREFtVE5uVWxOVG9majBldjFERHoyRUFwK2lvcUtoUTRmaTk5Z2RkQ2dxS3IrUDNXN0h6RVFraXBETml4eGtxOVhLcXpRYUVjazVLU2twdDl4eXk5S2xTNW5LRDBlQUlWTmZQY1Z5WXRKWDBtT01HTWN2VEZSWkpTZkUvcUZvQ2VvcFRTYlR1WFBubUlhcVVWRVVzOW04ZVBIaUpVdVdMRm15Wk42OGVUTm56cno5OXR2ajQrTzFuaWxUTXlYaHdNYkZ4V2tUa29ZUEgvN3RiMzk3NjlhdHI3LytPdTVPS1VwYWlsNzR3aEYwQkZHQ1dqQmt3R09McDZNd01RSmxzTTA1dGN3TTM2SVp3TXdBbzlUcGRDZzNnQXI0OFk5L0hBNkhmL2pESDhMTWJHNXVCampPY1p6UDV3T1FCeDJkbVpsWlcxdExReUlqYnRLa1NYZmRkZGR0dDkyMmVQSGltMisrZWVuU3BVbEpTZVFMRTU5REw0VEFXWHFKOEVNeFVSZ1Y0bDJ5V2hTRFdVSWlHbE9SZXN6OEgvLzR4ODJiTi8vZ0J6OTQvUEhIKy9Ycjk1Ly8rWjluenB4aGpEbWRUa0VsMzZDNUdqaHdZRk5UVTJOakkyYWVNZGJXMWtZcEdSNlBoMkIwdDl2ZDJ0b0tCUWNyRXRpSUpFbEVMWVJQa2dXSE40VWY4Q3kwWEFucm9KZEl4Q2wwcUd1elhKaktoM2xaVlk3M2hmV2p0VVpKdE9scmVCWXlZT21McmEydGlZbUp6YzNOT0hWdzJ2M3Naejl6T3AxLytNTWZHR09nK29TVkUwRlNYRlJVZFBiczJaYVdGc0xySkEyaEZjNVV4aGdXcDkvdnB3Mkw0eEI1cGFGUUNDY2xWVDh4VFZvRnRQblYxTmJIcEV2cHNTTFdJa29VeWNXYTArWWJwcVNrcEtTa2ZQVFJSOENobUpxT2lyV0ZqNEdQL09USmszVjFkV2F6R1g0My9oV1doU1JKNEFQRUxVQmx3aGo3eWxlK01uYnMyR2VlZWVidzRjTlkxdEJ4V3BaRnNqUnByVlBxUXBkQ05nV1ZDOEw3bzVBVUtwcWc5L0ZmQW1HWUNxUmdaWk91d1pVTENncSsrOTN2N3QyN2Qvbnk1UmdrSEUvc01WTHIyZG5aR1JrWjU4NmR1M0RoQXF4ZG44K25EWE1GQWdFTXBxR2g0ZGl4WXkwdExWQTZjTWw3K2g2WlNpN0RxelFhT0xTSTBwZkdENDJQalFwd2dISVFLWHFlbkp6ODl0dHZ2L0hHRzB1V0xKa3hZMGIvL3YyLzg1M3ZTSkwwMjkvKzF1djFBcWd4bTgyd294bGpRTU5UVWxLT0hqMktJOWJ2OThmSHg2TW9ocW5CTGxtV1Q1NDgrZkRERHovenpETnRiVzBZRDF3cnZCMm00Yk9uWWptbWtncmhCMjJTbHFJeTBPUDMrQ3NCWDlyd0k3dlVpc1NDakRLWnVEaFdJMkFUV1phaktDejRRUGdaSUlNZ0NHU1J3TDJnb3lJdkwrK2IzL3ptbGkxYlhudnR0Ymk0T0tUVElLYUhKUXFvSVRVMU5URXhjZlBtelQ2ZkQ2RTJuVTRYQ29Wd1RHSnNtTWJmL09ZM1M1WXNPWGp3SUZOREVZSWdvRGdJcHl3aUJGcWdBLytFQTZ6THRMeVlYSTMwV0JFckd0Sis3Rmg2WVJTejVqZ3VPenU3cEtSa3k1WXQyN2R2cDJYTk5EYXZvaWh3M3ZmdjN3L2p0Nm1wQ2V1UDdnV2tBdXM3RkFvaFd1WDFlbE5TVXI3NjFhOHFpdkxrazAvQ1pHYU1lYjFldWpoWnFaUU9HWkUwMXVWemtiMkdCNFRpZ1A1bGFwYXIxdDRSTlcwcEtBMEk3VDlJUjhNRFhiUm9VWGw1K2JQUFBydDkrL2JzN0d5WHl3V05MNm1rdzRxaXBLYW1qaG8xNnRTcFV4czJiTERaYkhxOTNtS3hrSU5wTUJpZ0N3UkIyTHg1TXpKTVVNN1EwemRJb20zeGdJZkM4K0ttME10a0xaS0pGNUZEaW91NFhLNFhYbmhCVVpSNzc3MDNKU1dGTVRaMzd0eDU4K2F0WDc5KzJiSmxkRFdtZWg0V2kyWGl4SWx0YlczdnYvOCtOQy9PU0V3ZDRsZW9PdHUrZmZ1cVZhdENvUkNTM2lpRm5PTTRYQk9FQ2ZRdU9KVlZqZ3g4TWhyd1JuQ3U0SGJJZkNlMXdxdEZic2orampDUVNRMTFLVXhkZFFUNmV6d2VLcVBvVXBDQlFOblRVTWZZQ3hHYXptdzIzM25ubldQR2pQbkRILzVRWDE4UGVBb25EWlhJUzVMVXYzLy9pb3FLQXdjTzFOYldrcFkzR0F3Z08wUnVpZFZxcmErdi84Yy8vbkh1M0RuUW1HakJ2VkFvcE8xZlF6WVcwN0NQZG1uc3grUXFwY2VLbUJ4SnB0b2dpc3FUd05TWHFpaEtVbExTRFRmY0VCY1g5L0xMTDFkWFZ6UEdEQVlEOWd3UlFUREc5dTdkKy96enp6UEdNakl5c0xDQUJXTmxRL1BDWXFLYllvV05HemZ1UnovNjBicDE2NVl0VytaME9sTlNVdkJGUldVQ2luek9UbTBJT2o4WHJmNkkrZ2h0V0I5TEV3YWp0bDdPWUREQVhvWWlJNWNmanJ6WmJQNys5Nzh2aXVMenp6OS82dFFwU3JiSG9xY0k1dzAzM0pDWW1QamlpeThlUFhxVWlySjhQaDgxS3dxSHcwNm44NVZYWG9GWExra1NTTVI3bDA1RUpoNndTSVRJdFVGOEtqeGhHZzhEZi9WNnZiZ3ZITnRmL3ZLWEZ5NWNlUFRSUjRjT0hSb01CcUVpZi9qREg0NGVQZnJwcDUvZXZIbXp6V1lUVkpvSVBGcEpTY21vVWFQMjd0MjdjZU5HMko2d3haQzloMms4ZS9ic004ODhNM2p3WU9RZVlCNGtUVU1wazhsa01wbHNOcHRXbVRJMW14akRobW5KcWVUeENPaFIvWnVnY21aUy9peGVIT1VMVWw0YUJzbDNJNXlHdUljaVl6ZzJ1aE10YmdBU0VuZ2JPQmZwYUF3RUFySXMyKzMySC83d2g0eXhQL3poRDNWMWRXUmU0T3RZK1ZhcmRlN2N1VHpQdi9EQ0M1UVBUaWdFZHBOZXIzLzY2YWY5ZnY4M3Z2R05sSlFVU1pKQXNZOHRBOFNETEMxUjVmMWdqRkZNV0l2cXhLU3ZwRGQ1eEdSYUJvUEJRQ0FBN0U4TDhzTDJtVHAxNnEyMzN2clJSeCs5K3Vxcmh3OGZab3dSQVRFKzhNRUhIL3pxVjcvaU9HN2d3SUd0cmEyaXlxQktieHBNdnJnK01pNWhMT0RydDl4eXk5eTVjNTk0NG9rZE8zYm85WG9xY0dBcVdxY29TaUFROEhxOXBNaWlHTVVBQWJUR08xT2hhZ3lNdkZlbTltckRIcFkwQmZpZzA2WFdTb3d4S0dYR1dFRkJ3U09QUExKbno1N25uMy9lYnJkTGtnU0FnalNJSkVtalI0Kys4ODQ3YTJwcUhudnNzWXNYTDhvcW1TUnRob2FHaG9jZmZyaWxwV1hvMEtIMHkxN1hlVk9OQ2FFVENNZWhGU0hkRjBFdzNBV2NuT3pTRFAvMzMzLy9qVGZlcUtpb3VQMzIyK0czR28zR1lEQm90OXUvL3ZXdiszeStsMTU2Q1lUUnVHQmNYQnhRcVVjZWVTUWhJZUd4eHg2akFuZGl2R1NNVlZWVi9mNzN2ejkxNnRTU0pVdkFWSWU1SWhzV1p5ZWRXRGkvdFdFQU1zTVJKOEF2RlVVQjVRWFdFb0JqVXMyaUtJSmltd1IyQUNJZlVTeGNwam5ZY0R0Z1VGRStUKzRqd1Q0RUlzc3FzekJUblFCUkZJY01HZktkNzN4bjllclZxMWF0c2xnc21GSnlxakFubFpXVkV5Wk1XTFZxMVFzdnZBQ0FucWw4MlJ6SE5UWTJQdjMwMDYrODhrcFpXZG44K2ZPWjZoT1FJVzh3R09MajR3bk5ZQ29tUnNjemZhVjNTeTRtM1VsdnNCNktnTU1tUXJxVjFtS0N2a3RJU0xqampqdHFhbW8rL1BERDZ1cnFtMisrZWZUbzBSa1pHYUlvWHJod1ljT0dEYSsrK3VyQWdRTi84WXRmdlBQT095ZE9uSWlQajZmb3VVNGx5WVZoSXFwOHFkb3lhRm1XZi9LVG45eDExMTAxTlRXaFVNamo4YVNscFdsOU9taFZxSDdsY3JWVm9LSW42bFY2VXY3U0hDQlpsZ1ZCUUhVdmxCRXRZbHpCNS9PNVhDNXRTUlhtUjFHVXhZc1hWMVZWclZpeHd1LzNhM3RTaUJvcTIvdnV1Nit4c1hIRGhnMExGeTY4OGNZYjU4MmJOMmpRSUk3akRoNDgrTUVISDZ4ZXZWb1VSUVRCNnVycVlLeUJKYXVuUmpHOU1ucHJvSUNvcTZ2NzE3LytCYnVNMG5neE15aFZIek5tekxoeDQ2amtiOWV1WFU4OTlkU0FBUVB1di85K2c4RVFDQVNnVEZIVk1tUEdqUHZ1dSsrNTU1Nzc4NS8vL0kxdmZDTXhNUkc2WHEvWGU3M2U4ZVBIUC9UUVE3LzV6VzkrK3RPZjd0dTNiOEtFQ1hsNWViSXNPNTNPWGJ0MnZmLysrMVZWVmQvNzN2ZVdMRm5DYVJLdVFmdUhKVkZmWC8vU1N5OGxKU1ZCSldGNTRDM2c2WXFLaW1iT25LbE5Oc2Y3K3ZUVFQ5dmEybkJnY0J4bk5Cb0pFTERaYkRObXpNak96aFpGRWRZaWtOYnQyN2YvOWE5LzdTNUw1N2JiYmtOMkxjR3BvVkJveDQ0ZGYvclRuN3I4dkN6THFPOVBUMCtuVXV4UUtOVGUzbzY4Yk8zSlFXajFMYmZjc20zYnRyVnIxOElMWkl3RmcwR1FLTUVZU2t0TCs5YTN2cVhUNlI1Ly9QRzllL2ZPbVRPbnFLZ29KU1dscWFscHo1NDkyN1p0VzdseVpYbDUrVU1QUFlRVVpzQ0RzcG9ZQTlObjQ4YU5GRkpHVUJGRmdEelBtMHltMU5UVW1UTm54ckltK2xaNnJJZ2xUY2VhaElTRUVTTkc1T2Zua3c4YlVlZzFmUGp3dDk5Kys2OS8vZXZycjcvKzVKTlBBdWowK1h3TkRRMEZCUVd6WjgvKyt0ZS9QbXpZc1BYcjF3OGZQbHdRaFBQbnoyZGtaQkFEWVdKaVlrbEp5WUFCQXdESVlpMVNabGdvRk1yTXpIem9vWWYrOWE5L2dWaFNsbVZlRFFiQzBVdFBUeThxS2tKSmRQUWNyeUZEaGdpQ2dLSlAyZ01SbjVkbE9Ta3BhZWpRb1FNSER0U2l5WmdObzlGWVhGeE01Z05OQXVBL09JYjMzMzkvTUJnOGRPZ1FDTU8wUGMyUVYydXoyUjU3N0xHaW9xS1hYMzU1elpvMWI3enhCaXhXdlY2ZmxKU1VrWkh4NktPUFZsWld2dlRTU3drSkNZUjFVcHVNS3hlT3U2UjFKcEs5U2t0TFAvNzQ0MDgvL1JROUxLRHllRFhFRCtaY3M5azhkT2hRRkdKQUVRdUM4UFd2ZngxYytFaG13R3lBV2ZHZWUrNnBxcXJhdFd2WFRUZmRsSkNRZ0p1Q2laOHh0bVRKa3R6YzNHZWZmZmJOTjk5OC9mWFhKVWtDRkM2S1ltbHA2Vi8rOHBjYmJyaUJxaXNaWTZENHdaQ0dEQmx5OGVMRnFxb3FyOWRMMWdCbC9sRjRZTXFVS1FqdXdlcDBPQno5K3ZXN2VQSGlpUk1uSkxWdkxBaEZZU0JuWkdRTUhEZ3dKeWNISTVSbE9UNCtQaWNueCtQeGZQamhoN0RsTzh1TUdUT2dHVEczOGZIeGd3WU5rbVVaRWRyT0lvcGlSa1pHV1ZrWnlwRUpsQ2dvS01BMndSTENDSWtlM21LeFBQVFFRMTZ2OS9EaHc5bloyVzYzR3htY0ZFcGhqSTBhTmVwNzMvdGVRVUhCMnJWckgzendRV0RFT0Vjek1qSnV2ZlhXcFV1WDV1WGxVWmtHc0hqTWNGeGNYSHA2K29VTEYrcnE2bUNub3pJRnVDSXM2eUZEaGd3YU5BaFV5REhwSytteElsWTB2RmFabVpuanhvMGJObXdZK2Vha01lSFBvc1hod29VTCsvWHJ0M0xseXVycWFsbVdjM0p5aGcwYk5tclVLSkE2TXNiR2p4L1BHR3RyYTlQU3M4cXluSm1aT1hyMDZNR0RCK3RVcG5uR0dIRktXYTNXUUNBd1pzd1lsOHVGZmdjNHVoVk5RK2orL2Z1UEdqVnE4T0RCVE5PK3JFdVpPWE5tYW1wcVZsWVdQRkNlNTBrTklRRE5HQk1FSVNjbnA3S3ljdFNvVVRxMWtSZWxncGhNcHJGangxb3Nsc3pNVEpoZDVHeGlGMG1TVkZSVU5Ibnk1SkVqUnhZVkZUVTFOV0hyOGhxZXcyQXdtSmlZZU1NTk56Z2NqZzgvL0hEdjNyMjR2aUFJWldWbHMyYk5LaTh2RDRWQ2d3Y1BYckprU1ZwYVdpQVFRTloyVDk4ajRhR3l5dmx0c1ZqR2pSdFhWRlRFY1Z4TFMwdDhmTHlrdGx1WDFmUmVwOU01ZlBod25DSUlMbG10MW52dXVlZkdHMjlrS3EwQjNyc2tTZkh4OFg2L1B5MHQ3YkhISHZ2b280OEFMdUV4dytFd1VzN0Q0WEJGUlVWeWN2SmJiNzIxYTlldXBxWW0yTXY1K2ZuejU4K2ZNR0VDM2pKS0I4bU53SWs3Y2VMRS92MzdBNENDUXcwd0Y5Ri9yS2pCZ3dkRG5RbHF3VkZoWWVHaVJZdk1aclBMNVFLSFBTVWFDNExRM054c05CcTFCUERvRDdCdzRVSzlYdTkydTd0TGhFQm9GNjRKeDNGNWVYbno1czNUQWpnUkFqd2tPenViZm9PSFdyaHdvZFBwQkg4aE1TWGh0SVlKTW1USWtGbXpaazJiTmswVVJUaGV5T0hERW0xcmF3T2ovQjEzM0lGTUpJL0hneERjb0VHRHhvOGZQM3YyYk1Ub2RHcGZWMnJ6YURLWlJvd1ljZnZ0dDJPcWNhckpzdXp4ZUJEVmtHWFo2L1VtSlNYRnRIQ2ZTMjlhSmNVa0pqR0pTVXo2VUdLZ2UweGlFcE9ZWEdlSktlS1l4Q1FtTWJuT0VsUEVNWWxKVEdKeW5TV21pR01TazVqRTVEcExUQkhISkNZeGljbDFscGdpamtsTVloS1Q2eXd4UlJ5VG1NUWtKdGRaWW9vNEpqR0pTVXl1czhRVWNVeGlFcE9ZWEdlSktlS1l4Q1FtTWJuT0VsUEVNWWxKVEdKeW5TV21pR01TazVqRTVEckwvd2RSSVVUS1dYdVgvQUFBQUFCSlJVNUVya0pnZ2c9PSIgcHJlc2VydmVBc3BlY3RSYXRpbz0ieE1pZFlNaWQgbWVldCIgLz4KPC9zdmc+</t>
  </si>
  <si>
    <t>PD94bWwgdmVyc2lvbj0iMS4wIiBzdGFuZGFsb25lPSJubyI/Pgo8IURPQ1RZUEUgc3ZnIFBVQkxJQyAiLS8vVzNDLy9EVEQgU1ZHIDIwMDEwOTA0Ly9FTiIKICJodHRwOi8vd3d3LnczLm9yZy9UUi8yMDAxL1JFQy1TVkctMjAwMTA5MDQvRFREL3N2ZzEwLmR0ZCI+CjxzdmcgdmVyc2lvbj0iMS4wIiB4bWxucz0iaHR0cDovL3d3dy53My5vcmcvMjAwMC9zdmciCiB3aWR0aD0iNjI2LjAwMDAwMHB0IiBoZWlnaHQ9IjYyNi4wMDAwMDBwdCIgdmlld0JveD0iMCAwIDYyNi4wMDAwMDAgNjI2LjAwMDAwMCIKIHByZXNlcnZlQXNwZWN0UmF0aW89InhNaWRZTWlkIG1lZXQiPgoKPGcgdHJhbnNmb3JtPSJ0cmFuc2xhdGUoMC4wMDAwMDAsNjI2LjAwMDAwMCkgc2NhbGUoMC4xMDAwMDAsLTAuMTAwMDAwKSIKZmlsbD0iIzAwMDAwMCIgc3Ryb2tlPSJub25lIj4KPHBhdGggZD0iTTQxMzAgNDk1NSBjLTI3OSAtMzQgLTUzMyAtMTQyIC03OTUgLTMzOCAtMTMzIC05OSAtMzkyIC0zNTQgLTYxMQotNjAyIC04NyAtOTkgLTE5MyAtMjE1IC0yMzQgLTI1OCBsLTc2IC03OSAtNTQgMzcgYy04NSA1NyAtMTk3IDExMCAtMjg1IDEzNQotNjIgMTcgLTk3IDIxIC0xNjUgMTggLTc1IC00IC05MyAtOSAtMTU4IC00MyAtNzMgLTM4IC0xMTMgLTc3IC0xNjMgLTE2MApsLTI0IC00MCAzOSAzOSBjNzYgNzYgMTYyIDg4IDI0MiAzNCA0NSAtMzEgNTUgLTQ2IDEzNCAtMjAzIDk3IC0xOTUgMTMyIC0yNDkKMjA5IC0zMjMgOTYgLTkzIDE4MSAtMTM5IDQzNCAtMjM2IDE3MyAtNjcgNDEwIC0xOTEgNDMyIC0yMjYgMTUgLTI0IC05NiAtMTg3Ci0yMDkgLTMwNyAtODEgLTg2IC0yMTQgLTIwMiAtMjgzIC0yNDggLTI0IC0xNSAtNDAgLTMyIC0zNiAtMzggMyAtNiAxIC03IC01Ci0zIC03IDQgLTIyIDAgLTM0IC05IC0yMyAtMTYgLTIzIC0xNiA3IC0xMCAxMzIgMjkgNDAzIDE0MiA1MDMgMjEwIDIwIDEzIDM3CjIzIDM5IDIxIDEyIC0xMiAtMTI2IC0yMzEgLTIxMSAtMzM2IC0zMyAtNDEgLTYwIC04MCAtNTggLTg3IDIgLTggLTMgLTEwIC0xNAotNiAtMTIgNCAtMTUgMyAtMTAgLTUgNCAtNyAyIC0xMiAtNCAtMTIgLTYgMCAtMjEgLTEwIC0zMyAtMjEgbC0yMiAtMjEgMjQgMTIKYzU3IDI5IDExMCA2OCAxMDMgNzUgLTQgNSAtMSA1IDUgMSAxNiAtOSA1NiAxNyA0NSAyOSAtNCA1IC0yIDUgNCAyIDE4IC0xMAoxNTAgODkgMjU3IDE5MSAxMDggMTA2IDEwOCAxMDUgNzcgLTI2IC0yMSAtODYgLTE5IC05NyAxMiAtMTIwIDEwIC03IDE2IC0xNwoxMyAtMjIgLTMgLTUgLTEgLTExIDUgLTE1IDExIC03IDEzMCAxNzEgMTMwIDE5NCAwIDkgMyAxMSA5IDUgMjEgLTIzIC0zMAotMjY4IC03NSAtMzU2IC0yNSAtNDkgLTcgLTMwIDM0IDM1IDE1MCAyMzcgMjExIDQ2OCAxOTkgNzUyIC04IDE3MCAtNDAgMzM1Ci05NyA0OTUgLTM1IDk5IC04NiAzMTggLTc1IDMyOCAzIDMgMTAxIC0xNTkgMTY1IC0yNzMgMTkgLTMyIDUzIC0xMDEgNzYgLTE1MwpsNDIgLTk0IDggNDggYzEzIDc1IDkgMzMxIC01IDM5OSAtMTYgNzggLTQ5IDE4MCAtNzMgMjI4IC0xMSAyMiAtMTggNDAgLTE2CjQyIDggOCAyNzQgLTIxNiA0MDAgLTMzNSAxMjkgLTEyMyAxNTAgLTE0MCAxNDcgLTEyMiAtNCAyMiAyIDQyIDExIDM3IDE2IC0xMAoxMiA3IC0yMSAxMTAgLTU2IDE3NyAtMTI1IDMwNCAtMjIzIDQxMyAtMjYgMjggLTQzIDUyIC0zOCA1MiA0MSAwIDU1MyAtMjM4CjY4MSAtMzE2IDI0IC0xNSA0MCAtMjEgMzYgLTEzIC01IDggMyAyIDE4IC0xMyAzNSAtMzcgNDMgLTM1IDE5IDUgLTExIDE3IC0zOAo2NCAtNjAgMTAzIC05NCAxNjIgLTIyMyAzMTQgLTM1MCA0MTIgLTQxIDMxIC02OSA1OCAtNjQgNjAgNiAyIDczIC0xMyAxNDgKLTMzIDc1IC0xOSAxMzkgLTMzIDE0MiAtMzAgMyAzIC0xIDUgLTkgNiAtOCAwIC00IDQgOSAxMCAyMSA4IDIzIDE1IDIzIDcxIC0xCjM1IDAgNzUgMSA4OSBsMyAyNyAyNyAtMjAgYzE2IC0xMCAzMyAtMTYgMzggLTEzIDE2IDEwIC04IDM1IC0zMiAzNSAtMTAgMAotMTcgNCAtMTQgOSA2IDEwIC0xMDAgODQgLTE3MSAxMjAgLTI4IDE0IC03OCAyNSAtMTQ0IDMyIC01NiA1IC0xMTAgMTQgLTExOQoxOSAtMTAgNSAtMjAgNyAtMjMgMyAtMyAtMyAtMiAxMCAzIDI4IDUgMTkgMTMgNjUgMTggMTAyIDcgNTUgNiA3MCAtNSA3NCAtMTIKNSAtMTc4IC0yMCAtMjI2IC0zMyAtMTUgLTUgLTE3IDEgLTE0IDM4IDMgMzAgLTEgNDYgLTEyIDU0IC0xMiA5IC0xMyAxNSAtNAoyNSAxMSAxNCAxMyAxOSAxMyAzOCAwIDUgMTAgNyAyMyA0IDE3IC00IDE5IC0yIDggNSAtMTEgOCAzIDIyIDY1IDYyIDE1OCAxMDIKMzI2IDE2NiA1MzcgMjA0IGwxMjIgMjMgLTg1IDYgYy0xMTMgOSAtMTc0IDcgLTMwMCAtOHogbTI1MCAtNzUxIGMwIC0yIC05IDAKLTIwIDYgLTExIDYgLTIwIDEzIC0yMCAxNiAwIDIgOSAwIDIwIC02IDExIC02IDIwIC0xMyAyMCAtMTZ6IG0tMjg5IC05NzcKYy0xMCAtOSAtMTEgLTggLTUgNiAzIDEwIDkgMTUgMTIgMTIgMyAtMyAwIC0xMSAtNyAtMTh6IG0tNCAtNDMgYzAgLTE3IC0xMQotMTggLTI1IC0xIC04IDEwIC03IDEzIDcgMTQgMTAgMSAxOCAtNSAxOCAtMTN6IG0tMTI1NyAtMTU1IGMwIC0xMSAtOCAtNDMKLTE3IC03MiBsLTE3IC01MiAtMTMgNTAgYy03IDI4IC0xMyA2MCAtMTMgNzMgMCAyMCAzIDIxIDIwIDEyIDE2IC05IDIwIC04IDIwCjUgMCA5IDUgMTMgMTAgMTAgNiAtMyAxMCAtMTUgMTAgLTI2eiBtLTIwIC0xMDgyIGMwIC0yIC0xMCAtMTIgLTIyIC0yMyBsLTIzCi0xOSAxOSAyMyBjMTggMjEgMjYgMjcgMjYgMTl6Ii8+CjxwYXRoIGQ9Ik00NDI1IDM5MzAgYzI3IC0xMiA0MyAtMTIgMjUgMCAtOCA1IC0yMiA5IC0zMCA5IC0xMCAwIC04IC0zIDUgLTl6Ii8+CjxwYXRoIGQ9Ik00MTIxIDMxNjQgYzAgLTExIDMgLTE0IDYgLTYgMyA3IDIgMTYgLTEgMTkgLTMgNCAtNiAtMiAtNSAtMTN6Ii8+CjxwYXRoIGQ9Ik0xNDMwIDEyNzUgbDAgLTE2NSAxMTUgMCAxMTUgMCAwIDI1IGMwIDI1IC0xIDI1IC04NSAyNSBsLTg1IDAgMAoxNDAgMCAxNDAgLTMwIDAgLTMwIDAgMCAtMTY1eiIvPgo8cGF0aCBkPSJNMTc2MCAxNDE3IGMtNTAgLTMzIC03NSAtODIgLTc1IC0xNDcgMCAtMTA4IDc2IC0xNzcgMTg0IC0xNjYgOTIgOAoxNDIgNjEgMTQ5IDE1NSA0IDUxIDEgNjcgLTIxIDEwNCAtMzIgNTQgLTc2IDc3IC0xNTAgNzcgLTQwIDAgLTYzIC02IC04NyAtMjN6Cm0xNTYgLTQ1IGMzMiAtMjUgNDQgLTU1IDQ0IC0xMDUgMCAtODQgLTc2IC0xMzYgLTE1MyAtMTAzIC04MCAzMyAtODkgMTU5IC0xNQoyMTAgMzAgMjEgOTggMjAgMTI0IC0yeiIvPgo8cGF0aCBkPSJNMjA3MCAxMjc1IGwwIC0xNjUgMzAgMCBjMzAgMCAzMCAxIDMwIDU1IGwwIDU1IDMyIDAgYzI3IDAgNDIgLTEwCjgzIC01NiA0NCAtNDkgNTQgLTU1IDgzIC01MiBsMzMgMyAtNDggNTQgYy0yNyAzMSAtNDMgNTYgLTM2IDU4IDU5IDIwIDg3IDkxCjU5IDE1MCAtMjMgNDggLTY1IDYzIC0xNzYgNjMgbC05MCAwIDAgLTE2NXogbTIwNCA4OSBjMjIgLTIxIDIwIC01MCAtNCAtNzQKLTE2IC0xNiAtMzMgLTIwIC04MCAtMjAgbC02MCAwIDAgNTUgMCA1NSA2NCAwIGM0NSAwIDY5IC01IDgwIC0xNnoiLz4KPHBhdGggZD0iTTIzOTAgMTI3NSBsMCAtMTY1IDEyNSAwIDEyNSAwIDAgMzAgMCAzMCAtOTYgMCAtOTUgMCAzIDM4IDMgMzcgODgKMyBjODUgMyA4NyAzIDg3IDI3IDAgMjUgLTEgMjUgLTkwIDI1IGwtOTAgMCAwIDQwIDAgNDAgOTUgMCA5NSAwIDAgMzAgMCAzMAotMTI1IDAgLTEyNSAwIDAgLTE2NXoiLz4KPHBhdGggZD0iTTI2OTAgMTI3NSBsMCAtMTY1IDMwIDAgMzAgMCAwIDExNSBjMCA2MyAzIDExNSA4IDExNSA0IDAgMjcgLTI5IDUyCi02NSAyNSAtMzUgNTAgLTY0IDU2IC02NSA1IDAgMzIgMzAgNjAgNjcgbDQ5IDY4IDMgLTExOCAzIC0xMTcgMjkgMCAzMCAwIDAKMTY1IDAgMTY1IC0zMyAwIGMtMzEgMCAtMzkgLTcgLTgzIC03MCAtMjcgLTM4IC01MSAtNzAgLTU0IC03MCAtMyAwIC0yOSAzMgotNTggNzAgLTQ3IDYzIC01NiA3MCAtODcgNzAgbC0zNSAwIDAgLTE2NXoiLz4KPHBhdGggZD0iTTMyMTAgMTI3NSBjMCAtMTAzIDQgLTE2NSAxMCAtMTY1IDYgMCAxMCA2MiAxMCAxNjUgMCAxMDMgLTQgMTY1Ci0xMCAxNjUgLTYgMCAtMTAgLTYyIC0xMCAtMTY1eiIvPgo8cGF0aCBkPSJNMzMxMCAxMjc2IGMwIC0xMDQgNCAtMTY2IDEwIC0xNjYgNiAwIDEwIDI1IDEwIDU1IGwwIDU1IDY4IDAgYzEwOAowIDE2MSAzOSAxNjIgMTE3IDAgMjIgLTEwIDQzIC0yOSA2NSAtMjkgMzIgLTMxIDMzIC0xMjUgMzYgbC05NiA0IDAgLTE2NnoKbTIwMSAxMTUgYzM2IC0zNyAzOCAtNzkgNSAtMTE4IC0yMiAtMjUgLTMxIC0yOCAtMTA1IC0zMSBsLTgxIC00IDAgOTEgMCA5MQo3NiAwIGM3MCAwIDc4IC0yIDEwNSAtMjl6Ii8+CjxwYXRoIGQ9Ik0zNjY0IDE0MzAgYy0yOCAtMTEgLTU0IC00OCAtNTQgLTc2IDAgLTQwIDMxIC02MyAxMTAgLTgyIDEwNiAtMjcKMTIwIC0zNSAxMjAgLTc3IDAgLTQ3IC0zNiAtNzAgLTEwNiAtNjkgLTQwIDAgLTYwIDYgLTg3IDI3IC0yMCAxNSAtMzggMjMgLTQxCjE4IC05IC0xNCA0MSAtNDkgODUgLTYxIDQ4IC0xMyAxMTIgLTMgMTQ0IDIyIDIwIDE1IDI1IDI5IDI1IDYzIDAgNTUgLTE2IDY4Ci0xMTUgOTAgLTg2IDIwIC0xMTUgMzggLTExNSA3MCAwIDYwIDEyNSA5MCAxODQgNDQgMzcgLTI5IDQ4IC0xMyAxMyAxNyAtMjMKMjAgLTM5IDI0IC04NSAyMyAtMzEgMCAtNjcgLTQgLTc4IC05eiIvPgo8cGF0aCBkPSJNMzkyMCAxMzMwIGMwIC0xMTkgMTYgLTE4MiA1MyAtMjAxIDY2IC0zNiAxMzAgLTI3IDE3MSAyMiAyNSAyOSAyNgozNiAyNiAxNjAgMCA3OSAtNCAxMjkgLTEwIDEyOSAtNiAwIC0xMCAtNTAgLTEwIC0xMjkgMCAtMTI0IC0xIC0xMjkgLTI1IC0xNTQKLTMzIC0zMiAtNjggLTQxIC0xMTAgLTI3IC01NyAxOSAtNjkgNDkgLTczIDE4OCAtMiA2NyAtOCAxMjIgLTEzIDEyMiAtNSAwIC05Ci00OSAtOSAtMTEweiIvPgo8cGF0aCBkPSJNNDI1MCAxMjc1IGMwIC0yMTAgMTggLTIyNSAyMiAtMTggbDMgMTQ3IDY0IC05NyBjMzUgLTUzIDY3IC05NCA3MgotOTIgNCAzIDM0IDQ3IDY2IDk3IGw1OCA5MiAzIC0xNDcgYzQgLTIwNyAyMiAtMTkyIDIyIDE4IDAgMTI1IC0zIDE2NSAtMTIKMTY1IC03IDAgLTQwIC00MyAtNzMgLTk1IC0zMyAtNTEgLTYzIC05NCAtNjYgLTk0IC00IC0xIC0zNSA0MiAtNjkgOTQgLTM0IDUyCi02OSA5NSAtNzYgOTUgLTExIDAgLTE0IC0zMiAtMTQgLTE2NXoiLz4KPC9nPgo8L3N2Zz4K</t>
  </si>
  <si>
    <t>ops.services.ieft</t>
  </si>
  <si>
    <t>Instant EFT</t>
  </si>
  <si>
    <t>/ieft</t>
  </si>
  <si>
    <t>ops.ieft.ozow.sitecode</t>
  </si>
  <si>
    <t>BIT-PLA-001</t>
  </si>
  <si>
    <t>ops.ieft.sms.footer</t>
  </si>
  <si>
    <t>Planet Fitness</t>
  </si>
  <si>
    <t>ops.ieft.sms.header</t>
  </si>
  <si>
    <t xml:space="preserve">Planet Fitness IEFT service. Please follow this link to complete payment </t>
  </si>
  <si>
    <t>PUI</t>
  </si>
  <si>
    <t>Phoenix User Interface</t>
  </si>
  <si>
    <t>pui.services.entity</t>
  </si>
  <si>
    <t>Phoenix Entity Details Service</t>
  </si>
  <si>
    <t>Get Details for entity including all types</t>
  </si>
  <si>
    <t>/entity-details</t>
  </si>
  <si>
    <t>pui.logo</t>
  </si>
  <si>
    <t>PD94bWwgdmVyc2lvbj0iMS4wIiBlbmNvZGluZz0iVVRGLTgiIHN0YW5kYWxvbmU9Im5vIj8+CjwhLS0gQ3JlYXRlZCB3aXRoIElua3NjYXBlIChodHRwOi8vd3d3Lmlua3NjYXBlLm9yZy8pIC0tPgoKPHN2ZwogICB2ZXJzaW9uPSIxLjEiCiAgIGlkPSJzdmcyIgogICB3aWR0aD0iMTIyMS44NTg2IgogICBoZWlnaHQ9IjM0Ni42MzQ2NyIKICAgdmlld0JveD0iMCAwIDEyMjEuODU4NiAzNDYuNjM0NjciCiAgIHhtbG5zPSJodHRwOi8vd3d3LnczLm9yZy8yMDAwL3N2ZyIKICAgeG1sbnM6c3ZnPSJodHRwOi8vd3d3LnczLm9yZy8yMDAwL3N2ZyI+CiAgPGRlZnMKICAgICBpZD0iZGVmczYiPgogICAgPGNsaXBQYXRoCiAgICAgICBjbGlwUGF0aFVuaXRzPSJ1c2VyU3BhY2VPblVzZSIKICAgICAgIGlkPSJjbGlwUGF0aDE2Ij4KICAgICAgPHBhdGgKICAgICAgICAgZD0iTSAzMywyMjYuOTc2IEggODgzLjM5NCBWIDMzIEggMzMgWiIKICAgICAgICAgaWQ9InBhdGgxNCIgLz4KICAgIDwvY2xpcFBhdGg+CiAgPC9kZWZzPgogIDxnCiAgICAgaWQ9Imc4IgogICAgIHRyYW5zZm9ybT0ibWF0cml4KDEuMzMzMzMzMywwLDAsLTEuMzMzMzMzMywwLDM0Ni42MzQ2NykiPgogICAgPGcKICAgICAgIGlkPSJnMTAiPgogICAgICA8ZwogICAgICAgICBpZD0iZzEyIgogICAgICAgICBjbGlwLXBhdGg9InVybCgjY2xpcFBhdGgxNikiPgogICAgICAgIDxnCiAgICAgICAgICAgaWQ9ImcxOCIKICAgICAgICAgICB0cmFuc2Zvcm09InRyYW5zbGF0ZSg3MTEuNjM0OCwxNjYuMzQwMikiPgogICAgICAgICAgPHBhdGgKICAgICAgICAgICAgIGQ9Im0gMCwwIGMgLTEwLjM1NiwtMC4zNDUgLTE4LjAzOCwtMy42NTMgLTIzLjQ4MywtMTAuMTEgLTUuNDY1LC02LjQ3OSAtOC4zNzksLTE2LjM1MyAtOC42NTksLTI5LjM0OSAwLjAwMiwtMTAuNzAzIDIuOTIxLC0xOS45NjkgOC42NzgsLTI3LjQ5NCA1LjQ1OSwtNy42NjMgMTMuMTI3LC0xMS40MTMgMjMuNDg1LC0xMS41MjIgMTAuMzM5LDAuMTA5IDE3Ljc5MiwzLjgxIDIyLjc0MSwxMS4zMTMgNS4xODIsNy41MjQgNy43OTgsMTYuODQ5IDcuNzk4LDI3Ljc0OSAwLDEwLjI0MyAtMi40OTEsMTkuNTQzIC03LjQwMywyNy42NDMgLTIuMjM3LDMuNzI4IC01LjMyMSw2LjU5NyAtOS4xNzIsOC41MzcgQyAxMC4wNTksLTEuMjYgNS4zNTQsLTAuMTcyIDAsMCBtIC0wLjAxNSwtODkuNTcxIGMgLTkuODEsMC4wNjEgLTE4LjI3LDIuOTY0IC0yNS4xNDYsOC42MjUgbCAtMC4wMDgsLTAuMDA4IGMgLTYuNjMxLDUuMjk0IC0xMS40NzgsMTIuMzM0IC0xNC40MDcsMjAuOTI4IGwgLTAuMDI3LC0wLjAwNSBjIC0wLjgwNiwyLjIzMiAtMS40NzMsNC45NzIgLTEuOTgzLDguMTQxIC0wLjUwNSwzLjExNiAtMC44OTUsNi41MSAtMS4xNjEsMTAuMDg1IC0wLjI2MywzLjUzOCAtMC40NTYsNy4yMjUgLTAuNTc1LDEwLjk1OCAtMC4xMTYsMy42MTMgLTAuMTc2LDcuMjE5IC0wLjE3NiwxMC43MTYgMCwzLjM2OCAwLjAyOSw2LjQ3OSAwLjA4OCw5LjI0NyAwLjA1NiwyLjc1OCAwLjExNyw0Ljk2IDAuMTc3LDYuNjA1IGwgLTAuMDAyLDQzLjY2OSAxMS4wOTUsNS44NjYgViAtMy4xNzggYyA2Ljg5Myw5LjE4IDE3LjY1MiwxMy45NzMgMzIuMDk1LDE0LjI3MyAxMy43NjgsLTAuMjQ2IDI0LjI1MSwtNS40NDcgMzEuMjM4LC0xNS40NTkgNi45MzEsLTkuMzQ0IDEwLjQ2MywtMjEuMTUyIDEwLjQ2MywtMzUuMDQ5IDAsLTE0LjM4NyAtMy42MzUsLTI2LjI3MiAtMTAuODAyLC0zNS4zMjcgLTcuNDQsLTkuNTkxIC0xNy44MTMsLTE0LjU4NiAtMzAuODE1LC0xNC44MyBsIC0wLjAyNywtMC4wMDEgeiIKICAgICAgICAgICAgIHN0eWxlPSJmaWxsOiMyYzY1N2U7ZmlsbC1vcGFjaXR5OjE7ZmlsbC1ydWxlOm5vbnplcm87c3Ryb2tlOm5vbmUiCiAgICAgICAgICAgICBpZD0icGF0aDIwIiAvPgogICAgICAgIDwvZz4KICAgICAgICA8ZwogICAgICAgICAgIGlkPSJnMjIiCiAgICAgICAgICAgdHJhbnNmb3JtPSJ0cmFuc2xhdGUoNTAyLjAyMzUsMTY2LjM0MDIpIj4KICAgICAgICAgIDxwYXRoCiAgICAgICAgICAgICBkPSJtIDAsMCBjIC01LjM1NywtMC4xNzIgLTEwLjA2MywtMS4yNiAtMTMuOTg1LC0zLjIzNCAtMy44NTEsLTEuOTM5IC02LjkzNSwtNC44MDggLTkuMTY3LC04LjUyNyAtNC45MTgsLTguMTA2IC03LjQxLC0xNy40MDYgLTcuNDEsLTI3LjY1MiAwLC0xMC45MDMgMi42MTYsLTIwLjIyNyA3Ljc3NiwtMjcuNzE0IDQuOTcyLC03LjUzOCAxMi40MjUsLTExLjIzOSAyMi44MDksLTExLjM0OCAxMC4zMTQsMC4xMDkgMTcuOTgyLDMuODU5IDIzLjM5NywxMS40NjMgNS44MDEsNy41ODcgOC43MTksMTYuODUzIDguNzE5LDI3LjU5OSAtMC4yNzksMTIuOTQ3IC0zLjE5MiwyMi44MjEgLTguNjU3LDI5LjMwMyBDIDE4LjAzOCwtMy42NTMgMTAuMzU2LC0wLjM0NSAwLDAgbSAtMC4wMzksLTg5LjU3IGMgLTEzLjAwMSwwLjI0NCAtMjMuMzc1LDUuMjM5IC0zMC44MzEsMTQuODQ2IC03LjE1Myw5LjAzNiAtMTAuNzg3LDIwLjkyMiAtMTAuNzg3LDM1LjMxMSAwLDEzLjg5NyAzLjUzMiwyNS43MDYgMTAuNDk2LDM1LjA5OSA2Ljk1MSw5Ljk2MiAxNy40MzUsMTUuMTYzIDMxLjEyNCwxNS40MSAxNC41MSwtMC4zMDEgMjUuMjgxLC01LjA5NCAzMi4xNzYsLTE0LjI3NCB2IDQyLjU5MyBsIDExLjA5Niw1LjgzMSBWIC00LjM1NSBjIDAuMDU4LC0xLjU2OCAwLjExNiwtMy43NyAwLjE3NCwtNi41MjkgMC4wNTksLTIuNzQ5IDAuMDg5LC01Ljg2IDAuMDg5LC05LjI0NyAwLC0zLjM4MyAtMC4wNiwtNi45ODggLTAuMTc2LC0xMC43MTUgLTAuMTE5LC0zLjczMyAtMC4zMTIsLTcuNDIgLTAuNTc1LC0xMC45NTkgLTAuMjY2LC0zLjU3NiAtMC42NTYsLTYuOTY5IC0xLjE2MSwtMTAuMDg2IC0wLjUxNSwtMy4xODIgLTEuMTgyLC01LjkyIC0xLjk4MywtOC4xNCBsIC0wLjAyOCwwLjAwNSBDIDM2LjY0NywtNjguNjIxIDMxLjgwMSwtNzUuNjYgMjUuMTY5LC04MC45NTQgbCAtMC4wMDgsMC4wMDggQyAxOC4yODIsLTg2LjYwNyA5LjgyMywtODkuNTEgMC4wMTUsLTg5LjU3MSBoIC0wLjAyNyB6IgogICAgICAgICAgICAgc3R5bGU9ImZpbGw6IzJjNjU3ZTtmaWxsLW9wYWNpdHk6MTtmaWxsLXJ1bGU6bm9uemVybztzdHJva2U6bm9uZSIKICAgICAgICAgICAgIGlkPSJwYXRoMjQiIC8+CiAgICAgICAgPC9nPgogICAgICAgIDxwYXRoCiAgICAgICAgICAgZD0ibSA3NzEuMDQzLDE3NS40MiBoIDExLjA5NSBWIDc4Ljg3MyBoIC0xMS4wOTUgeiIKICAgICAgICAgICBzdHlsZT0iZmlsbDojMmM2NTdlO2ZpbGwtb3BhY2l0eToxO2ZpbGwtcnVsZTpub256ZXJvO3N0cm9rZTpub25lIgogICAgICAgICAgIGlkPSJwYXRoMjYiIC8+CiAgICAgICAgPGcKICAgICAgICAgICBpZD0iZzI4IgogICAgICAgICAgIHRyYW5zZm9ybT0idHJhbnNsYXRlKDc3MS4wNDMsMTg0LjgzNDIpIj4KICAgICAgICAgIDxwYXRoCiAgICAgICAgICAgICBkPSJtIDAsMCB2IDIwLjkyMSBsIDExLjA5NSw1LjgzMSBWIDAgWiIKICAgICAgICAgICAgIHN0eWxlPSJmaWxsOiMyYzY1N2U7ZmlsbC1vcGFjaXR5OjE7ZmlsbC1ydWxlOm5vbnplcm87c3Ryb2tlOm5vbmUiCiAgICAgICAgICAgICBpZD0icGF0aDMwIiAvPgogICAgICAgIDwvZz4KICAgICAgICA8ZwogICAgICAgICAgIGlkPSJnMzIiCiAgICAgICAgICAgdHJhbnNmb3JtPSJ0cmFuc2xhdGUoNTc3LjczNzMsMTQ1Ljk1NjgpIj4KICAgICAgICAgIDxwYXRoCiAgICAgICAgICAgICBkPSJtIDAsMCBjIDEuNjE1LDQuMTEyIDMuOTA2LDcuNzc5IDYuODAxLDEwLjg5IDUuODg4LDYuMjczIDEyLjk3OSw5LjM3OSAyMS42NzYsOS40OTUgMTAuNTU5LC0wLjExNyAxOC4yMzUsLTMuNDU5IDIzLjQ1MSwtMTAuMTk1IDIuNTM0LC0zLjM2NiA0LjQ3NCwtNy4wOTMgNS43NjUsLTExLjA3NSAxLjEwOCwtMy40MjUgMS43OTMsLTcuMjQxIDIuMDQyLC0xMS4zNyBIIC0zLjA0OCBDIC0yLjQzMywtNy42OTkgLTEuNDExLC0zLjU4NiAwLDAgbSA1OC4wMTksLTM0LjQ0NCBjIC00LjMwOCwtMTUuODM4IC0xNC4yLC0yMy41OTggLTMwLjEzNywtMjMuNjQ3IC0xMS4yNzMsMC4xMDggLTE5LjA0NCwzLjU4NCAtMjMuNzkzLDEwLjY3NSAtMi40ODEsMy40NzUgLTQuMzUyLDcuMzQyIC01LjU2LDExLjQ5OCAtMS4wNjUsMy42NTMgLTEuNzE4LDcuODczIC0xLjk0NSwxMi41NjkgaCA3NC4wMDIgbCAwLjE1MSwxLjk2NSBjIDAuMTIsMS41NDIgMC4xOTEsMi42MjUgMC4yMjUsMy4yNjUgMC4wMjksMC42NTEgMC4wNDUsMS4yMjQgMC4wNDUsMS43MTkgMCwyLjc5NSAtMC4yNDUsNS42NTcgLTAuNzMxLDguNTEgLTAuNDg4LDIuODQ1IC0xLjE0Miw1LjY0MyAtMS45NDQsOC4zMTcgLTAuODA3LDIuNjg4IC0xLjc5OCw1LjM0MSAtMi45NDcsNy44ODkgLTEuMTM0LDIuNTA0IC0yLjM4Myw0Ljg4MiAtMy43MTYsNy4wNjggbCAtMC4wNzcsMC4xMTcgYyAtMy41MjMsNS4wMDUgLTguMTU4LDguOTM3IC0xMy43NzcsMTEuNjg2IC01LjU3NSwyLjcyNiAtMTIuMTU3LDQuMTcgLTE5LjYwMyw0LjI5MiAtMTEuNDI4LDAgLTIxLjM4OCwtNC40NDMgLTI5LjYsLTEzLjIwNiBsIC0zLjI3MywtMy41ODUgaCAwLjI0NCBjIC02LjU0MywtOC40NzQgLTkuOTYxLC0xOS43MjIgLTEwLjE2NywtMzMuNTI0IC0wLjA5MSwtMTAuNSAxLjc1MiwtMTkuNzYyIDUuNDkyLC0yNy42NSAwLjc0MiwtMS41NjUgMS41NTgsLTMuMDc2IDIuNDQ5LC00LjUzMSAwLjY4OSwtMS4xMjYgMy42MDYsLTYuMTI5IDEwLjc2MSwtMTEuNjM0IDYuMDUzLC00LjY1NyAxNC4zOSwtNi40NTYgMjQuMDc3LC02LjUzNyBoIDAuMDE1IDAuMDE0IGMgMTEuMDk4LDAuMDYzIDIwLjU4LDMuMzU4IDI4LjE5Myw5LjgwNiA2LjcwMiw1Ljc1MiAxMS4wODMsMTQuMTM2IDEzLjA2NiwyNC45MzggeiIKICAgICAgICAgICAgIHN0eWxlPSJmaWxsOiMyYzY1N2U7ZmlsbC1vcGFjaXR5OjE7ZmlsbC1ydWxlOm5vbnplcm87c3Ryb2tlOm5vbmUiCiAgICAgICAgICAgICBpZD0icGF0aDM0IiAvPgogICAgICAgIDwvZz4KICAgICAgICA8ZwogICAgICAgICAgIGlkPSJnMzYiCiAgICAgICAgICAgdHJhbnNmb3JtPSJ0cmFuc2xhdGUoODMyLjQ2ODUsNzguODczMykiPgogICAgICAgICAgPHBhdGgKICAgICAgICAgICAgIGQ9Im0gMCwwIGMgLTQuOTc4LDAgLTEwLjI2OCwxLjg1MSAtMTMuMzk3LDUuNDE0IC0zLjIsMy42NDMgLTQuOTQ3LDkuNDUzIC00Ljk0NywxNS4wMzIgViA4NS40NTIgSCAtMzYuNjcgdiAxMS4wOTUgaCAxOC4zMjYgdiAzMC4zMzUgbCAxMS4wOTcsNS44MzEgViA5Ni41NDcgSCAxMi44MjIgViA4NS40NTIgSCAtNy4yNDcgViAyMS4xNDcgYyAwLC05Ljg4IDcuNTgzLC0xMi40ODggMTkuNjMyLC04LjMwOSBWIDEuODc4IEMgMTIuMzg1LDEuODc4IDguMzE3LDAgMCwwIgogICAgICAgICAgICAgc3R5bGU9ImZpbGw6IzJjNjU3ZTtmaWxsLW9wYWNpdHk6MTtmaWxsLXJ1bGU6bm9uemVybztzdHJva2U6bm9uZSIKICAgICAgICAgICAgIGlkPSJwYXRoMzgiIC8+CiAgICAgICAgPC9nPgogICAgICAgIDxnCiAgICAgICAgICAgaWQ9Imc0MCIKICAgICAgICAgICB0cmFuc2Zvcm09InRyYW5zbGF0ZSgyNjEuNTExOCwxMjYuMzYzOCkiPgogICAgICAgICAgPHBhdGgKICAgICAgICAgICAgIGQ9Im0gMCwwIHYgLTcuODU2IGMgMCwtNy45NTQgLTIuNzQsLTE1LjA4OCAtOC4xNDQsLTIxLjIwNCAtMi43OTgsLTMuMTcxIC02LjE5LC01LjU0MyAtMTAuMDgyLC03LjA0NiAtMy45NzksLTEuNTM3IC04LjY2OCwtMi4zMzggLTEzLjksLTIuMzk5IC01LjY5MiwtMC4wNjYgLTEyLjQwNywwLjk3IC0xNi45MDcsNC45NDIgLTQuNDk5LDMuOTczIC01LjIxNiwxMC4wNjggLTUuMjU0LDExLjg2IC0wLjA4NSwzLjk1MyAwLjY4Miw3LjI0NSAyLjAyOSw5Ljc4MiBsIDAuMDY0LDAuMTI5IGMgMS4wMzYsMi4zMTkgNS4zNTIsNy45NjIgMTYuNjEsOS4wNDYgMS41NTQsMC4xNSAzLjE4LDAuMjQyIDQuODkyLDAuMzAzIDMuNzQ2LDAuMjMzIDcuMzkyLDAuNDgzIDEwLjkzNiwwLjc0NiAzLjU0MSwwLjI2NCA2Ljk0MywwLjU3NSAxMC4wOTgsMC45MjYgMS43NjEsMC4xODIgMy40NTcsMC40NDUgNS4wNDIsMC43OCAxLjYxOSwwLjM0MyAzLjExMiwwLjc3MiA0LjQ3MiwxLjI5IDAuMDQ4LDAuMDIgMC4wOTYsMC4wMzkgMC4xNDQsMC4wNTggeiBtIDAuNTg0LDQ1LjEwNSBjIC01Ljk5OSwzLjk2IC0xMy4zNjksNS45NjcgLTIxLjkwMSw1Ljk2NyBsIC0wLjc2NSwtMC4wMDYgYyAtMTIuMDk0LC0wLjEyMiAtMjEuMzIxLC0zLjI4MSAtMjcuNDA0LC05LjM2NSAtNS4xNDgsLTQuOTk3IC04LjM4NCwtMTEuNjU2IC05LjcyMiwtMTkuNzkzIGggMTEuMzIgYyAyLjkwMywxMS44OTMgMTEuNDAzLDE3LjgyNyAyNS44MjcsMTguMDY0IDIuNjc1LDAgNS4xMDYsLTAuMTgyIDcuMjI3LC0wLjU0MSAwLjk5MywtMC4xNjcgNi4xMTEsLTAuNzQ2IDkuMjAxLC0zLjQwOCAzLjUyLC0zLjAzMSA0Ljc0NywtNi41NzMgNS4xMzcsLTguODM4IDAuMTYyLC0xLjI2MiAwLjI4NiwtMi41ODIgMC4zNjgsLTMuOTI1IEMgLTAuMDQzLDIxLjg3NCAwLDIwLjUxNyAwLDE5LjIyNiAwLDE4LjIwMSAwLjIwMiwxNC44ODQgLTEuNjE2LDEzLjIyOCAtNC4wMDIsMTEuMDU1IC04LjY0OSwxMC41OTggLTkuNTc2LDEwLjQ1NyAtMjEuOTA4LDguNTg1IC0zNS42MjcsOS4yNjMgLTQyLjY0Nyw3LjI2OSBjIC0xLjkyNSwtMC41NDcgLTMuODY0LC0xLjA4NSAtNS43MTIsLTEuNzgyIC0xLjkyLC0wLjcyNCAtMy43MjcsLTEuNjM1IC01LjM2NiwtMi43MDggLTEuNjYyLC0xLjA4NiAtMy4yNDMsLTIuNDQgLTQuNjk2LC00LjAyMSAtMS40NTUsLTEuNTgxIC0yLjcwNiwtMy4zMTMgLTMuNzM5LC01LjE4OCAtMi4xMzgsLTQuMDg1IC0zLjIyMiwtOS4yMjQgLTMuMjIyLC0xNS4yODcgMC4wNjEsLTkuMDggMy4zNTksLTE2LjEwOSA5Ljc1OCwtMjAuODU3IDUuOTY3LC00LjY2MyAxMy45ODYsLTcuMDI4IDIzLjgzNSwtNy4wMjggaCAwLjAxNCBsIDAuMDEzLDEwZS00IGMgOS45ODIsMC4xMjUgMTguNTg1LDIuNzA1IDI1LjU3Niw3LjY3MiAyLjMzLDEuNjY2IDQuMzk2LDMuNDU5IDYuMTg2LDUuMzYzIHYgLTEzLjAzNiBsIDExLjA5Miw1LjgzMiBWIDIxLjk1NCBDIDEwLjU5NCwzMi43MDIgNy4wOCw0MC40NzYgMC41ODQsNDUuMTA1IgogICAgICAgICAgICAgc3R5bGU9ImZpbGw6IzkyOTQ5NztmaWxsLW9wYWNpdHk6MTtmaWxsLXJ1bGU6bm9uemVybztzdHJva2U6bm9uZSIKICAgICAgICAgICAgIGlkPSJwYXRoNDIiIC8+CiAgICAgICAgPC9nPgogICAgICAgIDxnCiAgICAgICAgICAgaWQ9Imc0NCIKICAgICAgICAgICB0cmFuc2Zvcm09InRyYW5zbGF0ZSgzNDYuMzY2MiwxMjguNjg0NykiPgogICAgICAgICAgPHBhdGgKICAgICAgICAgICAgIGQ9Im0gMCwwIGMgLTcuNzc2LDMuMjQ4IC0yNC4wODQsNS44OTkgLTM3LjA5OCwxMC43NSAtMi4xNTgsMC44MDUgLTMuOTQ3LDIuMTMgLTUuMzk2LDMuOTYgLTAuNjY5LDAuOTUzIC0xLjE2NiwyLjA0OCAtMS40OCwzLjI1OSAtMC4zMzIsMS4yNzIgLTAuNTAxLDIuODYgLTAuNTAxLDQuNzIgMCwwLjI1NyAwLjA3LDEuMTEgMC43MTMsMy40NjggMC4zOTMsMS40MzEgMS4yOCwzLjA4IDIuNjA5LDQuODY3IDAuNzA0LDAuOTA4IDEuNTk2LDEuNzg1IDIuNjUzLDIuNjA5IDAuOTk4LDAuNzggMi4yMzMsMS40ODQgMy42NywyLjA5MiBsIDAuMDI1LC0wLjAzOSBjIDEuNTUxLDAuNTg5IDMuNDMzLDEuMDY4IDUuNTk0LDEuNDIzIDIuMTc5LDAuMzYgNC43MzEsMC41NDIgNy41ODYsMC41NDIgNy43ODgsMCAxMy45NjYsLTEuNjU4IDE4LjM1NywtNC45MjIgMi42OTQsLTIuMDE0IDQuNTU1LC01LjE2MSA1LjU3OCwtOS4zODYgaCAwLjE0OCBsIDkuNzY0LDUuMjAzIEMgNy44MSw0MS45NDggLTMuMjEsNDguNzUyIC0yMC43NDQsNDguNzUyIGwgLTAuODgxLC0wLjAwNiBjIC0zLjAwMywwIC01Ljc5NSwtMC4xNjkgLTguMywtMC41MDEgLTIuNTU3LC0wLjMzOSAtNC44NjMsLTAuODU4IC02LjkyMiwtMS41NjggLTQuMjA3LC0xLjYwOCAtNy43OTYsLTMuNzUzIC0xMC43MzcsLTYuNDQzIC01LjM1NywtNS4zNTYgLTguMDczLC0xMS4yNTkgLTguMDczLC0xNy41NDUgMCwtOS41NjkgMy4zMDgsLTE2LjM4NSA5Ljg0NCwtMjAuMzE3IDEuMDI5LC0wLjYxOSAzLjM1MSwtMS42MDMgMy4zNTEsLTEuNjAzIDAuODUsLTAuMzU5IDIuODY2LC0xLjIzNCA1LjU5OCwtMi4wNjkgNi4xNSwtMS44NzcgMTYuMTMyLC00LjQyMiAyNi4wNTUsLTYuNjMyIDEuODAyLC0wLjQwMSAzLjQyMiwtMS4wNjIgNC44ODcsLTEuNjY5IDEuNDg2LC0wLjYxOCAyLjg5LC0xLjI3IDQuMTcsLTEuOTM3IDEuMjExLC0wLjYzMyAyLjMxNSwtMS4zNTEgMy4yODEsLTIuMTMyIDAuODYyLC0wLjcwMSAxLjYzOCwtMS40OTcgMi4zMSwtMi4zNyBsIC0wLjAwOCwtMC4wMDYgYyAxLjE2OCwtMS44NDkgMS43NjUsLTQuMzg5IDEuNzc2LC03LjQ2OSAtMC4yMSwtNi4wMjEgLTIuNjU2LC0xMC4yMTkgLTcuNTAxLC0xMi44NDkgLTIuNzQ2LC0xLjUzNyAtNS41NzcsLTIuNjc2IC04LjQxNiwtMy4zODYgLTIuODU5LC0wLjcxNCAtNS44NjksLTEuMDc1IC04Ljk1NSwtMS4wNzUgbCAtMC4xNzcsLTAuMDAyIGMgLTE1LjM0NCwwIC0yNC4zODEsNS43ODcgLTI3LjQwMSwxNy42MiBsIC0xMC4zLC01LjQ4OSBjIDQuNTQ5LC0xNS40MjggMTcuMTE3LC0yMy4yMjcgMzcuNTI2LC0yMy4yMjcgaCAwLjM1OCBjIDguNzUzLDAgMTYuNzgyLDIuMTA0IDIzLjg5OCw2LjI3NSA3LjY4Niw0LjcwMyAxMS43MzgsMTIuMTMzIDEyLjA2MSwyMi4xNSBDIDE3LjEyNSwtMTAuMzI0IDkuOTc5LC00LjE2OCAwLDAiCiAgICAgICAgICAgICBzdHlsZT0iZmlsbDojOTI5NDk3O2ZpbGwtb3BhY2l0eToxO2ZpbGwtcnVsZTpub256ZXJvO3N0cm9rZTpub25lIgogICAgICAgICAgICAgaWQ9InBhdGg0NiIgLz4KICAgICAgICA8L2c+CiAgICAgICAgPGcKICAgICAgICAgICBpZD0iZzQ4IgogICAgICAgICAgIHRyYW5zZm9ybT0idHJhbnNsYXRlKDQ0My4xMDY4LDE3NS40MTQyKSI+CiAgICAgICAgICA8cGF0aAogICAgICAgICAgICAgZD0iTSAwLDAgLTI5LjMwOCwtNzcuNzEyIC02MS45NjcsMCBoIC0xMS45NzkgbCAxLjIzOSwtMi45NTMgYyAzLjAzOSwtNy4yNDYgNi4xNSwtMTQuNjQgOS4zMzYsLTIyLjE3OSAzLjE4MywtNy41MzUgNi4zNjcsLTE1LjEgOS41NTEsLTIyLjY5NCAzLjE4NSwtNy41OTggNi4zNywtMTUuMTY2IDkuNTU1LC0yMi43MDUgMy4wNywtNy4yNjcgNi4xLC0xNC4zOTggOS4wODgsLTIxLjM5MiAtMC44OTUsLTIuMzYxIC0xLjgxMywtNC43NDUgLTIuNzU1LC03LjE1NCAtMS4wNTUsLTIuNjkyIC0yLjA4LC01LjM2MSAtMy4wNjIsLTcuOTU5IC0wLjc0NywtMS44NjkgLTEuNjY0LC0zLjU1OSAtMi43MjQsLTUuMDE3IC0wLjk1MywtMS4zMDggLTEuODkyLC0yLjE5IC0yLjg0MywtMi42NDYgLTEuODUzLC0wLjk1IC00LjgyOSwtMS40MyAtOC44NDUsLTEuNDMgLTAuNDU2LDAgLTEuMTgyLDAuMDE3IC0yLjE2OSwwLjA0MyAtMS4wNTMsMC4wMzMgLTEuODIsMC4wNDQgLTIuMzAxLDAuMDQ0IGggLTAuMzggbCA1Ljg1NywtMTAuOTkzIGMgMS4zMzcsMC4wNTIgMi42NDEsMC4xMyAzLjg2NiwwLjI1OCAyLjg3LDAuMzEgNS40NSwwLjgxIDcuNzY3LDEuNTE4IDUuMTQyLDEuODQ4IDkuMDc3LDYuMjE1IDExLjY5OCwxMi45ODggTCAxMS44NDEsMCBaIgogICAgICAgICAgICAgc3R5bGU9ImZpbGw6IzkyOTQ5NztmaWxsLW9wYWNpdHk6MTtmaWxsLXJ1bGU6bm9uemVybztzdHJva2U6bm9uZSIKICAgICAgICAgICAgIGlkPSJwYXRoNTAiIC8+CiAgICAgICAgPC9nPgogICAgICAgIDxnCiAgICAgICAgICAgaWQ9Imc1MiIKICAgICAgICAgICB0cmFuc2Zvcm09InRyYW5zbGF0ZSg4NjcuMjU0NCwxNjcuMDY3OCkiPgogICAgICAgICAgPHBhdGgKICAgICAgICAgICAgIGQ9Im0gMCwwIGMgLTAuNzY1LC0wLjYwNyAtMS42ODEsLTAuOTExIC0yLjc0NywtMC45MTEgLTEuMzQ0LDAgLTIuNDkyLDAuNDgxIC0zLjQ0NCwxLjQ0MyAtMC45NTIsMC45NjEgLTEuNDI4LDIuMjQxIC0xLjQyOCwzLjgzOSAwLDEuNDkxIDAuNDI5LDIuNzM4IDEuMjg4LDMuNzQxIDAuODU5LDEuMDAyIDEuOTgsMS41MDQgMy4zNjQsMS41MDQgMC44NywwIDEuNjU2LC0wLjE3NiAyLjM1NiwtMC41MjYgQyAwLjYwMiw4LjQ2MiAxLjI2LDcuNDE5IDEuMzY3LDUuOTYgaCAtMS40NzkgYyAtMC4wNzQsMC42MTEgLTAuMzMxLDEuMTQxIC0wLjc2OSwxLjU4OSAtMC40MzksMC40NDggLTEuMDc4LDAuNjczIC0xLjkxNSwwLjY3MyAtMS4xOCwwIC0yLjAzNCwtMC41MyAtMi41NjMsLTEuNTkgQyAtNS43LDUuOTU2IC01Ljg3MSw1LjIyNyAtNS44NzEsNC40NDQgYyAwLC0xLjExNyAwLjI3NSwtMi4wNTYgMC44MjQsLTIuODE4IDAuNTQ5LC0wLjc2MiAxLjM0NCwtMS4xNDMgMi4zODYsLTEuMTQzIDAuNjY2LDAgMS4yMjMsMC4xNzcgMS42NzEsMC41MzIgMC40NDcsMC4zNTQgMC43NiwwLjg3IDAuOTM5LDEuNTQ2IEggMS40MjggQyAxLjI0MSwxLjQ2MSAwLjc2NCwwLjYwNyAwLDAgbSAtOC40MTUsOS43NjIgYyAtMS40OSwtMS41MDggLTIuMjM2LC0zLjMyOSAtMi4yMzYsLTUuNDY1IDAsLTIuMTUxIDAuNzQxLC0zLjk4NSAyLjIyNCwtNS41MDEgMS40OTcsLTEuNTE2IDMuMzE0LC0yLjI3NCA1LjQ0OCwtMi4yNzQgMi4xMzMsMCAzLjk1LDAuNzU4IDUuNDQ3LDIuMjc0IDEuNDgzLDEuNTE2IDIuMjI0LDMuMzUgMi4yMjQsNS41MDEgMCwyLjEzNiAtMC43NDUsMy45NTcgLTIuMjM2LDUuNDY1IC0xLjQ5LDEuNTE2IC0zLjMwMiwyLjI3NCAtNS40MzUsMi4yNzQgLTIuMTI2LDAgLTMuOTM4LC0wLjc1OCAtNS40MzYsLTIuMjc0IE0gMy4zNzMsLTIuMDYgYyAtMS43NTEsLTEuNzYxIC0zLjg2OCwtMi42NDEgLTYuMzUyLC0yLjY0MSAtMi40ODUsMCAtNC42MDIsMC44OCAtNi4zNTMsMi42NDEgLTEuNzUyLDEuNzYgLTIuNjI3LDMuODgzIC0yLjYyNyw2LjM3IDAsMi40NzcgMC44NzUsNC41ODkgMi42MjcsNi4zMzMgMS43NTEsMS43NDQgMy44NjgsMi42MTYgNi4zNTMsMi42MTYgMi40ODQsMCA0LjYwMSwtMC44NzIgNi4zNTIsLTIuNjE2IEMgNS4xMjUsOC44OTkgNiw2Ljc4NyA2LDQuMzEgNiwxLjgyMyA1LjEyNSwtMC4zIDMuMzczLC0yLjA2IgogICAgICAgICAgICAgc3R5bGU9ImZpbGw6IzkyOTQ5NztmaWxsLW9wYWNpdHk6MTtmaWxsLXJ1bGU6bm9uemVybztzdHJva2U6bm9uZSIKICAgICAgICAgICAgIGlkPSJwYXRoNTQiIC8+CiAgICAgICAgPC9nPgogICAgICAgIDxnCiAgICAgICAgICAgaWQ9Imc1NiIKICAgICAgICAgICB0cmFuc2Zvcm09InRyYW5zbGF0ZSg3OC4xOTE0LDE5NC4xOTczKSI+CiAgICAgICAgICA8cGF0aAogICAgICAgICAgICAgZD0ibSAwLDAgYyAtMTYuNTY3LDAgLTMwLjA0NSwtMTMuNDc4IC0zMC4wNDUsLTMwLjA0NSB2IC03NC4wODcgYyAwLC0xNi41NjcgMTMuNDc4LC0zMC4wNDUgMzAuMDQ1LC0zMC4wNDUgaCA3Mi42MTQgYyAxNi41NjcsMCAzMC4wNDUsMTMuNDc4IDMwLjA0NSwzMC4wNDUgdiA3NC4wODcgQyAxMDIuNjU5LC0xMy40NzggODkuMTgxLDAgNzIuNjE0LDAgWiBNIDcyLjYxNCwtMTM5LjE4NCBIIDAgYyAtMTkuMzI4LDAgLTM1LjA1MywxNS43MjQgLTM1LjA1MywzNS4wNTIgdiA3NC4wODcgYyAwLDE5LjMyOCAxNS43MjUsMzUuMDUzIDM1LjA1MywzNS4wNTMgaCA3Mi42MTQgYyAxOS4zMjgsMCAzNS4wNTIsLTE1LjcyNSAzNS4wNTIsLTM1LjA1MyB2IC03NC4wODcgYyAwLC0xOS4zMjggLTE1LjcyNCwtMzUuMDUyIC0zNS4wNTIsLTM1LjA1MiIKICAgICAgICAgICAgIHN0eWxlPSJmaWxsOiNjYWQzMmI7ZmlsbC1vcGFjaXR5OjE7ZmlsbC1ydWxlOm5vbnplcm87c3Ryb2tlOm5vbmUiCiAgICAgICAgICAgICBpZD0icGF0aDU4IiAvPgogICAgICAgIDwvZz4KICAgICAgICA8ZwogICAgICAgICAgIGlkPSJnNjAiCiAgICAgICAgICAgdHJhbnNmb3JtPSJ0cmFuc2xhdGUoMTU0LjM3NDIsMTI3LjgxNTMpIj4KICAgICAgICAgIDxwYXRoCiAgICAgICAgICAgICBkPSJtIDAsMCBjIC0wLjAzMywtMC41OTcgLTAuMDk4LC0xLjYwNyAtMC4yMSwtMy4wNDUgbCAtMC4xNDEsLTEuODM0IGggLTY5LjAyMyBjIDAuMjEyLC00LjM3OCAwLjgyMiwtOC4zMTUgMS44MTQsLTExLjcyMiAxLjEyNywtMy44NzcgMi44NzEsLTcuNDg0IDUuMTg3LC0xMC43MjUgNC40MjksLTYuNjE0IDExLjY3NywtOS44NTYgMjIuMTkxLC05Ljk1NyAxNC44NjUsMC4wNDcgMjQuMDkyLDcuMjg0IDI4LjEwOSwyMi4wNTYgSCAtMS4zOCBjIC0xLjg1LC0xMC4wNzUgLTUuOTM2LC0xNy44OTUgLTEyLjE4NywtMjMuMjYgLTcuMTAxLC02LjAxNCAtMTUuOTQ1LC05LjA4NyAtMjYuMjk1LC05LjE0NSBoIC0wLjAxNSAtMC4wMTMgYyAtOS4wMzUsMC4wNzUgLTE2LjgxMiwxLjc1MiAtMjIuNDU4LDYuMDk2IC02LjY3Myw1LjEzNSAtOS4zOTMsOS44MDIgLTEwLjAzNiwxMC44NTIgLTAuODMxLDEuMzU2IC0xLjU5MiwyLjc2NiAtMi4yODQsNC4yMjUgLTMuNDg4LDcuMzU4IC01LjIwOCwxNS45OTYgLTUuMTIyLDI1Ljc5MSAwLjE5MywxMi44NzMgMy4zNzksMjMuMzY0IDkuNDgzLDMxLjI2NyBoIC0wLjIyOCBsIDMuMDUzLDMuMzQ1IGMgNy42NTksOC4xNzMgMTYuOTQ4LDEyLjMxOCAyNy42MDgsMTIuMzE4IDYuOTQ0LC0wLjExNSAxMy4wODQsLTEuNDYxIDE4LjI4NCwtNC4wMDQgNS4yNDEsLTIuNTY0IDkuNTY0LC02LjIzMSAxMi44NSwtMTAuOSBsIDAuMDczLC0wLjEwOSBjIDEuMjQyLC0yLjAzOSAyLjQwNywtNC4yNTcgMy40NjUsLTYuNTkyIDEuMDcyLC0yLjM3OCAxLjk5NywtNC44NTIgMi43NDksLTcuMzU5IDAuNzQ4LC0yLjQ5NCAxLjM1OCwtNS4xMDQgMS44MTMsLTcuNzU3IEMgLTAuMTg4LDYuODggMC4wNDIsNC4yMSAwLjA0MiwxLjYwMyAwLjA0MiwxLjE0MSAwLjAyNywwLjYwNyAwLDAgbSAtMi40MSw2MC43NzIgaCAtNzQuOTMxIGMgLTEyLjgyMywwIC0yMy4yNTMsLTEwLjQzMSAtMjMuMjUzLC0yMy4yNTMgdiAtNzYuNDUyIGMgMCwtMTIuODIxIDEwLjQzLC0yMy4yNTMgMjMuMjUzLC0yMy4yNTMgSCAtMi40MSBjIDEyLjgyMSwwIDIzLjI1MiwxMC40MzIgMjMuMjUyLDIzLjI1MyB2IDc2LjQ1MiBjIDAsMTIuODIyIC0xMC40MzEsMjMuMjUzIC0yMy4yNTIsMjMuMjUzIgogICAgICAgICAgICAgc3R5bGU9ImZpbGw6I2NhZDMyYjtmaWxsLW9wYWNpdHk6MTtmaWxsLXJ1bGU6bm9uemVybztzdHJva2U6bm9uZSIKICAgICAgICAgICAgIGlkPSJwYXRoNjIiIC8+CiAgICAgICAgPC9nPgogICAgICAgIDxnCiAgICAgICAgICAgaWQ9Imc2NCIKICAgICAgICAgICB0cmFuc2Zvcm09InRyYW5zbGF0ZSgxMzYuNjIwOCwxNTQuMjIwMSkiPgogICAgICAgICAgPHBhdGgKICAgICAgICAgICAgIGQ9Ik0gMCwwIEMgLTQuODY1LDYuMjgyIC0xMi4wMjUsOS4zOTkgLTIxLjg3Myw5LjUwOSAtMjkuOTg1LDkuNCAtMzYuNTk5LDYuNTAzIC00Mi4wOSwwLjY1MyBjIC0yLjcwMiwtMi45MDMgLTQuODM4LC02LjMyMiAtNi4zNDUsLTEwLjE1OCAtMS4zMTUsLTMuMzQ1IC0yLjI2OCwtNy4xODEgLTIuODQzLC0xMS40MyBIIDcuMjgyIEMgNy4wNDksLTE3LjA4NCA2LjQxMSwtMTMuNTI1IDUuMzc4LC0xMC4zMyA0LjE3MywtNi42MTYgMi4zNjQsLTMuMTQgMCwwIgogICAgICAgICAgICAgc3R5bGU9ImZpbGw6I2NhZDMyYjtmaWxsLW9wYWNpdHk6MTtmaWxsLXJ1bGU6bm9uemVybztzdHJva2U6bm9uZSIKICAgICAgICAgICAgIGlkPSJwYXRoNjYiIC8+CiAgICAgICAgPC9nPgogICAgICA8L2c+CiAgICA8L2c+CiAgICA8ZwogICAgICAgaWQ9Imc2OCIKICAgICAgIHRyYW5zZm9ybT0idHJhbnNsYXRlKDI3LDIyNi45NzYxKSI+CiAgICAgIDxwYXRoCiAgICAgICAgIGQ9Im0gMCwwIGggLTI3IG0gODg5LjM5NCwwIGggMjcgTSAwLC0xOTMuOTc2IGggLTI3IG0gODg5LjM5NCwwIGggMjcgTSA2LDYgdiAyNyBtIDAsLTIzMi45NzYgdiAtMjcgTSA4NTYuMzk0LDYgdiAyNyBtIDAsLTIzMi45NzYgdiAtMjciCiAgICAgICAgIHN0eWxlPSJmaWxsOm5vbmU7c3Ryb2tlOiNmZmZmZmY7c3Ryb2tlLXdpZHRoOjEuMjU7c3Ryb2tlLWxpbmVjYXA6YnV0dDtzdHJva2UtbGluZWpvaW46bWl0ZXI7c3Ryb2tlLW1pdGVybGltaXQ6MTA7c3Ryb2tlLWRhc2hhcnJheTpub25lO3N0cm9rZS1vcGFjaXR5OjEiCiAgICAgICAgIGlkPSJwYXRoNzAiIC8+CiAgICA8L2c+CiAgICA8ZwogICAgICAgaWQ9Imc3MiIKICAgICAgIHRyYW5zZm9ybT0idHJhbnNsYXRlKDI3LDIyNi45NzYxKSI+CiAgICAgIDxwYXRoCiAgICAgICAgIGQ9Im0gMCwwIGggLTI3IG0gODg5LjM5NCwwIGggMjcgTSAwLC0xOTMuOTc2IGggLTI3IG0gODg5LjM5NCwwIGggMjcgTSA2LDYgdiAyNyBtIDAsLTIzMi45NzYgdiAtMjcgTSA4NTYuMzk0LDYgdiAyNyBtIDAsLTIzMi45NzYgdiAtMjciCiAgICAgICAgIHN0eWxlPSJmaWxsOm5vbmU7c3Ryb2tlOiMwMDAwMDA7c3Ryb2tlLXdpZHRoOjAuMjU7c3Ryb2tlLWxpbmVjYXA6YnV0dDtzdHJva2UtbGluZWpvaW46bWl0ZXI7c3Ryb2tlLW1pdGVybGltaXQ6MTA7c3Ryb2tlLWRhc2hhcnJheTpub25lO3N0cm9rZS1vcGFjaXR5OjEiCiAgICAgICAgIGlkPSJwYXRoNzQiIC8+CiAgICA8L2c+CiAgPC9nPgo8L3N2Zz4K</t>
  </si>
  <si>
    <t>pui.track.request</t>
  </si>
  <si>
    <t>PVS</t>
  </si>
  <si>
    <t>Person Verification Service</t>
  </si>
  <si>
    <t>pvs.services.pvs</t>
  </si>
  <si>
    <t>SDS</t>
  </si>
  <si>
    <t>Strike Date Service API</t>
  </si>
  <si>
    <t>sds.services.sds</t>
  </si>
  <si>
    <t>Strike Date Optimization</t>
  </si>
  <si>
    <t>Can retrieve strike dates for an identity number</t>
  </si>
  <si>
    <t>sds.track.request</t>
  </si>
  <si>
    <t>SSV</t>
  </si>
  <si>
    <t>SIM Swap Verification</t>
  </si>
  <si>
    <t>ssv.services.ssv</t>
  </si>
  <si>
    <t>Verify SIM swap information for a phone number</t>
  </si>
  <si>
    <t>ssv.track.request</t>
  </si>
  <si>
    <t>TCA</t>
  </si>
  <si>
    <t>Transaction Card Authorisation</t>
  </si>
  <si>
    <t>tca.services.mca</t>
  </si>
  <si>
    <t>Mandate Card Authorisation</t>
  </si>
  <si>
    <t>app.mandate.authentication.enabled</t>
  </si>
  <si>
    <t>app.mandate.creation.fields</t>
  </si>
  <si>
    <t>{}</t>
  </si>
  <si>
    <t>app.manual.payments.enabled</t>
  </si>
  <si>
    <t>app.payments.enabled</t>
  </si>
  <si>
    <t>manual.payments.reference.config</t>
  </si>
  <si>
    <t>{"app.manual.payments.reference.customer": "disabled", "app.manual.payments.reference.internal": "disabled"}</t>
  </si>
  <si>
    <t>tca.application.key</t>
  </si>
  <si>
    <t>52263fa1-8fbd-46ca-b3c4-c1d148c73f68</t>
  </si>
  <si>
    <t>tca.merchant.id</t>
  </si>
  <si>
    <t>tca.merchant.username</t>
  </si>
  <si>
    <t>default</t>
  </si>
  <si>
    <t>webservice.password</t>
  </si>
  <si>
    <t>1740ee755b2bbd0a34cdc1c7fe56cbd500bac3b7c6e698049a6caff2d4718395</t>
  </si>
  <si>
    <t>webservice.username</t>
  </si>
  <si>
    <t>TelkomTT3</t>
  </si>
  <si>
    <t>tca.services.pca</t>
  </si>
  <si>
    <t>Payment Card Authorisation</t>
  </si>
  <si>
    <t>/payment</t>
  </si>
  <si>
    <t>itensityonline.auth.client.id</t>
  </si>
  <si>
    <t>itensityonline.auth.client.secret</t>
  </si>
  <si>
    <t>GFSrrggrw%%#g53g3#5t5g3gEGFDG53g%#TGFdgfdgg453yFDG</t>
  </si>
  <si>
    <t>tca.services.rcp</t>
  </si>
  <si>
    <t>Recurring Card Payment</t>
  </si>
  <si>
    <t>/recurring</t>
  </si>
  <si>
    <t>iveri.auth.app.id</t>
  </si>
  <si>
    <t>9294CACC-3FEA-47BB-B0BB-DBA0B183E9B2</t>
  </si>
  <si>
    <t>iveri.auth.certificate.id</t>
  </si>
  <si>
    <t>BAE482E9-BD27-487B-9B3E-2DB9F42EFA90</t>
  </si>
  <si>
    <t>VMS</t>
  </si>
  <si>
    <t>VerifyMe Service API</t>
  </si>
  <si>
    <t>verifyme.services.verifyme</t>
  </si>
  <si>
    <t>VerifyMe Service</t>
  </si>
  <si>
    <t>Can perform multiple verifications</t>
  </si>
  <si>
    <t>entity.avs.webhook.url</t>
  </si>
  <si>
    <t>https://api.bitventure.co.za/demo/api/Webhook/VerifyMe/AccountVerification</t>
  </si>
  <si>
    <t>entity.bss.redirect.url</t>
  </si>
  <si>
    <t>https://api.bitventure.co.za/verifyme/{verifyMeIdentifier}?bankStatementsSuccessful=true</t>
  </si>
  <si>
    <t>entity.bss.webhook.url</t>
  </si>
  <si>
    <t>https://api.bitventure.co.za/vms/webhook/bss/</t>
  </si>
  <si>
    <t>entity.client.secret</t>
  </si>
  <si>
    <t>ElaEqm2Ldrc04Z+V6zdqpInEgTHAI9zN4zu6L2+JRq/uXgAlEFK8jQBXDM4eoVNs</t>
  </si>
  <si>
    <t>entity.liveness.redirect.url</t>
  </si>
  <si>
    <t>https://api.bitventure.co.za/verifyme/{verifyMeIdentifier}?livenessSuccessful=true</t>
  </si>
  <si>
    <t>entity.liveness.webhook.url</t>
  </si>
  <si>
    <t>https://api.bitventure.co.za/vms/webhook/liveness/</t>
  </si>
  <si>
    <t>https://api.bitventure.co.za/demo/api/Webhook/VerifyMe/</t>
  </si>
  <si>
    <t>Entity Service</t>
  </si>
  <si>
    <t>BVLWS</t>
  </si>
  <si>
    <t>cd2f8ca60d17d549dee21629eab36ace894c0feebc06ee2ff7c0b65cab704e40</t>
  </si>
  <si>
    <t>https://easyloans.co.za/1013/api/Payments/status/update</t>
  </si>
  <si>
    <t>Entity Service Type</t>
  </si>
  <si>
    <t>BVL Financial Service</t>
  </si>
  <si>
    <t>BVLFS</t>
  </si>
  <si>
    <t>[{"gc": "BVLFS", "map": "BVLFS"}]</t>
  </si>
  <si>
    <t>{"tracking": true, "frequency": "MONTHLY", "mandateType": "Usage", "adjustmentType": "RATE", "adjustmentValue": "1", "referenceFormat": "BVLFSDC_******", "adjustmentFrequency": "ANUALLY", "debitClassification": "LRM", "generateInstallment": true, "calculateInstallment": false, "dateAdjustmentAllowed": "Y", "maximumInstallmentAmount": "10000", "generateContractReference": true, "scheme" : "BVLFS"}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</si>
</sst>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8706D-E61C-4CA4-9160-23DF4570D40E}">
  <sheetPr filterMode="1"/>
  <dimension ref="A1:Z900"/>
  <sheetViews>
    <sheetView topLeftCell="Q1" workbookViewId="0">
      <selection activeCell="Y507" sqref="Y507"/>
    </sheetView>
  </sheetViews>
  <sheetFormatPr defaultColWidth="14.7109375" defaultRowHeight="15" x14ac:dyDescent="0.25"/>
  <cols>
    <col min="9" max="9" width="35.28515625" customWidth="1"/>
    <col min="17" max="17" width="34.140625" bestFit="1" customWidth="1"/>
    <col min="18" max="20" width="21.28515625" customWidth="1"/>
    <col min="22" max="22" width="28.5703125" customWidth="1"/>
    <col min="23" max="24" width="24.28515625" bestFit="1" customWidth="1"/>
  </cols>
  <sheetData>
    <row r="1" spans="1:26" x14ac:dyDescent="0.25">
      <c r="D1" t="s">
        <v>0</v>
      </c>
      <c r="H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</row>
    <row r="2" spans="1:26" hidden="1" x14ac:dyDescent="0.25">
      <c r="A2">
        <f>COUNTIF($P2:P$2,P2)</f>
        <v>1</v>
      </c>
      <c r="B2">
        <f>COUNTIF($A$2:A2,1)</f>
        <v>1</v>
      </c>
      <c r="C2" t="str">
        <f>IF(A2=1,P2,C1)</f>
        <v>AML</v>
      </c>
      <c r="D2" t="str">
        <f>C2&amp;O2</f>
        <v>AMLParent</v>
      </c>
      <c r="E2">
        <f>COUNTIF($R2:R$2,R2)</f>
        <v>1</v>
      </c>
      <c r="F2">
        <f>COUNTIF($E$2:E2,1)</f>
        <v>1</v>
      </c>
      <c r="G2" t="str">
        <f>IF(E2=1,R2,H1)</f>
        <v>aml.service.aml</v>
      </c>
      <c r="H2" t="str">
        <f>C2&amp;G2&amp;O2</f>
        <v>AMLaml.service.amlParent</v>
      </c>
      <c r="I2" t="str">
        <f>IF(V2="","",P2&amp;R2&amp;V2)</f>
        <v/>
      </c>
      <c r="J2">
        <f>IF(I2="",0,COUNTIF($I2:I$2,I2))</f>
        <v>0</v>
      </c>
      <c r="K2">
        <f>COUNTIF($J$2:J2,1)</f>
        <v>0</v>
      </c>
      <c r="N2">
        <v>1</v>
      </c>
      <c r="O2" t="s">
        <v>15</v>
      </c>
      <c r="P2" t="s">
        <v>16</v>
      </c>
      <c r="Q2" t="s">
        <v>17</v>
      </c>
      <c r="R2" t="s">
        <v>18</v>
      </c>
      <c r="S2" t="s">
        <v>17</v>
      </c>
      <c r="T2" t="s">
        <v>19</v>
      </c>
      <c r="U2" t="s">
        <v>20</v>
      </c>
      <c r="W2" t="s">
        <v>21</v>
      </c>
    </row>
    <row r="3" spans="1:26" hidden="1" x14ac:dyDescent="0.25">
      <c r="A3">
        <f>COUNTIF($P$2:P3,P3)</f>
        <v>2</v>
      </c>
      <c r="B3">
        <f>COUNTIF($A$2:A3,1)</f>
        <v>1</v>
      </c>
      <c r="C3" t="str">
        <f t="shared" ref="C3:C66" si="0">IF(A3=1,P3,C2)</f>
        <v>AML</v>
      </c>
      <c r="D3" t="str">
        <f t="shared" ref="D3:D66" si="1">C3&amp;O3</f>
        <v>AMLParent</v>
      </c>
      <c r="E3">
        <f>COUNTIF($R$2:R3,R3)</f>
        <v>2</v>
      </c>
      <c r="F3">
        <f>COUNTIF($E$2:E3,1)</f>
        <v>1</v>
      </c>
      <c r="G3" t="str">
        <f t="shared" ref="G3:G66" si="2">IF(E3=1,R3,G2)</f>
        <v>aml.service.aml</v>
      </c>
      <c r="H3" t="str">
        <f t="shared" ref="H3:H66" si="3">C3&amp;G3&amp;O3</f>
        <v>AMLaml.service.amlParent</v>
      </c>
      <c r="I3" t="str">
        <f t="shared" ref="I3:I66" si="4">IF(V3="","",P3&amp;R3&amp;V3)</f>
        <v/>
      </c>
      <c r="J3">
        <f>IF(I3="",0,COUNTIF($I$2:I3,I3))</f>
        <v>0</v>
      </c>
      <c r="K3">
        <f>COUNTIF($J$2:J3,1)</f>
        <v>0</v>
      </c>
      <c r="N3">
        <v>1</v>
      </c>
      <c r="O3" t="s">
        <v>15</v>
      </c>
      <c r="P3" t="s">
        <v>16</v>
      </c>
      <c r="Q3" t="s">
        <v>17</v>
      </c>
      <c r="R3" t="s">
        <v>18</v>
      </c>
      <c r="S3" t="s">
        <v>17</v>
      </c>
      <c r="T3" t="s">
        <v>19</v>
      </c>
      <c r="U3" t="s">
        <v>20</v>
      </c>
      <c r="W3" t="s">
        <v>22</v>
      </c>
    </row>
    <row r="4" spans="1:26" hidden="1" x14ac:dyDescent="0.25">
      <c r="A4">
        <f>COUNTIF($P$2:P4,P4)</f>
        <v>3</v>
      </c>
      <c r="B4">
        <f>COUNTIF($A$2:A4,1)</f>
        <v>1</v>
      </c>
      <c r="C4" t="str">
        <f t="shared" si="0"/>
        <v>AML</v>
      </c>
      <c r="D4" t="str">
        <f t="shared" si="1"/>
        <v>AMLIntegrator</v>
      </c>
      <c r="E4">
        <f>COUNTIF($R$2:R4,R4)</f>
        <v>3</v>
      </c>
      <c r="F4">
        <f>COUNTIF($E$2:E4,1)</f>
        <v>1</v>
      </c>
      <c r="G4" t="str">
        <f t="shared" si="2"/>
        <v>aml.service.aml</v>
      </c>
      <c r="H4" t="str">
        <f t="shared" si="3"/>
        <v>AMLaml.service.amlIntegrator</v>
      </c>
      <c r="I4" t="str">
        <f t="shared" si="4"/>
        <v/>
      </c>
      <c r="J4">
        <f>IF(I4="",0,COUNTIF($I$2:I4,I4))</f>
        <v>0</v>
      </c>
      <c r="K4">
        <f>COUNTIF($J$2:J4,1)</f>
        <v>0</v>
      </c>
      <c r="N4">
        <v>1</v>
      </c>
      <c r="O4" t="s">
        <v>23</v>
      </c>
      <c r="P4" t="s">
        <v>16</v>
      </c>
      <c r="Q4" t="s">
        <v>17</v>
      </c>
      <c r="R4" t="s">
        <v>18</v>
      </c>
      <c r="S4" t="s">
        <v>17</v>
      </c>
      <c r="T4" t="s">
        <v>19</v>
      </c>
      <c r="U4" t="s">
        <v>20</v>
      </c>
      <c r="W4" t="s">
        <v>22</v>
      </c>
    </row>
    <row r="5" spans="1:26" hidden="1" x14ac:dyDescent="0.25">
      <c r="A5">
        <f>COUNTIF($P$2:P5,P5)</f>
        <v>4</v>
      </c>
      <c r="B5">
        <f>COUNTIF($A$2:A5,1)</f>
        <v>1</v>
      </c>
      <c r="C5" t="str">
        <f t="shared" si="0"/>
        <v>AML</v>
      </c>
      <c r="D5" t="str">
        <f t="shared" si="1"/>
        <v>AMLIntegrator</v>
      </c>
      <c r="E5">
        <f>COUNTIF($R$2:R5,R5)</f>
        <v>4</v>
      </c>
      <c r="F5">
        <f>COUNTIF($E$2:E5,1)</f>
        <v>1</v>
      </c>
      <c r="G5" t="str">
        <f t="shared" si="2"/>
        <v>aml.service.aml</v>
      </c>
      <c r="H5" t="str">
        <f t="shared" si="3"/>
        <v>AMLaml.service.amlIntegrator</v>
      </c>
      <c r="I5" t="str">
        <f t="shared" si="4"/>
        <v/>
      </c>
      <c r="J5">
        <f>IF(I5="",0,COUNTIF($I$2:I5,I5))</f>
        <v>0</v>
      </c>
      <c r="K5">
        <f>COUNTIF($J$2:J5,1)</f>
        <v>0</v>
      </c>
      <c r="N5">
        <v>1</v>
      </c>
      <c r="O5" t="s">
        <v>23</v>
      </c>
      <c r="P5" t="s">
        <v>16</v>
      </c>
      <c r="Q5" t="s">
        <v>17</v>
      </c>
      <c r="R5" t="s">
        <v>18</v>
      </c>
      <c r="S5" t="s">
        <v>17</v>
      </c>
      <c r="T5" t="s">
        <v>19</v>
      </c>
      <c r="U5" t="s">
        <v>20</v>
      </c>
      <c r="W5" t="s">
        <v>21</v>
      </c>
    </row>
    <row r="6" spans="1:26" hidden="1" x14ac:dyDescent="0.25">
      <c r="A6">
        <f>COUNTIF($P$2:P6,P6)</f>
        <v>1</v>
      </c>
      <c r="B6">
        <f>COUNTIF($A$2:A6,1)</f>
        <v>2</v>
      </c>
      <c r="C6" t="str">
        <f t="shared" si="0"/>
        <v>AVS</v>
      </c>
      <c r="D6" t="str">
        <f t="shared" si="1"/>
        <v>AVSPerson</v>
      </c>
      <c r="E6">
        <f>COUNTIF($R$2:R6,R6)</f>
        <v>1</v>
      </c>
      <c r="F6">
        <f>COUNTIF($E$2:E6,1)</f>
        <v>2</v>
      </c>
      <c r="G6" t="str">
        <f t="shared" si="2"/>
        <v>avs.services.avs</v>
      </c>
      <c r="H6" t="str">
        <f t="shared" si="3"/>
        <v>AVSavs.services.avsPerson</v>
      </c>
      <c r="I6" t="str">
        <f t="shared" si="4"/>
        <v>AVSavs.services.avsavs.easydebit.profile</v>
      </c>
      <c r="J6">
        <f>IF(I6="",0,COUNTIF($I$2:I6,I6))</f>
        <v>1</v>
      </c>
      <c r="K6">
        <f>COUNTIF($J$2:J6,1)</f>
        <v>1</v>
      </c>
      <c r="N6">
        <v>1</v>
      </c>
      <c r="O6" t="s">
        <v>24</v>
      </c>
      <c r="P6" t="s">
        <v>25</v>
      </c>
      <c r="Q6" t="s">
        <v>26</v>
      </c>
      <c r="R6" t="s">
        <v>27</v>
      </c>
      <c r="S6" t="s">
        <v>28</v>
      </c>
      <c r="T6" t="s">
        <v>29</v>
      </c>
      <c r="U6" t="s">
        <v>20</v>
      </c>
      <c r="V6" t="s">
        <v>30</v>
      </c>
      <c r="W6" t="s">
        <v>21</v>
      </c>
      <c r="X6" t="s">
        <v>21</v>
      </c>
      <c r="Y6" t="b">
        <v>1</v>
      </c>
      <c r="Z6">
        <v>1053</v>
      </c>
    </row>
    <row r="7" spans="1:26" hidden="1" x14ac:dyDescent="0.25">
      <c r="A7">
        <f>COUNTIF($P$2:P7,P7)</f>
        <v>2</v>
      </c>
      <c r="B7">
        <f>COUNTIF($A$2:A7,1)</f>
        <v>2</v>
      </c>
      <c r="C7" t="str">
        <f t="shared" si="0"/>
        <v>AVS</v>
      </c>
      <c r="D7" t="str">
        <f t="shared" si="1"/>
        <v>AVSIntegrator</v>
      </c>
      <c r="E7">
        <f>COUNTIF($R$2:R7,R7)</f>
        <v>2</v>
      </c>
      <c r="F7">
        <f>COUNTIF($E$2:E7,1)</f>
        <v>2</v>
      </c>
      <c r="G7" t="str">
        <f t="shared" si="2"/>
        <v>avs.services.avs</v>
      </c>
      <c r="H7" t="str">
        <f t="shared" si="3"/>
        <v>AVSavs.services.avsIntegrator</v>
      </c>
      <c r="I7" t="str">
        <f t="shared" si="4"/>
        <v>AVSavs.services.avsavs.easydebit.profile</v>
      </c>
      <c r="J7">
        <f>IF(I7="",0,COUNTIF($I$2:I7,I7))</f>
        <v>2</v>
      </c>
      <c r="K7">
        <f>COUNTIF($J$2:J7,1)</f>
        <v>1</v>
      </c>
      <c r="N7">
        <v>7</v>
      </c>
      <c r="O7" t="s">
        <v>23</v>
      </c>
      <c r="P7" t="s">
        <v>25</v>
      </c>
      <c r="Q7" t="s">
        <v>26</v>
      </c>
      <c r="R7" t="s">
        <v>27</v>
      </c>
      <c r="S7" t="s">
        <v>28</v>
      </c>
      <c r="T7" t="s">
        <v>29</v>
      </c>
      <c r="U7" t="s">
        <v>20</v>
      </c>
      <c r="V7" t="s">
        <v>30</v>
      </c>
      <c r="W7" t="s">
        <v>21</v>
      </c>
      <c r="X7" t="s">
        <v>21</v>
      </c>
      <c r="Y7" t="b">
        <v>1</v>
      </c>
      <c r="Z7">
        <v>1053</v>
      </c>
    </row>
    <row r="8" spans="1:26" hidden="1" x14ac:dyDescent="0.25">
      <c r="A8">
        <f>COUNTIF($P$2:P8,P8)</f>
        <v>3</v>
      </c>
      <c r="B8">
        <f>COUNTIF($A$2:A8,1)</f>
        <v>2</v>
      </c>
      <c r="C8" t="str">
        <f t="shared" si="0"/>
        <v>AVS</v>
      </c>
      <c r="D8" t="str">
        <f t="shared" si="1"/>
        <v>AVSParent</v>
      </c>
      <c r="E8">
        <f>COUNTIF($R$2:R8,R8)</f>
        <v>3</v>
      </c>
      <c r="F8">
        <f>COUNTIF($E$2:E8,1)</f>
        <v>2</v>
      </c>
      <c r="G8" t="str">
        <f t="shared" si="2"/>
        <v>avs.services.avs</v>
      </c>
      <c r="H8" t="str">
        <f t="shared" si="3"/>
        <v>AVSavs.services.avsParent</v>
      </c>
      <c r="I8" t="str">
        <f t="shared" si="4"/>
        <v>AVSavs.services.avsavs.easydebit.profile</v>
      </c>
      <c r="J8">
        <f>IF(I8="",0,COUNTIF($I$2:I8,I8))</f>
        <v>3</v>
      </c>
      <c r="K8">
        <f>COUNTIF($J$2:J8,1)</f>
        <v>1</v>
      </c>
      <c r="N8">
        <v>7</v>
      </c>
      <c r="O8" t="s">
        <v>15</v>
      </c>
      <c r="P8" t="s">
        <v>25</v>
      </c>
      <c r="Q8" t="s">
        <v>26</v>
      </c>
      <c r="R8" t="s">
        <v>27</v>
      </c>
      <c r="S8" t="s">
        <v>28</v>
      </c>
      <c r="T8" t="s">
        <v>29</v>
      </c>
      <c r="U8" t="s">
        <v>20</v>
      </c>
      <c r="V8" t="s">
        <v>30</v>
      </c>
      <c r="W8" t="s">
        <v>21</v>
      </c>
      <c r="X8" t="s">
        <v>21</v>
      </c>
      <c r="Y8" t="b">
        <v>1</v>
      </c>
      <c r="Z8">
        <v>1053</v>
      </c>
    </row>
    <row r="9" spans="1:26" hidden="1" x14ac:dyDescent="0.25">
      <c r="A9">
        <f>COUNTIF($P$2:P9,P9)</f>
        <v>4</v>
      </c>
      <c r="B9">
        <f>COUNTIF($A$2:A9,1)</f>
        <v>2</v>
      </c>
      <c r="C9" t="str">
        <f t="shared" si="0"/>
        <v>AVS</v>
      </c>
      <c r="D9" t="str">
        <f t="shared" si="1"/>
        <v>AVSDevice</v>
      </c>
      <c r="E9">
        <f>COUNTIF($R$2:R9,R9)</f>
        <v>4</v>
      </c>
      <c r="F9">
        <f>COUNTIF($E$2:E9,1)</f>
        <v>2</v>
      </c>
      <c r="G9" t="str">
        <f t="shared" si="2"/>
        <v>avs.services.avs</v>
      </c>
      <c r="H9" t="str">
        <f t="shared" si="3"/>
        <v>AVSavs.services.avsDevice</v>
      </c>
      <c r="I9" t="str">
        <f t="shared" si="4"/>
        <v>AVSavs.services.avsavs.track.request</v>
      </c>
      <c r="J9">
        <f>IF(I9="",0,COUNTIF($I$2:I9,I9))</f>
        <v>1</v>
      </c>
      <c r="K9">
        <f>COUNTIF($J$2:J9,1)</f>
        <v>2</v>
      </c>
      <c r="N9">
        <v>44</v>
      </c>
      <c r="O9" t="s">
        <v>31</v>
      </c>
      <c r="P9" t="s">
        <v>25</v>
      </c>
      <c r="Q9" t="s">
        <v>26</v>
      </c>
      <c r="R9" t="s">
        <v>27</v>
      </c>
      <c r="S9" t="s">
        <v>28</v>
      </c>
      <c r="T9" t="s">
        <v>29</v>
      </c>
      <c r="U9" t="s">
        <v>20</v>
      </c>
      <c r="V9" t="s">
        <v>32</v>
      </c>
      <c r="W9" t="s">
        <v>21</v>
      </c>
      <c r="X9" t="s">
        <v>21</v>
      </c>
      <c r="Y9" t="b">
        <v>1</v>
      </c>
      <c r="Z9">
        <v>4831</v>
      </c>
    </row>
    <row r="10" spans="1:26" hidden="1" x14ac:dyDescent="0.25">
      <c r="A10">
        <f>COUNTIF($P$2:P10,P10)</f>
        <v>5</v>
      </c>
      <c r="B10">
        <f>COUNTIF($A$2:A10,1)</f>
        <v>2</v>
      </c>
      <c r="C10" t="str">
        <f t="shared" si="0"/>
        <v>AVS</v>
      </c>
      <c r="D10" t="str">
        <f t="shared" si="1"/>
        <v>AVSParent</v>
      </c>
      <c r="E10">
        <f>COUNTIF($R$2:R10,R10)</f>
        <v>5</v>
      </c>
      <c r="F10">
        <f>COUNTIF($E$2:E10,1)</f>
        <v>2</v>
      </c>
      <c r="G10" t="str">
        <f t="shared" si="2"/>
        <v>avs.services.avs</v>
      </c>
      <c r="H10" t="str">
        <f t="shared" si="3"/>
        <v>AVSavs.services.avsParent</v>
      </c>
      <c r="I10" t="str">
        <f t="shared" si="4"/>
        <v>AVSavs.services.avsavs.track.request</v>
      </c>
      <c r="J10">
        <f>IF(I10="",0,COUNTIF($I$2:I10,I10))</f>
        <v>2</v>
      </c>
      <c r="K10">
        <f>COUNTIF($J$2:J10,1)</f>
        <v>2</v>
      </c>
      <c r="N10">
        <v>6</v>
      </c>
      <c r="O10" t="s">
        <v>15</v>
      </c>
      <c r="P10" t="s">
        <v>25</v>
      </c>
      <c r="Q10" t="s">
        <v>26</v>
      </c>
      <c r="R10" t="s">
        <v>27</v>
      </c>
      <c r="S10" t="s">
        <v>28</v>
      </c>
      <c r="T10" t="s">
        <v>29</v>
      </c>
      <c r="U10" t="s">
        <v>20</v>
      </c>
      <c r="V10" t="s">
        <v>32</v>
      </c>
      <c r="W10" t="s">
        <v>21</v>
      </c>
      <c r="X10" t="s">
        <v>21</v>
      </c>
      <c r="Y10" t="b">
        <v>1</v>
      </c>
      <c r="Z10">
        <v>4831</v>
      </c>
    </row>
    <row r="11" spans="1:26" hidden="1" x14ac:dyDescent="0.25">
      <c r="A11">
        <f>COUNTIF($P$2:P11,P11)</f>
        <v>6</v>
      </c>
      <c r="B11">
        <f>COUNTIF($A$2:A11,1)</f>
        <v>2</v>
      </c>
      <c r="C11" t="str">
        <f t="shared" si="0"/>
        <v>AVS</v>
      </c>
      <c r="D11" t="str">
        <f t="shared" si="1"/>
        <v>AVSIntegrator</v>
      </c>
      <c r="E11">
        <f>COUNTIF($R$2:R11,R11)</f>
        <v>6</v>
      </c>
      <c r="F11">
        <f>COUNTIF($E$2:E11,1)</f>
        <v>2</v>
      </c>
      <c r="G11" t="str">
        <f t="shared" si="2"/>
        <v>avs.services.avs</v>
      </c>
      <c r="H11" t="str">
        <f t="shared" si="3"/>
        <v>AVSavs.services.avsIntegrator</v>
      </c>
      <c r="I11" t="str">
        <f t="shared" si="4"/>
        <v>AVSavs.services.avsavs.track.request</v>
      </c>
      <c r="J11">
        <f>IF(I11="",0,COUNTIF($I$2:I11,I11))</f>
        <v>3</v>
      </c>
      <c r="K11">
        <f>COUNTIF($J$2:J11,1)</f>
        <v>2</v>
      </c>
      <c r="N11">
        <v>6</v>
      </c>
      <c r="O11" t="s">
        <v>23</v>
      </c>
      <c r="P11" t="s">
        <v>25</v>
      </c>
      <c r="Q11" t="s">
        <v>26</v>
      </c>
      <c r="R11" t="s">
        <v>27</v>
      </c>
      <c r="S11" t="s">
        <v>28</v>
      </c>
      <c r="T11" t="s">
        <v>29</v>
      </c>
      <c r="U11" t="s">
        <v>20</v>
      </c>
      <c r="V11" t="s">
        <v>32</v>
      </c>
      <c r="W11" t="s">
        <v>21</v>
      </c>
      <c r="X11" t="s">
        <v>21</v>
      </c>
      <c r="Y11" t="b">
        <v>1</v>
      </c>
      <c r="Z11">
        <v>4831</v>
      </c>
    </row>
    <row r="12" spans="1:26" hidden="1" x14ac:dyDescent="0.25">
      <c r="A12">
        <f>COUNTIF($P$2:P12,P12)</f>
        <v>7</v>
      </c>
      <c r="B12">
        <f>COUNTIF($A$2:A12,1)</f>
        <v>2</v>
      </c>
      <c r="C12" t="str">
        <f t="shared" si="0"/>
        <v>AVS</v>
      </c>
      <c r="D12" t="str">
        <f t="shared" si="1"/>
        <v>AVSParent</v>
      </c>
      <c r="E12">
        <f>COUNTIF($R$2:R12,R12)</f>
        <v>7</v>
      </c>
      <c r="F12">
        <f>COUNTIF($E$2:E12,1)</f>
        <v>2</v>
      </c>
      <c r="G12" t="str">
        <f t="shared" si="2"/>
        <v>avs.services.avs</v>
      </c>
      <c r="H12" t="str">
        <f t="shared" si="3"/>
        <v>AVSavs.services.avsParent</v>
      </c>
      <c r="I12" t="str">
        <f t="shared" si="4"/>
        <v>AVSavs.services.avsivs.track.request</v>
      </c>
      <c r="J12">
        <f>IF(I12="",0,COUNTIF($I$2:I12,I12))</f>
        <v>1</v>
      </c>
      <c r="K12">
        <f>COUNTIF($J$2:J12,1)</f>
        <v>3</v>
      </c>
      <c r="N12">
        <v>1</v>
      </c>
      <c r="O12" t="s">
        <v>15</v>
      </c>
      <c r="P12" t="s">
        <v>25</v>
      </c>
      <c r="Q12" t="s">
        <v>26</v>
      </c>
      <c r="R12" t="s">
        <v>27</v>
      </c>
      <c r="S12" t="s">
        <v>28</v>
      </c>
      <c r="T12" t="s">
        <v>29</v>
      </c>
      <c r="U12" t="s">
        <v>20</v>
      </c>
      <c r="V12" t="s">
        <v>33</v>
      </c>
      <c r="W12" t="s">
        <v>21</v>
      </c>
      <c r="X12" t="s">
        <v>21</v>
      </c>
      <c r="Y12" t="b">
        <v>1</v>
      </c>
      <c r="Z12">
        <v>664</v>
      </c>
    </row>
    <row r="13" spans="1:26" hidden="1" x14ac:dyDescent="0.25">
      <c r="A13">
        <f>COUNTIF($P$2:P13,P13)</f>
        <v>8</v>
      </c>
      <c r="B13">
        <f>COUNTIF($A$2:A13,1)</f>
        <v>2</v>
      </c>
      <c r="C13" t="str">
        <f t="shared" si="0"/>
        <v>AVS</v>
      </c>
      <c r="D13" t="str">
        <f t="shared" si="1"/>
        <v>AVSParent</v>
      </c>
      <c r="E13">
        <f>COUNTIF($R$2:R13,R13)</f>
        <v>8</v>
      </c>
      <c r="F13">
        <f>COUNTIF($E$2:E13,1)</f>
        <v>2</v>
      </c>
      <c r="G13" t="str">
        <f t="shared" si="2"/>
        <v>avs.services.avs</v>
      </c>
      <c r="H13" t="str">
        <f t="shared" si="3"/>
        <v>AVSavs.services.avsParent</v>
      </c>
      <c r="I13" t="str">
        <f t="shared" si="4"/>
        <v/>
      </c>
      <c r="J13">
        <f>IF(I13="",0,COUNTIF($I$2:I13,I13))</f>
        <v>0</v>
      </c>
      <c r="K13">
        <f>COUNTIF($J$2:J13,1)</f>
        <v>3</v>
      </c>
      <c r="N13">
        <v>76</v>
      </c>
      <c r="O13" t="s">
        <v>15</v>
      </c>
      <c r="P13" t="s">
        <v>25</v>
      </c>
      <c r="Q13" t="s">
        <v>26</v>
      </c>
      <c r="R13" t="s">
        <v>27</v>
      </c>
      <c r="S13" t="s">
        <v>28</v>
      </c>
      <c r="T13" t="s">
        <v>29</v>
      </c>
      <c r="U13" t="s">
        <v>20</v>
      </c>
      <c r="W13" t="s">
        <v>21</v>
      </c>
    </row>
    <row r="14" spans="1:26" hidden="1" x14ac:dyDescent="0.25">
      <c r="A14">
        <f>COUNTIF($P$2:P14,P14)</f>
        <v>9</v>
      </c>
      <c r="B14">
        <f>COUNTIF($A$2:A14,1)</f>
        <v>2</v>
      </c>
      <c r="C14" t="str">
        <f t="shared" si="0"/>
        <v>AVS</v>
      </c>
      <c r="D14" t="str">
        <f t="shared" si="1"/>
        <v>AVSIntegrator</v>
      </c>
      <c r="E14">
        <f>COUNTIF($R$2:R14,R14)</f>
        <v>9</v>
      </c>
      <c r="F14">
        <f>COUNTIF($E$2:E14,1)</f>
        <v>2</v>
      </c>
      <c r="G14" t="str">
        <f t="shared" si="2"/>
        <v>avs.services.avs</v>
      </c>
      <c r="H14" t="str">
        <f t="shared" si="3"/>
        <v>AVSavs.services.avsIntegrator</v>
      </c>
      <c r="I14" t="str">
        <f t="shared" si="4"/>
        <v/>
      </c>
      <c r="J14">
        <f>IF(I14="",0,COUNTIF($I$2:I14,I14))</f>
        <v>0</v>
      </c>
      <c r="K14">
        <f>COUNTIF($J$2:J14,1)</f>
        <v>3</v>
      </c>
      <c r="N14">
        <v>78</v>
      </c>
      <c r="O14" t="s">
        <v>23</v>
      </c>
      <c r="P14" t="s">
        <v>25</v>
      </c>
      <c r="Q14" t="s">
        <v>26</v>
      </c>
      <c r="R14" t="s">
        <v>27</v>
      </c>
      <c r="S14" t="s">
        <v>28</v>
      </c>
      <c r="T14" t="s">
        <v>29</v>
      </c>
      <c r="U14" t="s">
        <v>20</v>
      </c>
      <c r="W14" t="s">
        <v>21</v>
      </c>
    </row>
    <row r="15" spans="1:26" hidden="1" x14ac:dyDescent="0.25">
      <c r="A15">
        <f>COUNTIF($P$2:P15,P15)</f>
        <v>10</v>
      </c>
      <c r="B15">
        <f>COUNTIF($A$2:A15,1)</f>
        <v>2</v>
      </c>
      <c r="C15" t="str">
        <f t="shared" si="0"/>
        <v>AVS</v>
      </c>
      <c r="D15" t="str">
        <f t="shared" si="1"/>
        <v>AVSParent</v>
      </c>
      <c r="E15">
        <f>COUNTIF($R$2:R15,R15)</f>
        <v>10</v>
      </c>
      <c r="F15">
        <f>COUNTIF($E$2:E15,1)</f>
        <v>2</v>
      </c>
      <c r="G15" t="str">
        <f t="shared" si="2"/>
        <v>avs.services.avs</v>
      </c>
      <c r="H15" t="str">
        <f t="shared" si="3"/>
        <v>AVSavs.services.avsParent</v>
      </c>
      <c r="I15" t="str">
        <f t="shared" si="4"/>
        <v/>
      </c>
      <c r="J15">
        <f>IF(I15="",0,COUNTIF($I$2:I15,I15))</f>
        <v>0</v>
      </c>
      <c r="K15">
        <f>COUNTIF($J$2:J15,1)</f>
        <v>3</v>
      </c>
      <c r="N15">
        <v>1</v>
      </c>
      <c r="O15" t="s">
        <v>15</v>
      </c>
      <c r="P15" t="s">
        <v>25</v>
      </c>
      <c r="Q15" t="s">
        <v>26</v>
      </c>
      <c r="R15" t="s">
        <v>27</v>
      </c>
      <c r="S15" t="s">
        <v>28</v>
      </c>
      <c r="T15" t="s">
        <v>29</v>
      </c>
      <c r="U15" t="s">
        <v>20</v>
      </c>
      <c r="W15" t="s">
        <v>21</v>
      </c>
    </row>
    <row r="16" spans="1:26" hidden="1" x14ac:dyDescent="0.25">
      <c r="A16">
        <f>COUNTIF($P$2:P16,P16)</f>
        <v>11</v>
      </c>
      <c r="B16">
        <f>COUNTIF($A$2:A16,1)</f>
        <v>2</v>
      </c>
      <c r="C16" t="str">
        <f t="shared" si="0"/>
        <v>AVS</v>
      </c>
      <c r="D16" t="str">
        <f t="shared" si="1"/>
        <v>AVSPerson</v>
      </c>
      <c r="E16">
        <f>COUNTIF($R$2:R16,R16)</f>
        <v>11</v>
      </c>
      <c r="F16">
        <f>COUNTIF($E$2:E16,1)</f>
        <v>2</v>
      </c>
      <c r="G16" t="str">
        <f t="shared" si="2"/>
        <v>avs.services.avs</v>
      </c>
      <c r="H16" t="str">
        <f t="shared" si="3"/>
        <v>AVSavs.services.avsPerson</v>
      </c>
      <c r="I16" t="str">
        <f t="shared" si="4"/>
        <v/>
      </c>
      <c r="J16">
        <f>IF(I16="",0,COUNTIF($I$2:I16,I16))</f>
        <v>0</v>
      </c>
      <c r="K16">
        <f>COUNTIF($J$2:J16,1)</f>
        <v>3</v>
      </c>
      <c r="N16">
        <v>1</v>
      </c>
      <c r="O16" t="s">
        <v>24</v>
      </c>
      <c r="P16" t="s">
        <v>25</v>
      </c>
      <c r="Q16" t="s">
        <v>26</v>
      </c>
      <c r="R16" t="s">
        <v>27</v>
      </c>
      <c r="S16" t="s">
        <v>28</v>
      </c>
      <c r="T16" t="s">
        <v>29</v>
      </c>
      <c r="U16" t="s">
        <v>20</v>
      </c>
      <c r="W16" t="s">
        <v>21</v>
      </c>
    </row>
    <row r="17" spans="1:26" hidden="1" x14ac:dyDescent="0.25">
      <c r="A17">
        <f>COUNTIF($P$2:P17,P17)</f>
        <v>12</v>
      </c>
      <c r="B17">
        <f>COUNTIF($A$2:A17,1)</f>
        <v>2</v>
      </c>
      <c r="C17" t="str">
        <f t="shared" si="0"/>
        <v>AVS</v>
      </c>
      <c r="D17" t="str">
        <f t="shared" si="1"/>
        <v>AVSDevice</v>
      </c>
      <c r="E17">
        <f>COUNTIF($R$2:R17,R17)</f>
        <v>12</v>
      </c>
      <c r="F17">
        <f>COUNTIF($E$2:E17,1)</f>
        <v>2</v>
      </c>
      <c r="G17" t="str">
        <f t="shared" si="2"/>
        <v>avs.services.avs</v>
      </c>
      <c r="H17" t="str">
        <f t="shared" si="3"/>
        <v>AVSavs.services.avsDevice</v>
      </c>
      <c r="I17" t="str">
        <f t="shared" si="4"/>
        <v/>
      </c>
      <c r="J17">
        <f>IF(I17="",0,COUNTIF($I$2:I17,I17))</f>
        <v>0</v>
      </c>
      <c r="K17">
        <f>COUNTIF($J$2:J17,1)</f>
        <v>3</v>
      </c>
      <c r="N17">
        <v>14</v>
      </c>
      <c r="O17" t="s">
        <v>31</v>
      </c>
      <c r="P17" t="s">
        <v>25</v>
      </c>
      <c r="Q17" t="s">
        <v>26</v>
      </c>
      <c r="R17" t="s">
        <v>27</v>
      </c>
      <c r="S17" t="s">
        <v>28</v>
      </c>
      <c r="T17" t="s">
        <v>29</v>
      </c>
      <c r="U17" t="s">
        <v>20</v>
      </c>
      <c r="W17" t="s">
        <v>21</v>
      </c>
    </row>
    <row r="18" spans="1:26" hidden="1" x14ac:dyDescent="0.25">
      <c r="A18">
        <f>COUNTIF($P$2:P18,P18)</f>
        <v>13</v>
      </c>
      <c r="B18">
        <f>COUNTIF($A$2:A18,1)</f>
        <v>2</v>
      </c>
      <c r="C18" t="str">
        <f t="shared" si="0"/>
        <v>AVS</v>
      </c>
      <c r="D18" t="str">
        <f t="shared" si="1"/>
        <v>AVSParent</v>
      </c>
      <c r="E18">
        <f>COUNTIF($R$2:R18,R18)</f>
        <v>13</v>
      </c>
      <c r="F18">
        <f>COUNTIF($E$2:E18,1)</f>
        <v>2</v>
      </c>
      <c r="G18" t="str">
        <f t="shared" si="2"/>
        <v>avs.services.avs</v>
      </c>
      <c r="H18" t="str">
        <f t="shared" si="3"/>
        <v>AVSavs.services.avsParent</v>
      </c>
      <c r="I18" t="str">
        <f t="shared" si="4"/>
        <v/>
      </c>
      <c r="J18">
        <f>IF(I18="",0,COUNTIF($I$2:I18,I18))</f>
        <v>0</v>
      </c>
      <c r="K18">
        <f>COUNTIF($J$2:J18,1)</f>
        <v>3</v>
      </c>
      <c r="N18">
        <v>1</v>
      </c>
      <c r="O18" t="s">
        <v>15</v>
      </c>
      <c r="P18" t="s">
        <v>25</v>
      </c>
      <c r="Q18" t="s">
        <v>26</v>
      </c>
      <c r="R18" t="s">
        <v>27</v>
      </c>
      <c r="S18" t="s">
        <v>28</v>
      </c>
      <c r="T18" t="s">
        <v>29</v>
      </c>
      <c r="U18" t="s">
        <v>20</v>
      </c>
      <c r="W18" t="s">
        <v>22</v>
      </c>
    </row>
    <row r="19" spans="1:26" hidden="1" x14ac:dyDescent="0.25">
      <c r="A19">
        <f>COUNTIF($P$2:P19,P19)</f>
        <v>14</v>
      </c>
      <c r="B19">
        <f>COUNTIF($A$2:A19,1)</f>
        <v>2</v>
      </c>
      <c r="C19" t="str">
        <f t="shared" si="0"/>
        <v>AVS</v>
      </c>
      <c r="D19" t="str">
        <f t="shared" si="1"/>
        <v>AVSDevice</v>
      </c>
      <c r="E19">
        <f>COUNTIF($R$2:R19,R19)</f>
        <v>14</v>
      </c>
      <c r="F19">
        <f>COUNTIF($E$2:E19,1)</f>
        <v>2</v>
      </c>
      <c r="G19" t="str">
        <f t="shared" si="2"/>
        <v>avs.services.avs</v>
      </c>
      <c r="H19" t="str">
        <f t="shared" si="3"/>
        <v>AVSavs.services.avsDevice</v>
      </c>
      <c r="I19" t="str">
        <f t="shared" si="4"/>
        <v/>
      </c>
      <c r="J19">
        <f>IF(I19="",0,COUNTIF($I$2:I19,I19))</f>
        <v>0</v>
      </c>
      <c r="K19">
        <f>COUNTIF($J$2:J19,1)</f>
        <v>3</v>
      </c>
      <c r="N19">
        <v>48</v>
      </c>
      <c r="O19" t="s">
        <v>31</v>
      </c>
      <c r="P19" t="s">
        <v>25</v>
      </c>
      <c r="Q19" t="s">
        <v>26</v>
      </c>
      <c r="R19" t="s">
        <v>27</v>
      </c>
      <c r="S19" t="s">
        <v>28</v>
      </c>
      <c r="T19" t="s">
        <v>29</v>
      </c>
      <c r="U19" t="s">
        <v>20</v>
      </c>
      <c r="W19" t="s">
        <v>22</v>
      </c>
    </row>
    <row r="20" spans="1:26" hidden="1" x14ac:dyDescent="0.25">
      <c r="A20">
        <f>COUNTIF($P$2:P20,P20)</f>
        <v>15</v>
      </c>
      <c r="B20">
        <f>COUNTIF($A$2:A20,1)</f>
        <v>2</v>
      </c>
      <c r="C20" t="str">
        <f t="shared" si="0"/>
        <v>AVS</v>
      </c>
      <c r="D20" t="str">
        <f t="shared" si="1"/>
        <v>AVSIntegrator</v>
      </c>
      <c r="E20">
        <f>COUNTIF($R$2:R20,R20)</f>
        <v>15</v>
      </c>
      <c r="F20">
        <f>COUNTIF($E$2:E20,1)</f>
        <v>2</v>
      </c>
      <c r="G20" t="str">
        <f t="shared" si="2"/>
        <v>avs.services.avs</v>
      </c>
      <c r="H20" t="str">
        <f t="shared" si="3"/>
        <v>AVSavs.services.avsIntegrator</v>
      </c>
      <c r="I20" t="str">
        <f t="shared" si="4"/>
        <v/>
      </c>
      <c r="J20">
        <f>IF(I20="",0,COUNTIF($I$2:I20,I20))</f>
        <v>0</v>
      </c>
      <c r="K20">
        <f>COUNTIF($J$2:J20,1)</f>
        <v>3</v>
      </c>
      <c r="N20">
        <v>90</v>
      </c>
      <c r="O20" t="s">
        <v>23</v>
      </c>
      <c r="P20" t="s">
        <v>25</v>
      </c>
      <c r="Q20" t="s">
        <v>26</v>
      </c>
      <c r="R20" t="s">
        <v>27</v>
      </c>
      <c r="S20" t="s">
        <v>28</v>
      </c>
      <c r="T20" t="s">
        <v>29</v>
      </c>
      <c r="U20" t="s">
        <v>20</v>
      </c>
      <c r="W20" t="s">
        <v>22</v>
      </c>
    </row>
    <row r="21" spans="1:26" hidden="1" x14ac:dyDescent="0.25">
      <c r="A21">
        <f>COUNTIF($P$2:P21,P21)</f>
        <v>16</v>
      </c>
      <c r="B21">
        <f>COUNTIF($A$2:A21,1)</f>
        <v>2</v>
      </c>
      <c r="C21" t="str">
        <f t="shared" si="0"/>
        <v>AVS</v>
      </c>
      <c r="D21" t="str">
        <f t="shared" si="1"/>
        <v>AVSParent</v>
      </c>
      <c r="E21">
        <f>COUNTIF($R$2:R21,R21)</f>
        <v>16</v>
      </c>
      <c r="F21">
        <f>COUNTIF($E$2:E21,1)</f>
        <v>2</v>
      </c>
      <c r="G21" t="str">
        <f t="shared" si="2"/>
        <v>avs.services.avs</v>
      </c>
      <c r="H21" t="str">
        <f t="shared" si="3"/>
        <v>AVSavs.services.avsParent</v>
      </c>
      <c r="I21" t="str">
        <f t="shared" si="4"/>
        <v/>
      </c>
      <c r="J21">
        <f>IF(I21="",0,COUNTIF($I$2:I21,I21))</f>
        <v>0</v>
      </c>
      <c r="K21">
        <f>COUNTIF($J$2:J21,1)</f>
        <v>3</v>
      </c>
      <c r="N21">
        <v>87</v>
      </c>
      <c r="O21" t="s">
        <v>15</v>
      </c>
      <c r="P21" t="s">
        <v>25</v>
      </c>
      <c r="Q21" t="s">
        <v>26</v>
      </c>
      <c r="R21" t="s">
        <v>27</v>
      </c>
      <c r="S21" t="s">
        <v>28</v>
      </c>
      <c r="T21" t="s">
        <v>29</v>
      </c>
      <c r="U21" t="s">
        <v>20</v>
      </c>
      <c r="W21" t="s">
        <v>22</v>
      </c>
    </row>
    <row r="22" spans="1:26" hidden="1" x14ac:dyDescent="0.25">
      <c r="A22">
        <f>COUNTIF($P$2:P22,P22)</f>
        <v>17</v>
      </c>
      <c r="B22">
        <f>COUNTIF($A$2:A22,1)</f>
        <v>2</v>
      </c>
      <c r="C22" t="str">
        <f t="shared" si="0"/>
        <v>AVS</v>
      </c>
      <c r="D22" t="str">
        <f t="shared" si="1"/>
        <v>AVSPerson</v>
      </c>
      <c r="E22">
        <f>COUNTIF($R$2:R22,R22)</f>
        <v>17</v>
      </c>
      <c r="F22">
        <f>COUNTIF($E$2:E22,1)</f>
        <v>2</v>
      </c>
      <c r="G22" t="str">
        <f t="shared" si="2"/>
        <v>avs.services.avs</v>
      </c>
      <c r="H22" t="str">
        <f t="shared" si="3"/>
        <v>AVSavs.services.avsPerson</v>
      </c>
      <c r="I22" t="str">
        <f t="shared" si="4"/>
        <v/>
      </c>
      <c r="J22">
        <f>IF(I22="",0,COUNTIF($I$2:I22,I22))</f>
        <v>0</v>
      </c>
      <c r="K22">
        <f>COUNTIF($J$2:J22,1)</f>
        <v>3</v>
      </c>
      <c r="N22">
        <v>2</v>
      </c>
      <c r="O22" t="s">
        <v>24</v>
      </c>
      <c r="P22" t="s">
        <v>25</v>
      </c>
      <c r="Q22" t="s">
        <v>26</v>
      </c>
      <c r="R22" t="s">
        <v>27</v>
      </c>
      <c r="S22" t="s">
        <v>28</v>
      </c>
      <c r="T22" t="s">
        <v>29</v>
      </c>
      <c r="U22" t="s">
        <v>20</v>
      </c>
      <c r="W22" t="s">
        <v>22</v>
      </c>
    </row>
    <row r="23" spans="1:26" hidden="1" x14ac:dyDescent="0.25">
      <c r="A23">
        <f>COUNTIF($P$2:P23,P23)</f>
        <v>1</v>
      </c>
      <c r="B23">
        <f>COUNTIF($A$2:A23,1)</f>
        <v>3</v>
      </c>
      <c r="C23" t="str">
        <f t="shared" si="0"/>
        <v>BIVS</v>
      </c>
      <c r="D23" t="str">
        <f t="shared" si="1"/>
        <v>BIVSDevice</v>
      </c>
      <c r="E23">
        <f>COUNTIF($R$2:R23,R23)</f>
        <v>1</v>
      </c>
      <c r="F23">
        <f>COUNTIF($E$2:E23,1)</f>
        <v>3</v>
      </c>
      <c r="G23" t="str">
        <f t="shared" si="2"/>
        <v>bivs.services.bivs</v>
      </c>
      <c r="H23" t="str">
        <f t="shared" si="3"/>
        <v>BIVSbivs.services.bivsDevice</v>
      </c>
      <c r="I23" t="str">
        <f t="shared" si="4"/>
        <v>BIVSbivs.services.bivsbivs.track.request</v>
      </c>
      <c r="J23">
        <f>IF(I23="",0,COUNTIF($I$2:I23,I23))</f>
        <v>1</v>
      </c>
      <c r="K23">
        <f>COUNTIF($J$2:J23,1)</f>
        <v>4</v>
      </c>
      <c r="N23">
        <v>7</v>
      </c>
      <c r="O23" t="s">
        <v>31</v>
      </c>
      <c r="P23" t="s">
        <v>34</v>
      </c>
      <c r="Q23" t="s">
        <v>35</v>
      </c>
      <c r="R23" t="s">
        <v>36</v>
      </c>
      <c r="S23" t="s">
        <v>37</v>
      </c>
      <c r="T23" t="s">
        <v>38</v>
      </c>
      <c r="U23" t="s">
        <v>20</v>
      </c>
      <c r="V23" t="s">
        <v>39</v>
      </c>
      <c r="W23" t="s">
        <v>21</v>
      </c>
      <c r="X23" t="s">
        <v>21</v>
      </c>
      <c r="Y23" t="b">
        <v>1</v>
      </c>
      <c r="Z23">
        <v>4833</v>
      </c>
    </row>
    <row r="24" spans="1:26" hidden="1" x14ac:dyDescent="0.25">
      <c r="A24">
        <f>COUNTIF($P$2:P24,P24)</f>
        <v>2</v>
      </c>
      <c r="B24">
        <f>COUNTIF($A$2:A24,1)</f>
        <v>3</v>
      </c>
      <c r="C24" t="str">
        <f t="shared" si="0"/>
        <v>BIVS</v>
      </c>
      <c r="D24" t="str">
        <f t="shared" si="1"/>
        <v>BIVSParent</v>
      </c>
      <c r="E24">
        <f>COUNTIF($R$2:R24,R24)</f>
        <v>2</v>
      </c>
      <c r="F24">
        <f>COUNTIF($E$2:E24,1)</f>
        <v>3</v>
      </c>
      <c r="G24" t="str">
        <f t="shared" si="2"/>
        <v>bivs.services.bivs</v>
      </c>
      <c r="H24" t="str">
        <f t="shared" si="3"/>
        <v>BIVSbivs.services.bivsParent</v>
      </c>
      <c r="I24" t="str">
        <f t="shared" si="4"/>
        <v/>
      </c>
      <c r="J24">
        <f>IF(I24="",0,COUNTIF($I$2:I24,I24))</f>
        <v>0</v>
      </c>
      <c r="K24">
        <f>COUNTIF($J$2:J24,1)</f>
        <v>4</v>
      </c>
      <c r="N24">
        <v>1</v>
      </c>
      <c r="O24" t="s">
        <v>15</v>
      </c>
      <c r="P24" t="s">
        <v>34</v>
      </c>
      <c r="Q24" t="s">
        <v>35</v>
      </c>
      <c r="R24" t="s">
        <v>36</v>
      </c>
      <c r="S24" t="s">
        <v>37</v>
      </c>
      <c r="T24" t="s">
        <v>38</v>
      </c>
      <c r="U24" t="s">
        <v>20</v>
      </c>
      <c r="W24" t="s">
        <v>21</v>
      </c>
    </row>
    <row r="25" spans="1:26" hidden="1" x14ac:dyDescent="0.25">
      <c r="A25">
        <f>COUNTIF($P$2:P25,P25)</f>
        <v>3</v>
      </c>
      <c r="B25">
        <f>COUNTIF($A$2:A25,1)</f>
        <v>3</v>
      </c>
      <c r="C25" t="str">
        <f t="shared" si="0"/>
        <v>BIVS</v>
      </c>
      <c r="D25" t="str">
        <f t="shared" si="1"/>
        <v>BIVSDevice</v>
      </c>
      <c r="E25">
        <f>COUNTIF($R$2:R25,R25)</f>
        <v>3</v>
      </c>
      <c r="F25">
        <f>COUNTIF($E$2:E25,1)</f>
        <v>3</v>
      </c>
      <c r="G25" t="str">
        <f t="shared" si="2"/>
        <v>bivs.services.bivs</v>
      </c>
      <c r="H25" t="str">
        <f t="shared" si="3"/>
        <v>BIVSbivs.services.bivsDevice</v>
      </c>
      <c r="I25" t="str">
        <f t="shared" si="4"/>
        <v/>
      </c>
      <c r="J25">
        <f>IF(I25="",0,COUNTIF($I$2:I25,I25))</f>
        <v>0</v>
      </c>
      <c r="K25">
        <f>COUNTIF($J$2:J25,1)</f>
        <v>4</v>
      </c>
      <c r="N25">
        <v>8</v>
      </c>
      <c r="O25" t="s">
        <v>31</v>
      </c>
      <c r="P25" t="s">
        <v>34</v>
      </c>
      <c r="Q25" t="s">
        <v>35</v>
      </c>
      <c r="R25" t="s">
        <v>36</v>
      </c>
      <c r="S25" t="s">
        <v>37</v>
      </c>
      <c r="T25" t="s">
        <v>38</v>
      </c>
      <c r="U25" t="s">
        <v>20</v>
      </c>
      <c r="W25" t="s">
        <v>21</v>
      </c>
    </row>
    <row r="26" spans="1:26" hidden="1" x14ac:dyDescent="0.25">
      <c r="A26">
        <f>COUNTIF($P$2:P26,P26)</f>
        <v>4</v>
      </c>
      <c r="B26">
        <f>COUNTIF($A$2:A26,1)</f>
        <v>3</v>
      </c>
      <c r="C26" t="str">
        <f t="shared" si="0"/>
        <v>BIVS</v>
      </c>
      <c r="D26" t="str">
        <f t="shared" si="1"/>
        <v>BIVSParent</v>
      </c>
      <c r="E26">
        <f>COUNTIF($R$2:R26,R26)</f>
        <v>4</v>
      </c>
      <c r="F26">
        <f>COUNTIF($E$2:E26,1)</f>
        <v>3</v>
      </c>
      <c r="G26" t="str">
        <f t="shared" si="2"/>
        <v>bivs.services.bivs</v>
      </c>
      <c r="H26" t="str">
        <f t="shared" si="3"/>
        <v>BIVSbivs.services.bivsParent</v>
      </c>
      <c r="I26" t="str">
        <f t="shared" si="4"/>
        <v/>
      </c>
      <c r="J26">
        <f>IF(I26="",0,COUNTIF($I$2:I26,I26))</f>
        <v>0</v>
      </c>
      <c r="K26">
        <f>COUNTIF($J$2:J26,1)</f>
        <v>4</v>
      </c>
      <c r="N26">
        <v>5</v>
      </c>
      <c r="O26" t="s">
        <v>15</v>
      </c>
      <c r="P26" t="s">
        <v>34</v>
      </c>
      <c r="Q26" t="s">
        <v>35</v>
      </c>
      <c r="R26" t="s">
        <v>36</v>
      </c>
      <c r="S26" t="s">
        <v>37</v>
      </c>
      <c r="T26" t="s">
        <v>38</v>
      </c>
      <c r="U26" t="s">
        <v>20</v>
      </c>
      <c r="W26" t="s">
        <v>22</v>
      </c>
    </row>
    <row r="27" spans="1:26" hidden="1" x14ac:dyDescent="0.25">
      <c r="A27">
        <f>COUNTIF($P$2:P27,P27)</f>
        <v>5</v>
      </c>
      <c r="B27">
        <f>COUNTIF($A$2:A27,1)</f>
        <v>3</v>
      </c>
      <c r="C27" t="str">
        <f t="shared" si="0"/>
        <v>BIVS</v>
      </c>
      <c r="D27" t="str">
        <f t="shared" si="1"/>
        <v>BIVSIntegrator</v>
      </c>
      <c r="E27">
        <f>COUNTIF($R$2:R27,R27)</f>
        <v>5</v>
      </c>
      <c r="F27">
        <f>COUNTIF($E$2:E27,1)</f>
        <v>3</v>
      </c>
      <c r="G27" t="str">
        <f t="shared" si="2"/>
        <v>bivs.services.bivs</v>
      </c>
      <c r="H27" t="str">
        <f t="shared" si="3"/>
        <v>BIVSbivs.services.bivsIntegrator</v>
      </c>
      <c r="I27" t="str">
        <f t="shared" si="4"/>
        <v/>
      </c>
      <c r="J27">
        <f>IF(I27="",0,COUNTIF($I$2:I27,I27))</f>
        <v>0</v>
      </c>
      <c r="K27">
        <f>COUNTIF($J$2:J27,1)</f>
        <v>4</v>
      </c>
      <c r="N27">
        <v>5</v>
      </c>
      <c r="O27" t="s">
        <v>23</v>
      </c>
      <c r="P27" t="s">
        <v>34</v>
      </c>
      <c r="Q27" t="s">
        <v>35</v>
      </c>
      <c r="R27" t="s">
        <v>36</v>
      </c>
      <c r="S27" t="s">
        <v>37</v>
      </c>
      <c r="T27" t="s">
        <v>38</v>
      </c>
      <c r="U27" t="s">
        <v>20</v>
      </c>
      <c r="W27" t="s">
        <v>22</v>
      </c>
    </row>
    <row r="28" spans="1:26" hidden="1" x14ac:dyDescent="0.25">
      <c r="A28">
        <f>COUNTIF($P$2:P28,P28)</f>
        <v>6</v>
      </c>
      <c r="B28">
        <f>COUNTIF($A$2:A28,1)</f>
        <v>3</v>
      </c>
      <c r="C28" t="str">
        <f t="shared" si="0"/>
        <v>BIVS</v>
      </c>
      <c r="D28" t="str">
        <f t="shared" si="1"/>
        <v>BIVSParent</v>
      </c>
      <c r="E28">
        <f>COUNTIF($R$2:R28,R28)</f>
        <v>6</v>
      </c>
      <c r="F28">
        <f>COUNTIF($E$2:E28,1)</f>
        <v>3</v>
      </c>
      <c r="G28" t="str">
        <f t="shared" si="2"/>
        <v>bivs.services.bivs</v>
      </c>
      <c r="H28" t="str">
        <f t="shared" si="3"/>
        <v>BIVSbivs.services.bivsParent</v>
      </c>
      <c r="I28" t="str">
        <f t="shared" si="4"/>
        <v/>
      </c>
      <c r="J28">
        <f>IF(I28="",0,COUNTIF($I$2:I28,I28))</f>
        <v>0</v>
      </c>
      <c r="K28">
        <f>COUNTIF($J$2:J28,1)</f>
        <v>4</v>
      </c>
      <c r="N28">
        <v>1</v>
      </c>
      <c r="O28" t="s">
        <v>15</v>
      </c>
      <c r="P28" t="s">
        <v>34</v>
      </c>
      <c r="Q28" t="s">
        <v>35</v>
      </c>
      <c r="R28" t="s">
        <v>36</v>
      </c>
      <c r="S28" t="s">
        <v>37</v>
      </c>
      <c r="T28" t="s">
        <v>38</v>
      </c>
      <c r="U28" t="s">
        <v>20</v>
      </c>
      <c r="W28" t="s">
        <v>22</v>
      </c>
    </row>
    <row r="29" spans="1:26" hidden="1" x14ac:dyDescent="0.25">
      <c r="A29">
        <f>COUNTIF($P$2:P29,P29)</f>
        <v>7</v>
      </c>
      <c r="B29">
        <f>COUNTIF($A$2:A29,1)</f>
        <v>3</v>
      </c>
      <c r="C29" t="str">
        <f t="shared" si="0"/>
        <v>BIVS</v>
      </c>
      <c r="D29" t="str">
        <f t="shared" si="1"/>
        <v>BIVSDevice</v>
      </c>
      <c r="E29">
        <f>COUNTIF($R$2:R29,R29)</f>
        <v>7</v>
      </c>
      <c r="F29">
        <f>COUNTIF($E$2:E29,1)</f>
        <v>3</v>
      </c>
      <c r="G29" t="str">
        <f t="shared" si="2"/>
        <v>bivs.services.bivs</v>
      </c>
      <c r="H29" t="str">
        <f t="shared" si="3"/>
        <v>BIVSbivs.services.bivsDevice</v>
      </c>
      <c r="I29" t="str">
        <f t="shared" si="4"/>
        <v/>
      </c>
      <c r="J29">
        <f>IF(I29="",0,COUNTIF($I$2:I29,I29))</f>
        <v>0</v>
      </c>
      <c r="K29">
        <f>COUNTIF($J$2:J29,1)</f>
        <v>4</v>
      </c>
      <c r="N29">
        <v>16</v>
      </c>
      <c r="O29" t="s">
        <v>31</v>
      </c>
      <c r="P29" t="s">
        <v>34</v>
      </c>
      <c r="Q29" t="s">
        <v>35</v>
      </c>
      <c r="R29" t="s">
        <v>36</v>
      </c>
      <c r="S29" t="s">
        <v>37</v>
      </c>
      <c r="T29" t="s">
        <v>38</v>
      </c>
      <c r="U29" t="s">
        <v>20</v>
      </c>
      <c r="W29" t="s">
        <v>22</v>
      </c>
    </row>
    <row r="30" spans="1:26" hidden="1" x14ac:dyDescent="0.25">
      <c r="A30">
        <f>COUNTIF($P$2:P30,P30)</f>
        <v>8</v>
      </c>
      <c r="B30">
        <f>COUNTIF($A$2:A30,1)</f>
        <v>3</v>
      </c>
      <c r="C30" t="str">
        <f t="shared" si="0"/>
        <v>BIVS</v>
      </c>
      <c r="D30" t="str">
        <f t="shared" si="1"/>
        <v>BIVSParent</v>
      </c>
      <c r="E30">
        <f>COUNTIF($R$2:R30,R30)</f>
        <v>8</v>
      </c>
      <c r="F30">
        <f>COUNTIF($E$2:E30,1)</f>
        <v>3</v>
      </c>
      <c r="G30" t="str">
        <f t="shared" si="2"/>
        <v>bivs.services.bivs</v>
      </c>
      <c r="H30" t="str">
        <f t="shared" si="3"/>
        <v>BIVSbivs.services.bivsParent</v>
      </c>
      <c r="I30" t="str">
        <f t="shared" si="4"/>
        <v/>
      </c>
      <c r="J30">
        <f>IF(I30="",0,COUNTIF($I$2:I30,I30))</f>
        <v>0</v>
      </c>
      <c r="K30">
        <f>COUNTIF($J$2:J30,1)</f>
        <v>4</v>
      </c>
      <c r="N30">
        <v>5</v>
      </c>
      <c r="O30" t="s">
        <v>15</v>
      </c>
      <c r="P30" t="s">
        <v>34</v>
      </c>
      <c r="Q30" t="s">
        <v>35</v>
      </c>
      <c r="R30" t="s">
        <v>36</v>
      </c>
      <c r="S30" t="s">
        <v>37</v>
      </c>
      <c r="T30" t="s">
        <v>38</v>
      </c>
      <c r="U30" t="s">
        <v>20</v>
      </c>
      <c r="W30" t="s">
        <v>21</v>
      </c>
    </row>
    <row r="31" spans="1:26" hidden="1" x14ac:dyDescent="0.25">
      <c r="A31">
        <f>COUNTIF($P$2:P31,P31)</f>
        <v>9</v>
      </c>
      <c r="B31">
        <f>COUNTIF($A$2:A31,1)</f>
        <v>3</v>
      </c>
      <c r="C31" t="str">
        <f t="shared" si="0"/>
        <v>BIVS</v>
      </c>
      <c r="D31" t="str">
        <f t="shared" si="1"/>
        <v>BIVSIntegrator</v>
      </c>
      <c r="E31">
        <f>COUNTIF($R$2:R31,R31)</f>
        <v>9</v>
      </c>
      <c r="F31">
        <f>COUNTIF($E$2:E31,1)</f>
        <v>3</v>
      </c>
      <c r="G31" t="str">
        <f t="shared" si="2"/>
        <v>bivs.services.bivs</v>
      </c>
      <c r="H31" t="str">
        <f t="shared" si="3"/>
        <v>BIVSbivs.services.bivsIntegrator</v>
      </c>
      <c r="I31" t="str">
        <f t="shared" si="4"/>
        <v/>
      </c>
      <c r="J31">
        <f>IF(I31="",0,COUNTIF($I$2:I31,I31))</f>
        <v>0</v>
      </c>
      <c r="K31">
        <f>COUNTIF($J$2:J31,1)</f>
        <v>4</v>
      </c>
      <c r="N31">
        <v>5</v>
      </c>
      <c r="O31" t="s">
        <v>23</v>
      </c>
      <c r="P31" t="s">
        <v>34</v>
      </c>
      <c r="Q31" t="s">
        <v>35</v>
      </c>
      <c r="R31" t="s">
        <v>36</v>
      </c>
      <c r="S31" t="s">
        <v>37</v>
      </c>
      <c r="T31" t="s">
        <v>38</v>
      </c>
      <c r="U31" t="s">
        <v>20</v>
      </c>
      <c r="W31" t="s">
        <v>21</v>
      </c>
    </row>
    <row r="32" spans="1:26" hidden="1" x14ac:dyDescent="0.25">
      <c r="A32">
        <f>COUNTIF($P$2:P32,P32)</f>
        <v>1</v>
      </c>
      <c r="B32">
        <f>COUNTIF($A$2:A32,1)</f>
        <v>4</v>
      </c>
      <c r="C32" t="str">
        <f t="shared" si="0"/>
        <v>BMS</v>
      </c>
      <c r="D32" t="str">
        <f t="shared" si="1"/>
        <v>BMSParent</v>
      </c>
      <c r="E32">
        <f>COUNTIF($R$2:R32,R32)</f>
        <v>1</v>
      </c>
      <c r="F32">
        <f>COUNTIF($E$2:E32,1)</f>
        <v>4</v>
      </c>
      <c r="G32" t="str">
        <f t="shared" si="2"/>
        <v>bms.services.bms</v>
      </c>
      <c r="H32" t="str">
        <f t="shared" si="3"/>
        <v>BMSbms.services.bmsParent</v>
      </c>
      <c r="I32" t="str">
        <f t="shared" si="4"/>
        <v/>
      </c>
      <c r="J32">
        <f>IF(I32="",0,COUNTIF($I$2:I32,I32))</f>
        <v>0</v>
      </c>
      <c r="K32">
        <f>COUNTIF($J$2:J32,1)</f>
        <v>4</v>
      </c>
      <c r="N32">
        <v>95</v>
      </c>
      <c r="O32" t="s">
        <v>15</v>
      </c>
      <c r="P32" t="s">
        <v>40</v>
      </c>
      <c r="Q32" t="s">
        <v>41</v>
      </c>
      <c r="R32" t="s">
        <v>42</v>
      </c>
      <c r="S32" t="s">
        <v>43</v>
      </c>
      <c r="T32" t="s">
        <v>44</v>
      </c>
      <c r="U32" t="s">
        <v>20</v>
      </c>
      <c r="W32" t="s">
        <v>22</v>
      </c>
    </row>
    <row r="33" spans="1:26" hidden="1" x14ac:dyDescent="0.25">
      <c r="A33">
        <f>COUNTIF($P$2:P33,P33)</f>
        <v>2</v>
      </c>
      <c r="B33">
        <f>COUNTIF($A$2:A33,1)</f>
        <v>4</v>
      </c>
      <c r="C33" t="str">
        <f t="shared" si="0"/>
        <v>BMS</v>
      </c>
      <c r="D33" t="str">
        <f t="shared" si="1"/>
        <v>BMSDevice</v>
      </c>
      <c r="E33">
        <f>COUNTIF($R$2:R33,R33)</f>
        <v>2</v>
      </c>
      <c r="F33">
        <f>COUNTIF($E$2:E33,1)</f>
        <v>4</v>
      </c>
      <c r="G33" t="str">
        <f t="shared" si="2"/>
        <v>bms.services.bms</v>
      </c>
      <c r="H33" t="str">
        <f t="shared" si="3"/>
        <v>BMSbms.services.bmsDevice</v>
      </c>
      <c r="I33" t="str">
        <f t="shared" si="4"/>
        <v/>
      </c>
      <c r="J33">
        <f>IF(I33="",0,COUNTIF($I$2:I33,I33))</f>
        <v>0</v>
      </c>
      <c r="K33">
        <f>COUNTIF($J$2:J33,1)</f>
        <v>4</v>
      </c>
      <c r="N33">
        <v>8</v>
      </c>
      <c r="O33" t="s">
        <v>31</v>
      </c>
      <c r="P33" t="s">
        <v>40</v>
      </c>
      <c r="Q33" t="s">
        <v>41</v>
      </c>
      <c r="R33" t="s">
        <v>42</v>
      </c>
      <c r="S33" t="s">
        <v>43</v>
      </c>
      <c r="T33" t="s">
        <v>44</v>
      </c>
      <c r="U33" t="s">
        <v>20</v>
      </c>
      <c r="W33" t="s">
        <v>22</v>
      </c>
    </row>
    <row r="34" spans="1:26" hidden="1" x14ac:dyDescent="0.25">
      <c r="A34">
        <f>COUNTIF($P$2:P34,P34)</f>
        <v>3</v>
      </c>
      <c r="B34">
        <f>COUNTIF($A$2:A34,1)</f>
        <v>4</v>
      </c>
      <c r="C34" t="str">
        <f t="shared" si="0"/>
        <v>BMS</v>
      </c>
      <c r="D34" t="str">
        <f t="shared" si="1"/>
        <v>BMSIntegrator</v>
      </c>
      <c r="E34">
        <f>COUNTIF($R$2:R34,R34)</f>
        <v>3</v>
      </c>
      <c r="F34">
        <f>COUNTIF($E$2:E34,1)</f>
        <v>4</v>
      </c>
      <c r="G34" t="str">
        <f t="shared" si="2"/>
        <v>bms.services.bms</v>
      </c>
      <c r="H34" t="str">
        <f t="shared" si="3"/>
        <v>BMSbms.services.bmsIntegrator</v>
      </c>
      <c r="I34" t="str">
        <f t="shared" si="4"/>
        <v/>
      </c>
      <c r="J34">
        <f>IF(I34="",0,COUNTIF($I$2:I34,I34))</f>
        <v>0</v>
      </c>
      <c r="K34">
        <f>COUNTIF($J$2:J34,1)</f>
        <v>4</v>
      </c>
      <c r="N34">
        <v>96</v>
      </c>
      <c r="O34" t="s">
        <v>23</v>
      </c>
      <c r="P34" t="s">
        <v>40</v>
      </c>
      <c r="Q34" t="s">
        <v>41</v>
      </c>
      <c r="R34" t="s">
        <v>42</v>
      </c>
      <c r="S34" t="s">
        <v>43</v>
      </c>
      <c r="T34" t="s">
        <v>44</v>
      </c>
      <c r="U34" t="s">
        <v>20</v>
      </c>
      <c r="W34" t="s">
        <v>22</v>
      </c>
    </row>
    <row r="35" spans="1:26" hidden="1" x14ac:dyDescent="0.25">
      <c r="A35">
        <f>COUNTIF($P$2:P35,P35)</f>
        <v>4</v>
      </c>
      <c r="B35">
        <f>COUNTIF($A$2:A35,1)</f>
        <v>4</v>
      </c>
      <c r="C35" t="str">
        <f t="shared" si="0"/>
        <v>BMS</v>
      </c>
      <c r="D35" t="str">
        <f t="shared" si="1"/>
        <v>BMSDevice</v>
      </c>
      <c r="E35">
        <f>COUNTIF($R$2:R35,R35)</f>
        <v>4</v>
      </c>
      <c r="F35">
        <f>COUNTIF($E$2:E35,1)</f>
        <v>4</v>
      </c>
      <c r="G35" t="str">
        <f t="shared" si="2"/>
        <v>bms.services.bms</v>
      </c>
      <c r="H35" t="str">
        <f t="shared" si="3"/>
        <v>BMSbms.services.bmsDevice</v>
      </c>
      <c r="I35" t="str">
        <f t="shared" si="4"/>
        <v/>
      </c>
      <c r="J35">
        <f>IF(I35="",0,COUNTIF($I$2:I35,I35))</f>
        <v>0</v>
      </c>
      <c r="K35">
        <f>COUNTIF($J$2:J35,1)</f>
        <v>4</v>
      </c>
      <c r="N35">
        <v>2</v>
      </c>
      <c r="O35" t="s">
        <v>31</v>
      </c>
      <c r="P35" t="s">
        <v>40</v>
      </c>
      <c r="Q35" t="s">
        <v>41</v>
      </c>
      <c r="R35" t="s">
        <v>42</v>
      </c>
      <c r="S35" t="s">
        <v>43</v>
      </c>
      <c r="T35" t="s">
        <v>44</v>
      </c>
      <c r="U35" t="s">
        <v>20</v>
      </c>
      <c r="W35" t="s">
        <v>22</v>
      </c>
    </row>
    <row r="36" spans="1:26" hidden="1" x14ac:dyDescent="0.25">
      <c r="A36">
        <f>COUNTIF($P$2:P36,P36)</f>
        <v>5</v>
      </c>
      <c r="B36">
        <f>COUNTIF($A$2:A36,1)</f>
        <v>4</v>
      </c>
      <c r="C36" t="str">
        <f t="shared" si="0"/>
        <v>BMS</v>
      </c>
      <c r="D36" t="str">
        <f t="shared" si="1"/>
        <v>BMSParent</v>
      </c>
      <c r="E36">
        <f>COUNTIF($R$2:R36,R36)</f>
        <v>5</v>
      </c>
      <c r="F36">
        <f>COUNTIF($E$2:E36,1)</f>
        <v>4</v>
      </c>
      <c r="G36" t="str">
        <f t="shared" si="2"/>
        <v>bms.services.bms</v>
      </c>
      <c r="H36" t="str">
        <f t="shared" si="3"/>
        <v>BMSbms.services.bmsParent</v>
      </c>
      <c r="I36" t="str">
        <f t="shared" si="4"/>
        <v/>
      </c>
      <c r="J36">
        <f>IF(I36="",0,COUNTIF($I$2:I36,I36))</f>
        <v>0</v>
      </c>
      <c r="K36">
        <f>COUNTIF($J$2:J36,1)</f>
        <v>4</v>
      </c>
      <c r="N36">
        <v>1</v>
      </c>
      <c r="O36" t="s">
        <v>15</v>
      </c>
      <c r="P36" t="s">
        <v>40</v>
      </c>
      <c r="Q36" t="s">
        <v>41</v>
      </c>
      <c r="R36" t="s">
        <v>42</v>
      </c>
      <c r="S36" t="s">
        <v>43</v>
      </c>
      <c r="T36" t="s">
        <v>44</v>
      </c>
      <c r="U36" t="s">
        <v>20</v>
      </c>
      <c r="W36" t="s">
        <v>22</v>
      </c>
    </row>
    <row r="37" spans="1:26" hidden="1" x14ac:dyDescent="0.25">
      <c r="A37">
        <f>COUNTIF($P$2:P37,P37)</f>
        <v>6</v>
      </c>
      <c r="B37">
        <f>COUNTIF($A$2:A37,1)</f>
        <v>4</v>
      </c>
      <c r="C37" t="str">
        <f t="shared" si="0"/>
        <v>BMS</v>
      </c>
      <c r="D37" t="str">
        <f t="shared" si="1"/>
        <v>BMSParent</v>
      </c>
      <c r="E37">
        <f>COUNTIF($R$2:R37,R37)</f>
        <v>6</v>
      </c>
      <c r="F37">
        <f>COUNTIF($E$2:E37,1)</f>
        <v>4</v>
      </c>
      <c r="G37" t="str">
        <f t="shared" si="2"/>
        <v>bms.services.bms</v>
      </c>
      <c r="H37" t="str">
        <f t="shared" si="3"/>
        <v>BMSbms.services.bmsParent</v>
      </c>
      <c r="I37" t="str">
        <f t="shared" si="4"/>
        <v/>
      </c>
      <c r="J37">
        <f>IF(I37="",0,COUNTIF($I$2:I37,I37))</f>
        <v>0</v>
      </c>
      <c r="K37">
        <f>COUNTIF($J$2:J37,1)</f>
        <v>4</v>
      </c>
      <c r="N37">
        <v>99</v>
      </c>
      <c r="O37" t="s">
        <v>15</v>
      </c>
      <c r="P37" t="s">
        <v>40</v>
      </c>
      <c r="Q37" t="s">
        <v>41</v>
      </c>
      <c r="R37" t="s">
        <v>42</v>
      </c>
      <c r="S37" t="s">
        <v>43</v>
      </c>
      <c r="T37" t="s">
        <v>44</v>
      </c>
      <c r="U37" t="s">
        <v>20</v>
      </c>
      <c r="W37" t="s">
        <v>21</v>
      </c>
    </row>
    <row r="38" spans="1:26" hidden="1" x14ac:dyDescent="0.25">
      <c r="A38">
        <f>COUNTIF($P$2:P38,P38)</f>
        <v>7</v>
      </c>
      <c r="B38">
        <f>COUNTIF($A$2:A38,1)</f>
        <v>4</v>
      </c>
      <c r="C38" t="str">
        <f t="shared" si="0"/>
        <v>BMS</v>
      </c>
      <c r="D38" t="str">
        <f t="shared" si="1"/>
        <v>BMSDevice</v>
      </c>
      <c r="E38">
        <f>COUNTIF($R$2:R38,R38)</f>
        <v>7</v>
      </c>
      <c r="F38">
        <f>COUNTIF($E$2:E38,1)</f>
        <v>4</v>
      </c>
      <c r="G38" t="str">
        <f t="shared" si="2"/>
        <v>bms.services.bms</v>
      </c>
      <c r="H38" t="str">
        <f t="shared" si="3"/>
        <v>BMSbms.services.bmsDevice</v>
      </c>
      <c r="I38" t="str">
        <f t="shared" si="4"/>
        <v/>
      </c>
      <c r="J38">
        <f>IF(I38="",0,COUNTIF($I$2:I38,I38))</f>
        <v>0</v>
      </c>
      <c r="K38">
        <f>COUNTIF($J$2:J38,1)</f>
        <v>4</v>
      </c>
      <c r="N38">
        <v>8</v>
      </c>
      <c r="O38" t="s">
        <v>31</v>
      </c>
      <c r="P38" t="s">
        <v>40</v>
      </c>
      <c r="Q38" t="s">
        <v>41</v>
      </c>
      <c r="R38" t="s">
        <v>42</v>
      </c>
      <c r="S38" t="s">
        <v>43</v>
      </c>
      <c r="T38" t="s">
        <v>44</v>
      </c>
      <c r="U38" t="s">
        <v>20</v>
      </c>
      <c r="W38" t="s">
        <v>21</v>
      </c>
    </row>
    <row r="39" spans="1:26" hidden="1" x14ac:dyDescent="0.25">
      <c r="A39">
        <f>COUNTIF($P$2:P39,P39)</f>
        <v>8</v>
      </c>
      <c r="B39">
        <f>COUNTIF($A$2:A39,1)</f>
        <v>4</v>
      </c>
      <c r="C39" t="str">
        <f t="shared" si="0"/>
        <v>BMS</v>
      </c>
      <c r="D39" t="str">
        <f t="shared" si="1"/>
        <v>BMSIntegrator</v>
      </c>
      <c r="E39">
        <f>COUNTIF($R$2:R39,R39)</f>
        <v>8</v>
      </c>
      <c r="F39">
        <f>COUNTIF($E$2:E39,1)</f>
        <v>4</v>
      </c>
      <c r="G39" t="str">
        <f t="shared" si="2"/>
        <v>bms.services.bms</v>
      </c>
      <c r="H39" t="str">
        <f t="shared" si="3"/>
        <v>BMSbms.services.bmsIntegrator</v>
      </c>
      <c r="I39" t="str">
        <f t="shared" si="4"/>
        <v/>
      </c>
      <c r="J39">
        <f>IF(I39="",0,COUNTIF($I$2:I39,I39))</f>
        <v>0</v>
      </c>
      <c r="K39">
        <f>COUNTIF($J$2:J39,1)</f>
        <v>4</v>
      </c>
      <c r="N39">
        <v>99</v>
      </c>
      <c r="O39" t="s">
        <v>23</v>
      </c>
      <c r="P39" t="s">
        <v>40</v>
      </c>
      <c r="Q39" t="s">
        <v>41</v>
      </c>
      <c r="R39" t="s">
        <v>42</v>
      </c>
      <c r="S39" t="s">
        <v>43</v>
      </c>
      <c r="T39" t="s">
        <v>44</v>
      </c>
      <c r="U39" t="s">
        <v>20</v>
      </c>
      <c r="W39" t="s">
        <v>21</v>
      </c>
    </row>
    <row r="40" spans="1:26" hidden="1" x14ac:dyDescent="0.25">
      <c r="A40">
        <f>COUNTIF($P$2:P40,P40)</f>
        <v>9</v>
      </c>
      <c r="B40">
        <f>COUNTIF($A$2:A40,1)</f>
        <v>4</v>
      </c>
      <c r="C40" t="str">
        <f t="shared" si="0"/>
        <v>BMS</v>
      </c>
      <c r="D40" t="str">
        <f t="shared" si="1"/>
        <v>BMSDevice</v>
      </c>
      <c r="E40">
        <f>COUNTIF($R$2:R40,R40)</f>
        <v>9</v>
      </c>
      <c r="F40">
        <f>COUNTIF($E$2:E40,1)</f>
        <v>4</v>
      </c>
      <c r="G40" t="str">
        <f t="shared" si="2"/>
        <v>bms.services.bms</v>
      </c>
      <c r="H40" t="str">
        <f t="shared" si="3"/>
        <v>BMSbms.services.bmsDevice</v>
      </c>
      <c r="I40" t="str">
        <f t="shared" si="4"/>
        <v/>
      </c>
      <c r="J40">
        <f>IF(I40="",0,COUNTIF($I$2:I40,I40))</f>
        <v>0</v>
      </c>
      <c r="K40">
        <f>COUNTIF($J$2:J40,1)</f>
        <v>4</v>
      </c>
      <c r="N40">
        <v>2</v>
      </c>
      <c r="O40" t="s">
        <v>31</v>
      </c>
      <c r="P40" t="s">
        <v>40</v>
      </c>
      <c r="Q40" t="s">
        <v>41</v>
      </c>
      <c r="R40" t="s">
        <v>42</v>
      </c>
      <c r="S40" t="s">
        <v>43</v>
      </c>
      <c r="T40" t="s">
        <v>44</v>
      </c>
      <c r="U40" t="s">
        <v>20</v>
      </c>
      <c r="W40" t="s">
        <v>21</v>
      </c>
    </row>
    <row r="41" spans="1:26" hidden="1" x14ac:dyDescent="0.25">
      <c r="A41">
        <f>COUNTIF($P$2:P41,P41)</f>
        <v>10</v>
      </c>
      <c r="B41">
        <f>COUNTIF($A$2:A41,1)</f>
        <v>4</v>
      </c>
      <c r="C41" t="str">
        <f t="shared" si="0"/>
        <v>BMS</v>
      </c>
      <c r="D41" t="str">
        <f t="shared" si="1"/>
        <v>BMSParent</v>
      </c>
      <c r="E41">
        <f>COUNTIF($R$2:R41,R41)</f>
        <v>10</v>
      </c>
      <c r="F41">
        <f>COUNTIF($E$2:E41,1)</f>
        <v>4</v>
      </c>
      <c r="G41" t="str">
        <f t="shared" si="2"/>
        <v>bms.services.bms</v>
      </c>
      <c r="H41" t="str">
        <f t="shared" si="3"/>
        <v>BMSbms.services.bmsParent</v>
      </c>
      <c r="I41" t="str">
        <f t="shared" si="4"/>
        <v/>
      </c>
      <c r="J41">
        <f>IF(I41="",0,COUNTIF($I$2:I41,I41))</f>
        <v>0</v>
      </c>
      <c r="K41">
        <f>COUNTIF($J$2:J41,1)</f>
        <v>4</v>
      </c>
      <c r="N41">
        <v>1</v>
      </c>
      <c r="O41" t="s">
        <v>15</v>
      </c>
      <c r="P41" t="s">
        <v>40</v>
      </c>
      <c r="Q41" t="s">
        <v>41</v>
      </c>
      <c r="R41" t="s">
        <v>42</v>
      </c>
      <c r="S41" t="s">
        <v>43</v>
      </c>
      <c r="T41" t="s">
        <v>44</v>
      </c>
      <c r="U41" t="s">
        <v>20</v>
      </c>
      <c r="W41" t="s">
        <v>21</v>
      </c>
    </row>
    <row r="42" spans="1:26" hidden="1" x14ac:dyDescent="0.25">
      <c r="A42">
        <f>COUNTIF($P$2:P42,P42)</f>
        <v>1</v>
      </c>
      <c r="B42">
        <f>COUNTIF($A$2:A42,1)</f>
        <v>5</v>
      </c>
      <c r="C42" t="str">
        <f t="shared" si="0"/>
        <v>BPS</v>
      </c>
      <c r="D42" t="str">
        <f t="shared" si="1"/>
        <v>BPSParent</v>
      </c>
      <c r="E42">
        <f>COUNTIF($R$2:R42,R42)</f>
        <v>1</v>
      </c>
      <c r="F42">
        <f>COUNTIF($E$2:E42,1)</f>
        <v>5</v>
      </c>
      <c r="G42" t="str">
        <f t="shared" si="2"/>
        <v>bps.services.rtc</v>
      </c>
      <c r="H42" t="str">
        <f t="shared" si="3"/>
        <v>BPSbps.services.rtcParent</v>
      </c>
      <c r="I42" t="str">
        <f t="shared" si="4"/>
        <v>BPSbps.services.rtcbps.ed.ws.gc</v>
      </c>
      <c r="J42">
        <f>IF(I42="",0,COUNTIF($I$2:I42,I42))</f>
        <v>1</v>
      </c>
      <c r="K42">
        <f>COUNTIF($J$2:J42,1)</f>
        <v>5</v>
      </c>
      <c r="N42">
        <v>1</v>
      </c>
      <c r="O42" t="s">
        <v>15</v>
      </c>
      <c r="P42" t="s">
        <v>45</v>
      </c>
      <c r="Q42" t="s">
        <v>46</v>
      </c>
      <c r="R42" t="s">
        <v>47</v>
      </c>
      <c r="S42" t="s">
        <v>48</v>
      </c>
      <c r="T42" t="s">
        <v>49</v>
      </c>
      <c r="U42" t="s">
        <v>50</v>
      </c>
      <c r="V42" t="s">
        <v>51</v>
      </c>
      <c r="W42" t="s">
        <v>21</v>
      </c>
      <c r="X42" t="s">
        <v>21</v>
      </c>
      <c r="Y42" t="s">
        <v>52</v>
      </c>
      <c r="Z42">
        <v>3972</v>
      </c>
    </row>
    <row r="43" spans="1:26" hidden="1" x14ac:dyDescent="0.25">
      <c r="A43">
        <f>COUNTIF($P$2:P43,P43)</f>
        <v>2</v>
      </c>
      <c r="B43">
        <f>COUNTIF($A$2:A43,1)</f>
        <v>5</v>
      </c>
      <c r="C43" t="str">
        <f t="shared" si="0"/>
        <v>BPS</v>
      </c>
      <c r="D43" t="str">
        <f t="shared" si="1"/>
        <v>BPSIntegrator</v>
      </c>
      <c r="E43">
        <f>COUNTIF($R$2:R43,R43)</f>
        <v>2</v>
      </c>
      <c r="F43">
        <f>COUNTIF($E$2:E43,1)</f>
        <v>5</v>
      </c>
      <c r="G43" t="str">
        <f t="shared" si="2"/>
        <v>bps.services.rtc</v>
      </c>
      <c r="H43" t="str">
        <f t="shared" si="3"/>
        <v>BPSbps.services.rtcIntegrator</v>
      </c>
      <c r="I43" t="str">
        <f t="shared" si="4"/>
        <v>BPSbps.services.rtcbps.ed.ws.gc</v>
      </c>
      <c r="J43">
        <f>IF(I43="",0,COUNTIF($I$2:I43,I43))</f>
        <v>2</v>
      </c>
      <c r="K43">
        <f>COUNTIF($J$2:J43,1)</f>
        <v>5</v>
      </c>
      <c r="N43">
        <v>2</v>
      </c>
      <c r="O43" t="s">
        <v>23</v>
      </c>
      <c r="P43" t="s">
        <v>45</v>
      </c>
      <c r="Q43" t="s">
        <v>46</v>
      </c>
      <c r="R43" t="s">
        <v>47</v>
      </c>
      <c r="S43" t="s">
        <v>48</v>
      </c>
      <c r="T43" t="s">
        <v>49</v>
      </c>
      <c r="U43" t="s">
        <v>50</v>
      </c>
      <c r="V43" t="s">
        <v>51</v>
      </c>
      <c r="W43" t="s">
        <v>21</v>
      </c>
      <c r="X43" t="s">
        <v>21</v>
      </c>
      <c r="Y43" t="s">
        <v>52</v>
      </c>
      <c r="Z43">
        <v>3972</v>
      </c>
    </row>
    <row r="44" spans="1:26" hidden="1" x14ac:dyDescent="0.25">
      <c r="A44">
        <f>COUNTIF($P$2:P44,P44)</f>
        <v>3</v>
      </c>
      <c r="B44">
        <f>COUNTIF($A$2:A44,1)</f>
        <v>5</v>
      </c>
      <c r="C44" t="str">
        <f t="shared" si="0"/>
        <v>BPS</v>
      </c>
      <c r="D44" t="str">
        <f t="shared" si="1"/>
        <v>BPSParent</v>
      </c>
      <c r="E44">
        <f>COUNTIF($R$2:R44,R44)</f>
        <v>3</v>
      </c>
      <c r="F44">
        <f>COUNTIF($E$2:E44,1)</f>
        <v>5</v>
      </c>
      <c r="G44" t="str">
        <f t="shared" si="2"/>
        <v>bps.services.rtc</v>
      </c>
      <c r="H44" t="str">
        <f t="shared" si="3"/>
        <v>BPSbps.services.rtcParent</v>
      </c>
      <c r="I44" t="str">
        <f t="shared" si="4"/>
        <v>BPSbps.services.rtcbps.ed.ws.pwd</v>
      </c>
      <c r="J44">
        <f>IF(I44="",0,COUNTIF($I$2:I44,I44))</f>
        <v>1</v>
      </c>
      <c r="K44">
        <f>COUNTIF($J$2:J44,1)</f>
        <v>6</v>
      </c>
      <c r="N44">
        <v>1</v>
      </c>
      <c r="O44" t="s">
        <v>15</v>
      </c>
      <c r="P44" t="s">
        <v>45</v>
      </c>
      <c r="Q44" t="s">
        <v>46</v>
      </c>
      <c r="R44" t="s">
        <v>47</v>
      </c>
      <c r="S44" t="s">
        <v>48</v>
      </c>
      <c r="T44" t="s">
        <v>49</v>
      </c>
      <c r="U44" t="s">
        <v>50</v>
      </c>
      <c r="V44" t="s">
        <v>53</v>
      </c>
      <c r="W44" t="s">
        <v>21</v>
      </c>
      <c r="X44" t="s">
        <v>21</v>
      </c>
      <c r="Y44" t="s">
        <v>54</v>
      </c>
      <c r="Z44">
        <v>3971</v>
      </c>
    </row>
    <row r="45" spans="1:26" hidden="1" x14ac:dyDescent="0.25">
      <c r="A45">
        <f>COUNTIF($P$2:P45,P45)</f>
        <v>4</v>
      </c>
      <c r="B45">
        <f>COUNTIF($A$2:A45,1)</f>
        <v>5</v>
      </c>
      <c r="C45" t="str">
        <f t="shared" si="0"/>
        <v>BPS</v>
      </c>
      <c r="D45" t="str">
        <f t="shared" si="1"/>
        <v>BPSIntegrator</v>
      </c>
      <c r="E45">
        <f>COUNTIF($R$2:R45,R45)</f>
        <v>4</v>
      </c>
      <c r="F45">
        <f>COUNTIF($E$2:E45,1)</f>
        <v>5</v>
      </c>
      <c r="G45" t="str">
        <f t="shared" si="2"/>
        <v>bps.services.rtc</v>
      </c>
      <c r="H45" t="str">
        <f t="shared" si="3"/>
        <v>BPSbps.services.rtcIntegrator</v>
      </c>
      <c r="I45" t="str">
        <f t="shared" si="4"/>
        <v>BPSbps.services.rtcbps.ed.ws.pwd</v>
      </c>
      <c r="J45">
        <f>IF(I45="",0,COUNTIF($I$2:I45,I45))</f>
        <v>2</v>
      </c>
      <c r="K45">
        <f>COUNTIF($J$2:J45,1)</f>
        <v>6</v>
      </c>
      <c r="N45">
        <v>2</v>
      </c>
      <c r="O45" t="s">
        <v>23</v>
      </c>
      <c r="P45" t="s">
        <v>45</v>
      </c>
      <c r="Q45" t="s">
        <v>46</v>
      </c>
      <c r="R45" t="s">
        <v>47</v>
      </c>
      <c r="S45" t="s">
        <v>48</v>
      </c>
      <c r="T45" t="s">
        <v>49</v>
      </c>
      <c r="U45" t="s">
        <v>50</v>
      </c>
      <c r="V45" t="s">
        <v>53</v>
      </c>
      <c r="W45" t="s">
        <v>21</v>
      </c>
      <c r="X45" t="s">
        <v>21</v>
      </c>
      <c r="Y45" t="s">
        <v>54</v>
      </c>
      <c r="Z45">
        <v>3971</v>
      </c>
    </row>
    <row r="46" spans="1:26" hidden="1" x14ac:dyDescent="0.25">
      <c r="A46">
        <f>COUNTIF($P$2:P46,P46)</f>
        <v>5</v>
      </c>
      <c r="B46">
        <f>COUNTIF($A$2:A46,1)</f>
        <v>5</v>
      </c>
      <c r="C46" t="str">
        <f t="shared" si="0"/>
        <v>BPS</v>
      </c>
      <c r="D46" t="str">
        <f t="shared" si="1"/>
        <v>BPSParent</v>
      </c>
      <c r="E46">
        <f>COUNTIF($R$2:R46,R46)</f>
        <v>5</v>
      </c>
      <c r="F46">
        <f>COUNTIF($E$2:E46,1)</f>
        <v>5</v>
      </c>
      <c r="G46" t="str">
        <f t="shared" si="2"/>
        <v>bps.services.rtc</v>
      </c>
      <c r="H46" t="str">
        <f t="shared" si="3"/>
        <v>BPSbps.services.rtcParent</v>
      </c>
      <c r="I46" t="str">
        <f t="shared" si="4"/>
        <v>BPSbps.services.rtcbps.ed.ws.usr</v>
      </c>
      <c r="J46">
        <f>IF(I46="",0,COUNTIF($I$2:I46,I46))</f>
        <v>1</v>
      </c>
      <c r="K46">
        <f>COUNTIF($J$2:J46,1)</f>
        <v>7</v>
      </c>
      <c r="N46">
        <v>1</v>
      </c>
      <c r="O46" t="s">
        <v>15</v>
      </c>
      <c r="P46" t="s">
        <v>45</v>
      </c>
      <c r="Q46" t="s">
        <v>46</v>
      </c>
      <c r="R46" t="s">
        <v>47</v>
      </c>
      <c r="S46" t="s">
        <v>48</v>
      </c>
      <c r="T46" t="s">
        <v>49</v>
      </c>
      <c r="U46" t="s">
        <v>50</v>
      </c>
      <c r="V46" t="s">
        <v>55</v>
      </c>
      <c r="W46" t="s">
        <v>21</v>
      </c>
      <c r="X46" t="s">
        <v>21</v>
      </c>
      <c r="Y46" t="s">
        <v>56</v>
      </c>
      <c r="Z46">
        <v>3970</v>
      </c>
    </row>
    <row r="47" spans="1:26" hidden="1" x14ac:dyDescent="0.25">
      <c r="A47">
        <f>COUNTIF($P$2:P47,P47)</f>
        <v>6</v>
      </c>
      <c r="B47">
        <f>COUNTIF($A$2:A47,1)</f>
        <v>5</v>
      </c>
      <c r="C47" t="str">
        <f t="shared" si="0"/>
        <v>BPS</v>
      </c>
      <c r="D47" t="str">
        <f t="shared" si="1"/>
        <v>BPSIntegrator</v>
      </c>
      <c r="E47">
        <f>COUNTIF($R$2:R47,R47)</f>
        <v>6</v>
      </c>
      <c r="F47">
        <f>COUNTIF($E$2:E47,1)</f>
        <v>5</v>
      </c>
      <c r="G47" t="str">
        <f t="shared" si="2"/>
        <v>bps.services.rtc</v>
      </c>
      <c r="H47" t="str">
        <f t="shared" si="3"/>
        <v>BPSbps.services.rtcIntegrator</v>
      </c>
      <c r="I47" t="str">
        <f t="shared" si="4"/>
        <v>BPSbps.services.rtcbps.ed.ws.usr</v>
      </c>
      <c r="J47">
        <f>IF(I47="",0,COUNTIF($I$2:I47,I47))</f>
        <v>2</v>
      </c>
      <c r="K47">
        <f>COUNTIF($J$2:J47,1)</f>
        <v>7</v>
      </c>
      <c r="N47">
        <v>2</v>
      </c>
      <c r="O47" t="s">
        <v>23</v>
      </c>
      <c r="P47" t="s">
        <v>45</v>
      </c>
      <c r="Q47" t="s">
        <v>46</v>
      </c>
      <c r="R47" t="s">
        <v>47</v>
      </c>
      <c r="S47" t="s">
        <v>48</v>
      </c>
      <c r="T47" t="s">
        <v>49</v>
      </c>
      <c r="U47" t="s">
        <v>50</v>
      </c>
      <c r="V47" t="s">
        <v>55</v>
      </c>
      <c r="W47" t="s">
        <v>21</v>
      </c>
      <c r="X47" t="s">
        <v>21</v>
      </c>
      <c r="Y47" t="s">
        <v>56</v>
      </c>
      <c r="Z47">
        <v>3970</v>
      </c>
    </row>
    <row r="48" spans="1:26" hidden="1" x14ac:dyDescent="0.25">
      <c r="A48">
        <f>COUNTIF($P$2:P48,P48)</f>
        <v>7</v>
      </c>
      <c r="B48">
        <f>COUNTIF($A$2:A48,1)</f>
        <v>5</v>
      </c>
      <c r="C48" t="str">
        <f t="shared" si="0"/>
        <v>BPS</v>
      </c>
      <c r="D48" t="str">
        <f t="shared" si="1"/>
        <v>BPSParent</v>
      </c>
      <c r="E48">
        <f>COUNTIF($R$2:R48,R48)</f>
        <v>7</v>
      </c>
      <c r="F48">
        <f>COUNTIF($E$2:E48,1)</f>
        <v>5</v>
      </c>
      <c r="G48" t="str">
        <f t="shared" si="2"/>
        <v>bps.services.rtc</v>
      </c>
      <c r="H48" t="str">
        <f t="shared" si="3"/>
        <v>BPSbps.services.rtcParent</v>
      </c>
      <c r="I48" t="str">
        <f t="shared" si="4"/>
        <v>BPSbps.services.rtcbps.entity.reference</v>
      </c>
      <c r="J48">
        <f>IF(I48="",0,COUNTIF($I$2:I48,I48))</f>
        <v>1</v>
      </c>
      <c r="K48">
        <f>COUNTIF($J$2:J48,1)</f>
        <v>8</v>
      </c>
      <c r="N48">
        <v>1</v>
      </c>
      <c r="O48" t="s">
        <v>15</v>
      </c>
      <c r="P48" t="s">
        <v>45</v>
      </c>
      <c r="Q48" t="s">
        <v>46</v>
      </c>
      <c r="R48" t="s">
        <v>47</v>
      </c>
      <c r="S48" t="s">
        <v>48</v>
      </c>
      <c r="T48" t="s">
        <v>49</v>
      </c>
      <c r="U48" t="s">
        <v>50</v>
      </c>
      <c r="V48" t="s">
        <v>57</v>
      </c>
      <c r="W48" t="s">
        <v>21</v>
      </c>
      <c r="X48" t="s">
        <v>21</v>
      </c>
      <c r="Y48" t="s">
        <v>58</v>
      </c>
      <c r="Z48">
        <v>3969</v>
      </c>
    </row>
    <row r="49" spans="1:26" hidden="1" x14ac:dyDescent="0.25">
      <c r="A49">
        <f>COUNTIF($P$2:P49,P49)</f>
        <v>8</v>
      </c>
      <c r="B49">
        <f>COUNTIF($A$2:A49,1)</f>
        <v>5</v>
      </c>
      <c r="C49" t="str">
        <f t="shared" si="0"/>
        <v>BPS</v>
      </c>
      <c r="D49" t="str">
        <f t="shared" si="1"/>
        <v>BPSIntegrator</v>
      </c>
      <c r="E49">
        <f>COUNTIF($R$2:R49,R49)</f>
        <v>8</v>
      </c>
      <c r="F49">
        <f>COUNTIF($E$2:E49,1)</f>
        <v>5</v>
      </c>
      <c r="G49" t="str">
        <f t="shared" si="2"/>
        <v>bps.services.rtc</v>
      </c>
      <c r="H49" t="str">
        <f t="shared" si="3"/>
        <v>BPSbps.services.rtcIntegrator</v>
      </c>
      <c r="I49" t="str">
        <f t="shared" si="4"/>
        <v>BPSbps.services.rtcbps.entity.reference</v>
      </c>
      <c r="J49">
        <f>IF(I49="",0,COUNTIF($I$2:I49,I49))</f>
        <v>2</v>
      </c>
      <c r="K49">
        <f>COUNTIF($J$2:J49,1)</f>
        <v>8</v>
      </c>
      <c r="N49">
        <v>2</v>
      </c>
      <c r="O49" t="s">
        <v>23</v>
      </c>
      <c r="P49" t="s">
        <v>45</v>
      </c>
      <c r="Q49" t="s">
        <v>46</v>
      </c>
      <c r="R49" t="s">
        <v>47</v>
      </c>
      <c r="S49" t="s">
        <v>48</v>
      </c>
      <c r="T49" t="s">
        <v>49</v>
      </c>
      <c r="U49" t="s">
        <v>50</v>
      </c>
      <c r="V49" t="s">
        <v>57</v>
      </c>
      <c r="W49" t="s">
        <v>21</v>
      </c>
      <c r="X49" t="s">
        <v>21</v>
      </c>
      <c r="Y49" t="s">
        <v>58</v>
      </c>
      <c r="Z49">
        <v>3969</v>
      </c>
    </row>
    <row r="50" spans="1:26" hidden="1" x14ac:dyDescent="0.25">
      <c r="A50">
        <f>COUNTIF($P$2:P50,P50)</f>
        <v>9</v>
      </c>
      <c r="B50">
        <f>COUNTIF($A$2:A50,1)</f>
        <v>5</v>
      </c>
      <c r="C50" t="str">
        <f t="shared" si="0"/>
        <v>BPS</v>
      </c>
      <c r="D50" t="str">
        <f t="shared" si="1"/>
        <v>BPSDevice</v>
      </c>
      <c r="E50">
        <f>COUNTIF($R$2:R50,R50)</f>
        <v>9</v>
      </c>
      <c r="F50">
        <f>COUNTIF($E$2:E50,1)</f>
        <v>5</v>
      </c>
      <c r="G50" t="str">
        <f t="shared" si="2"/>
        <v>bps.services.rtc</v>
      </c>
      <c r="H50" t="str">
        <f t="shared" si="3"/>
        <v>BPSbps.services.rtcDevice</v>
      </c>
      <c r="I50" t="str">
        <f t="shared" si="4"/>
        <v/>
      </c>
      <c r="J50">
        <f>IF(I50="",0,COUNTIF($I$2:I50,I50))</f>
        <v>0</v>
      </c>
      <c r="K50">
        <f>COUNTIF($J$2:J50,1)</f>
        <v>8</v>
      </c>
      <c r="N50">
        <v>13</v>
      </c>
      <c r="O50" t="s">
        <v>31</v>
      </c>
      <c r="P50" t="s">
        <v>45</v>
      </c>
      <c r="Q50" t="s">
        <v>46</v>
      </c>
      <c r="R50" t="s">
        <v>47</v>
      </c>
      <c r="S50" t="s">
        <v>48</v>
      </c>
      <c r="T50" t="s">
        <v>49</v>
      </c>
      <c r="U50" t="s">
        <v>50</v>
      </c>
      <c r="W50" t="s">
        <v>21</v>
      </c>
    </row>
    <row r="51" spans="1:26" hidden="1" x14ac:dyDescent="0.25">
      <c r="A51">
        <f>COUNTIF($P$2:P51,P51)</f>
        <v>10</v>
      </c>
      <c r="B51">
        <f>COUNTIF($A$2:A51,1)</f>
        <v>5</v>
      </c>
      <c r="C51" t="str">
        <f t="shared" si="0"/>
        <v>BPS</v>
      </c>
      <c r="D51" t="str">
        <f t="shared" si="1"/>
        <v>BPSParent</v>
      </c>
      <c r="E51">
        <f>COUNTIF($R$2:R51,R51)</f>
        <v>10</v>
      </c>
      <c r="F51">
        <f>COUNTIF($E$2:E51,1)</f>
        <v>5</v>
      </c>
      <c r="G51" t="str">
        <f t="shared" si="2"/>
        <v>bps.services.rtc</v>
      </c>
      <c r="H51" t="str">
        <f t="shared" si="3"/>
        <v>BPSbps.services.rtcParent</v>
      </c>
      <c r="I51" t="str">
        <f t="shared" si="4"/>
        <v/>
      </c>
      <c r="J51">
        <f>IF(I51="",0,COUNTIF($I$2:I51,I51))</f>
        <v>0</v>
      </c>
      <c r="K51">
        <f>COUNTIF($J$2:J51,1)</f>
        <v>8</v>
      </c>
      <c r="N51">
        <v>29</v>
      </c>
      <c r="O51" t="s">
        <v>15</v>
      </c>
      <c r="P51" t="s">
        <v>45</v>
      </c>
      <c r="Q51" t="s">
        <v>46</v>
      </c>
      <c r="R51" t="s">
        <v>47</v>
      </c>
      <c r="S51" t="s">
        <v>48</v>
      </c>
      <c r="T51" t="s">
        <v>49</v>
      </c>
      <c r="U51" t="s">
        <v>50</v>
      </c>
      <c r="W51" t="s">
        <v>21</v>
      </c>
    </row>
    <row r="52" spans="1:26" hidden="1" x14ac:dyDescent="0.25">
      <c r="A52">
        <f>COUNTIF($P$2:P52,P52)</f>
        <v>11</v>
      </c>
      <c r="B52">
        <f>COUNTIF($A$2:A52,1)</f>
        <v>5</v>
      </c>
      <c r="C52" t="str">
        <f t="shared" si="0"/>
        <v>BPS</v>
      </c>
      <c r="D52" t="str">
        <f t="shared" si="1"/>
        <v>BPSParent</v>
      </c>
      <c r="E52">
        <f>COUNTIF($R$2:R52,R52)</f>
        <v>11</v>
      </c>
      <c r="F52">
        <f>COUNTIF($E$2:E52,1)</f>
        <v>5</v>
      </c>
      <c r="G52" t="str">
        <f t="shared" si="2"/>
        <v>bps.services.rtc</v>
      </c>
      <c r="H52" t="str">
        <f t="shared" si="3"/>
        <v>BPSbps.services.rtcParent</v>
      </c>
      <c r="I52" t="str">
        <f t="shared" si="4"/>
        <v/>
      </c>
      <c r="J52">
        <f>IF(I52="",0,COUNTIF($I$2:I52,I52))</f>
        <v>0</v>
      </c>
      <c r="K52">
        <f>COUNTIF($J$2:J52,1)</f>
        <v>8</v>
      </c>
      <c r="N52">
        <v>28</v>
      </c>
      <c r="O52" t="s">
        <v>15</v>
      </c>
      <c r="P52" t="s">
        <v>45</v>
      </c>
      <c r="Q52" t="s">
        <v>46</v>
      </c>
      <c r="R52" t="s">
        <v>47</v>
      </c>
      <c r="S52" t="s">
        <v>48</v>
      </c>
      <c r="T52" t="s">
        <v>49</v>
      </c>
      <c r="U52" t="s">
        <v>50</v>
      </c>
      <c r="W52" t="s">
        <v>22</v>
      </c>
    </row>
    <row r="53" spans="1:26" hidden="1" x14ac:dyDescent="0.25">
      <c r="A53">
        <f>COUNTIF($P$2:P53,P53)</f>
        <v>12</v>
      </c>
      <c r="B53">
        <f>COUNTIF($A$2:A53,1)</f>
        <v>5</v>
      </c>
      <c r="C53" t="str">
        <f t="shared" si="0"/>
        <v>BPS</v>
      </c>
      <c r="D53" t="str">
        <f t="shared" si="1"/>
        <v>BPSIntegrator</v>
      </c>
      <c r="E53">
        <f>COUNTIF($R$2:R53,R53)</f>
        <v>12</v>
      </c>
      <c r="F53">
        <f>COUNTIF($E$2:E53,1)</f>
        <v>5</v>
      </c>
      <c r="G53" t="str">
        <f t="shared" si="2"/>
        <v>bps.services.rtc</v>
      </c>
      <c r="H53" t="str">
        <f t="shared" si="3"/>
        <v>BPSbps.services.rtcIntegrator</v>
      </c>
      <c r="I53" t="str">
        <f t="shared" si="4"/>
        <v/>
      </c>
      <c r="J53">
        <f>IF(I53="",0,COUNTIF($I$2:I53,I53))</f>
        <v>0</v>
      </c>
      <c r="K53">
        <f>COUNTIF($J$2:J53,1)</f>
        <v>8</v>
      </c>
      <c r="N53">
        <v>26</v>
      </c>
      <c r="O53" t="s">
        <v>23</v>
      </c>
      <c r="P53" t="s">
        <v>45</v>
      </c>
      <c r="Q53" t="s">
        <v>46</v>
      </c>
      <c r="R53" t="s">
        <v>47</v>
      </c>
      <c r="S53" t="s">
        <v>48</v>
      </c>
      <c r="T53" t="s">
        <v>49</v>
      </c>
      <c r="U53" t="s">
        <v>50</v>
      </c>
      <c r="W53" t="s">
        <v>21</v>
      </c>
    </row>
    <row r="54" spans="1:26" hidden="1" x14ac:dyDescent="0.25">
      <c r="A54">
        <f>COUNTIF($P$2:P54,P54)</f>
        <v>13</v>
      </c>
      <c r="B54">
        <f>COUNTIF($A$2:A54,1)</f>
        <v>5</v>
      </c>
      <c r="C54" t="str">
        <f t="shared" si="0"/>
        <v>BPS</v>
      </c>
      <c r="D54" t="str">
        <f t="shared" si="1"/>
        <v>BPSDevice</v>
      </c>
      <c r="E54">
        <f>COUNTIF($R$2:R54,R54)</f>
        <v>13</v>
      </c>
      <c r="F54">
        <f>COUNTIF($E$2:E54,1)</f>
        <v>5</v>
      </c>
      <c r="G54" t="str">
        <f t="shared" si="2"/>
        <v>bps.services.rtc</v>
      </c>
      <c r="H54" t="str">
        <f t="shared" si="3"/>
        <v>BPSbps.services.rtcDevice</v>
      </c>
      <c r="I54" t="str">
        <f t="shared" si="4"/>
        <v/>
      </c>
      <c r="J54">
        <f>IF(I54="",0,COUNTIF($I$2:I54,I54))</f>
        <v>0</v>
      </c>
      <c r="K54">
        <f>COUNTIF($J$2:J54,1)</f>
        <v>8</v>
      </c>
      <c r="N54">
        <v>12</v>
      </c>
      <c r="O54" t="s">
        <v>31</v>
      </c>
      <c r="P54" t="s">
        <v>45</v>
      </c>
      <c r="Q54" t="s">
        <v>46</v>
      </c>
      <c r="R54" t="s">
        <v>47</v>
      </c>
      <c r="S54" t="s">
        <v>48</v>
      </c>
      <c r="T54" t="s">
        <v>49</v>
      </c>
      <c r="U54" t="s">
        <v>50</v>
      </c>
      <c r="W54" t="s">
        <v>22</v>
      </c>
    </row>
    <row r="55" spans="1:26" hidden="1" x14ac:dyDescent="0.25">
      <c r="A55">
        <f>COUNTIF($P$2:P55,P55)</f>
        <v>14</v>
      </c>
      <c r="B55">
        <f>COUNTIF($A$2:A55,1)</f>
        <v>5</v>
      </c>
      <c r="C55" t="str">
        <f t="shared" si="0"/>
        <v>BPS</v>
      </c>
      <c r="D55" t="str">
        <f t="shared" si="1"/>
        <v>BPSIntegrator</v>
      </c>
      <c r="E55">
        <f>COUNTIF($R$2:R55,R55)</f>
        <v>14</v>
      </c>
      <c r="F55">
        <f>COUNTIF($E$2:E55,1)</f>
        <v>5</v>
      </c>
      <c r="G55" t="str">
        <f t="shared" si="2"/>
        <v>bps.services.rtc</v>
      </c>
      <c r="H55" t="str">
        <f t="shared" si="3"/>
        <v>BPSbps.services.rtcIntegrator</v>
      </c>
      <c r="I55" t="str">
        <f t="shared" si="4"/>
        <v/>
      </c>
      <c r="J55">
        <f>IF(I55="",0,COUNTIF($I$2:I55,I55))</f>
        <v>0</v>
      </c>
      <c r="K55">
        <f>COUNTIF($J$2:J55,1)</f>
        <v>8</v>
      </c>
      <c r="N55">
        <v>27</v>
      </c>
      <c r="O55" t="s">
        <v>23</v>
      </c>
      <c r="P55" t="s">
        <v>45</v>
      </c>
      <c r="Q55" t="s">
        <v>46</v>
      </c>
      <c r="R55" t="s">
        <v>47</v>
      </c>
      <c r="S55" t="s">
        <v>48</v>
      </c>
      <c r="T55" t="s">
        <v>49</v>
      </c>
      <c r="U55" t="s">
        <v>50</v>
      </c>
      <c r="W55" t="s">
        <v>22</v>
      </c>
    </row>
    <row r="56" spans="1:26" hidden="1" x14ac:dyDescent="0.25">
      <c r="A56">
        <f>COUNTIF($P$2:P56,P56)</f>
        <v>1</v>
      </c>
      <c r="B56">
        <f>COUNTIF($A$2:A56,1)</f>
        <v>6</v>
      </c>
      <c r="C56" t="str">
        <f t="shared" si="0"/>
        <v>BSS</v>
      </c>
      <c r="D56" t="str">
        <f t="shared" si="1"/>
        <v>BSSParent</v>
      </c>
      <c r="E56">
        <f>COUNTIF($R$2:R56,R56)</f>
        <v>1</v>
      </c>
      <c r="F56">
        <f>COUNTIF($E$2:E56,1)</f>
        <v>6</v>
      </c>
      <c r="G56" t="str">
        <f t="shared" si="2"/>
        <v>bss.services.bss</v>
      </c>
      <c r="H56" t="str">
        <f t="shared" si="3"/>
        <v>BSSbss.services.bssParent</v>
      </c>
      <c r="I56" t="str">
        <f t="shared" si="4"/>
        <v>BSSbss.services.bssbss.redirect.url</v>
      </c>
      <c r="J56">
        <f>IF(I56="",0,COUNTIF($I$2:I56,I56))</f>
        <v>1</v>
      </c>
      <c r="K56">
        <f>COUNTIF($J$2:J56,1)</f>
        <v>9</v>
      </c>
      <c r="N56">
        <v>86</v>
      </c>
      <c r="O56" t="s">
        <v>15</v>
      </c>
      <c r="P56" t="s">
        <v>59</v>
      </c>
      <c r="Q56" t="s">
        <v>60</v>
      </c>
      <c r="R56" t="s">
        <v>61</v>
      </c>
      <c r="S56" t="s">
        <v>62</v>
      </c>
      <c r="T56" t="s">
        <v>63</v>
      </c>
      <c r="U56" t="s">
        <v>20</v>
      </c>
      <c r="V56" t="s">
        <v>64</v>
      </c>
      <c r="W56" t="s">
        <v>21</v>
      </c>
      <c r="X56" t="s">
        <v>21</v>
      </c>
      <c r="Y56" t="s">
        <v>65</v>
      </c>
      <c r="Z56">
        <v>5059</v>
      </c>
    </row>
    <row r="57" spans="1:26" hidden="1" x14ac:dyDescent="0.25">
      <c r="A57">
        <f>COUNTIF($P$2:P57,P57)</f>
        <v>2</v>
      </c>
      <c r="B57">
        <f>COUNTIF($A$2:A57,1)</f>
        <v>6</v>
      </c>
      <c r="C57" t="str">
        <f t="shared" si="0"/>
        <v>BSS</v>
      </c>
      <c r="D57" t="str">
        <f t="shared" si="1"/>
        <v>BSSParent</v>
      </c>
      <c r="E57">
        <f>COUNTIF($R$2:R57,R57)</f>
        <v>2</v>
      </c>
      <c r="F57">
        <f>COUNTIF($E$2:E57,1)</f>
        <v>6</v>
      </c>
      <c r="G57" t="str">
        <f t="shared" si="2"/>
        <v>bss.services.bss</v>
      </c>
      <c r="H57" t="str">
        <f t="shared" si="3"/>
        <v>BSSbss.services.bssParent</v>
      </c>
      <c r="I57" t="str">
        <f t="shared" si="4"/>
        <v>BSSbss.services.bssbss.sms.footer</v>
      </c>
      <c r="J57">
        <f>IF(I57="",0,COUNTIF($I$2:I57,I57))</f>
        <v>1</v>
      </c>
      <c r="K57">
        <f>COUNTIF($J$2:J57,1)</f>
        <v>10</v>
      </c>
      <c r="N57">
        <v>86</v>
      </c>
      <c r="O57" t="s">
        <v>15</v>
      </c>
      <c r="P57" t="s">
        <v>59</v>
      </c>
      <c r="Q57" t="s">
        <v>60</v>
      </c>
      <c r="R57" t="s">
        <v>61</v>
      </c>
      <c r="S57" t="s">
        <v>62</v>
      </c>
      <c r="T57" t="s">
        <v>63</v>
      </c>
      <c r="U57" t="s">
        <v>20</v>
      </c>
      <c r="V57" t="s">
        <v>66</v>
      </c>
      <c r="W57" t="s">
        <v>21</v>
      </c>
      <c r="X57" t="s">
        <v>21</v>
      </c>
      <c r="Y57" t="s">
        <v>67</v>
      </c>
      <c r="Z57">
        <v>5058</v>
      </c>
    </row>
    <row r="58" spans="1:26" hidden="1" x14ac:dyDescent="0.25">
      <c r="A58">
        <f>COUNTIF($P$2:P58,P58)</f>
        <v>3</v>
      </c>
      <c r="B58">
        <f>COUNTIF($A$2:A58,1)</f>
        <v>6</v>
      </c>
      <c r="C58" t="str">
        <f t="shared" si="0"/>
        <v>BSS</v>
      </c>
      <c r="D58" t="str">
        <f t="shared" si="1"/>
        <v>BSSParent</v>
      </c>
      <c r="E58">
        <f>COUNTIF($R$2:R58,R58)</f>
        <v>3</v>
      </c>
      <c r="F58">
        <f>COUNTIF($E$2:E58,1)</f>
        <v>6</v>
      </c>
      <c r="G58" t="str">
        <f t="shared" si="2"/>
        <v>bss.services.bss</v>
      </c>
      <c r="H58" t="str">
        <f t="shared" si="3"/>
        <v>BSSbss.services.bssParent</v>
      </c>
      <c r="I58" t="str">
        <f t="shared" si="4"/>
        <v>BSSbss.services.bssbss.sms.header</v>
      </c>
      <c r="J58">
        <f>IF(I58="",0,COUNTIF($I$2:I58,I58))</f>
        <v>1</v>
      </c>
      <c r="K58">
        <f>COUNTIF($J$2:J58,1)</f>
        <v>11</v>
      </c>
      <c r="N58">
        <v>86</v>
      </c>
      <c r="O58" t="s">
        <v>15</v>
      </c>
      <c r="P58" t="s">
        <v>59</v>
      </c>
      <c r="Q58" t="s">
        <v>60</v>
      </c>
      <c r="R58" t="s">
        <v>61</v>
      </c>
      <c r="S58" t="s">
        <v>62</v>
      </c>
      <c r="T58" t="s">
        <v>63</v>
      </c>
      <c r="U58" t="s">
        <v>20</v>
      </c>
      <c r="V58" t="s">
        <v>68</v>
      </c>
      <c r="W58" t="s">
        <v>21</v>
      </c>
      <c r="X58" t="s">
        <v>21</v>
      </c>
      <c r="Y58" t="s">
        <v>69</v>
      </c>
      <c r="Z58">
        <v>5057</v>
      </c>
    </row>
    <row r="59" spans="1:26" hidden="1" x14ac:dyDescent="0.25">
      <c r="A59">
        <f>COUNTIF($P$2:P59,P59)</f>
        <v>4</v>
      </c>
      <c r="B59">
        <f>COUNTIF($A$2:A59,1)</f>
        <v>6</v>
      </c>
      <c r="C59" t="str">
        <f t="shared" si="0"/>
        <v>BSS</v>
      </c>
      <c r="D59" t="str">
        <f t="shared" si="1"/>
        <v>BSSIntegrator</v>
      </c>
      <c r="E59">
        <f>COUNTIF($R$2:R59,R59)</f>
        <v>4</v>
      </c>
      <c r="F59">
        <f>COUNTIF($E$2:E59,1)</f>
        <v>6</v>
      </c>
      <c r="G59" t="str">
        <f t="shared" si="2"/>
        <v>bss.services.bss</v>
      </c>
      <c r="H59" t="str">
        <f t="shared" si="3"/>
        <v>BSSbss.services.bssIntegrator</v>
      </c>
      <c r="I59" t="str">
        <f t="shared" si="4"/>
        <v>BSSbss.services.bssentity.redirect.url</v>
      </c>
      <c r="J59">
        <f>IF(I59="",0,COUNTIF($I$2:I59,I59))</f>
        <v>1</v>
      </c>
      <c r="K59">
        <f>COUNTIF($J$2:J59,1)</f>
        <v>12</v>
      </c>
      <c r="N59">
        <v>1</v>
      </c>
      <c r="O59" t="s">
        <v>23</v>
      </c>
      <c r="P59" t="s">
        <v>59</v>
      </c>
      <c r="Q59" t="s">
        <v>60</v>
      </c>
      <c r="R59" t="s">
        <v>61</v>
      </c>
      <c r="S59" t="s">
        <v>62</v>
      </c>
      <c r="T59" t="s">
        <v>63</v>
      </c>
      <c r="U59" t="s">
        <v>20</v>
      </c>
      <c r="V59" t="s">
        <v>70</v>
      </c>
      <c r="W59" t="s">
        <v>22</v>
      </c>
      <c r="X59" t="s">
        <v>22</v>
      </c>
      <c r="Y59" t="s">
        <v>71</v>
      </c>
      <c r="Z59">
        <v>458</v>
      </c>
    </row>
    <row r="60" spans="1:26" hidden="1" x14ac:dyDescent="0.25">
      <c r="A60">
        <f>COUNTIF($P$2:P60,P60)</f>
        <v>5</v>
      </c>
      <c r="B60">
        <f>COUNTIF($A$2:A60,1)</f>
        <v>6</v>
      </c>
      <c r="C60" t="str">
        <f t="shared" si="0"/>
        <v>BSS</v>
      </c>
      <c r="D60" t="str">
        <f t="shared" si="1"/>
        <v>BSSIntegrator</v>
      </c>
      <c r="E60">
        <f>COUNTIF($R$2:R60,R60)</f>
        <v>5</v>
      </c>
      <c r="F60">
        <f>COUNTIF($E$2:E60,1)</f>
        <v>6</v>
      </c>
      <c r="G60" t="str">
        <f t="shared" si="2"/>
        <v>bss.services.bss</v>
      </c>
      <c r="H60" t="str">
        <f t="shared" si="3"/>
        <v>BSSbss.services.bssIntegrator</v>
      </c>
      <c r="I60" t="str">
        <f t="shared" si="4"/>
        <v>BSSbss.services.bssentity.webhook.url</v>
      </c>
      <c r="J60">
        <f>IF(I60="",0,COUNTIF($I$2:I60,I60))</f>
        <v>1</v>
      </c>
      <c r="K60">
        <f>COUNTIF($J$2:J60,1)</f>
        <v>13</v>
      </c>
      <c r="N60">
        <v>1</v>
      </c>
      <c r="O60" t="s">
        <v>23</v>
      </c>
      <c r="P60" t="s">
        <v>59</v>
      </c>
      <c r="Q60" t="s">
        <v>60</v>
      </c>
      <c r="R60" t="s">
        <v>61</v>
      </c>
      <c r="S60" t="s">
        <v>62</v>
      </c>
      <c r="T60" t="s">
        <v>63</v>
      </c>
      <c r="U60" t="s">
        <v>20</v>
      </c>
      <c r="V60" t="s">
        <v>72</v>
      </c>
      <c r="W60" t="s">
        <v>22</v>
      </c>
      <c r="X60" t="s">
        <v>22</v>
      </c>
      <c r="Y60" t="s">
        <v>73</v>
      </c>
      <c r="Z60">
        <v>846</v>
      </c>
    </row>
    <row r="61" spans="1:26" hidden="1" x14ac:dyDescent="0.25">
      <c r="A61">
        <f>COUNTIF($P$2:P61,P61)</f>
        <v>6</v>
      </c>
      <c r="B61">
        <f>COUNTIF($A$2:A61,1)</f>
        <v>6</v>
      </c>
      <c r="C61" t="str">
        <f t="shared" si="0"/>
        <v>BSS</v>
      </c>
      <c r="D61" t="str">
        <f t="shared" si="1"/>
        <v>BSSIntegrator</v>
      </c>
      <c r="E61">
        <f>COUNTIF($R$2:R61,R61)</f>
        <v>6</v>
      </c>
      <c r="F61">
        <f>COUNTIF($E$2:E61,1)</f>
        <v>6</v>
      </c>
      <c r="G61" t="str">
        <f t="shared" si="2"/>
        <v>bss.services.bss</v>
      </c>
      <c r="H61" t="str">
        <f t="shared" si="3"/>
        <v>BSSbss.services.bssIntegrator</v>
      </c>
      <c r="I61" t="str">
        <f t="shared" si="4"/>
        <v>BSSbss.services.bssmessage.footer</v>
      </c>
      <c r="J61">
        <f>IF(I61="",0,COUNTIF($I$2:I61,I61))</f>
        <v>1</v>
      </c>
      <c r="K61">
        <f>COUNTIF($J$2:J61,1)</f>
        <v>14</v>
      </c>
      <c r="N61">
        <v>1</v>
      </c>
      <c r="O61" t="s">
        <v>23</v>
      </c>
      <c r="P61" t="s">
        <v>59</v>
      </c>
      <c r="Q61" t="s">
        <v>60</v>
      </c>
      <c r="R61" t="s">
        <v>61</v>
      </c>
      <c r="S61" t="s">
        <v>62</v>
      </c>
      <c r="T61" t="s">
        <v>63</v>
      </c>
      <c r="U61" t="s">
        <v>20</v>
      </c>
      <c r="V61" t="s">
        <v>74</v>
      </c>
      <c r="W61" t="s">
        <v>22</v>
      </c>
      <c r="X61" t="s">
        <v>22</v>
      </c>
      <c r="Y61" t="s">
        <v>75</v>
      </c>
      <c r="Z61">
        <v>457</v>
      </c>
    </row>
    <row r="62" spans="1:26" hidden="1" x14ac:dyDescent="0.25">
      <c r="A62">
        <f>COUNTIF($P$2:P62,P62)</f>
        <v>7</v>
      </c>
      <c r="B62">
        <f>COUNTIF($A$2:A62,1)</f>
        <v>6</v>
      </c>
      <c r="C62" t="str">
        <f t="shared" si="0"/>
        <v>BSS</v>
      </c>
      <c r="D62" t="str">
        <f t="shared" si="1"/>
        <v>BSSIntegrator</v>
      </c>
      <c r="E62">
        <f>COUNTIF($R$2:R62,R62)</f>
        <v>7</v>
      </c>
      <c r="F62">
        <f>COUNTIF($E$2:E62,1)</f>
        <v>6</v>
      </c>
      <c r="G62" t="str">
        <f t="shared" si="2"/>
        <v>bss.services.bss</v>
      </c>
      <c r="H62" t="str">
        <f t="shared" si="3"/>
        <v>BSSbss.services.bssIntegrator</v>
      </c>
      <c r="I62" t="str">
        <f t="shared" si="4"/>
        <v>BSSbss.services.bssmessage.header</v>
      </c>
      <c r="J62">
        <f>IF(I62="",0,COUNTIF($I$2:I62,I62))</f>
        <v>1</v>
      </c>
      <c r="K62">
        <f>COUNTIF($J$2:J62,1)</f>
        <v>15</v>
      </c>
      <c r="N62">
        <v>1</v>
      </c>
      <c r="O62" t="s">
        <v>23</v>
      </c>
      <c r="P62" t="s">
        <v>59</v>
      </c>
      <c r="Q62" t="s">
        <v>60</v>
      </c>
      <c r="R62" t="s">
        <v>61</v>
      </c>
      <c r="S62" t="s">
        <v>62</v>
      </c>
      <c r="T62" t="s">
        <v>63</v>
      </c>
      <c r="U62" t="s">
        <v>20</v>
      </c>
      <c r="V62" t="s">
        <v>76</v>
      </c>
      <c r="W62" t="s">
        <v>22</v>
      </c>
      <c r="X62" t="s">
        <v>22</v>
      </c>
      <c r="Y62" t="s">
        <v>77</v>
      </c>
      <c r="Z62">
        <v>456</v>
      </c>
    </row>
    <row r="63" spans="1:26" hidden="1" x14ac:dyDescent="0.25">
      <c r="A63">
        <f>COUNTIF($P$2:P63,P63)</f>
        <v>8</v>
      </c>
      <c r="B63">
        <f>COUNTIF($A$2:A63,1)</f>
        <v>6</v>
      </c>
      <c r="C63" t="str">
        <f t="shared" si="0"/>
        <v>BSS</v>
      </c>
      <c r="D63" t="str">
        <f t="shared" si="1"/>
        <v>BSSParent</v>
      </c>
      <c r="E63">
        <f>COUNTIF($R$2:R63,R63)</f>
        <v>8</v>
      </c>
      <c r="F63">
        <f>COUNTIF($E$2:E63,1)</f>
        <v>6</v>
      </c>
      <c r="G63" t="str">
        <f t="shared" si="2"/>
        <v>bss.services.bss</v>
      </c>
      <c r="H63" t="str">
        <f t="shared" si="3"/>
        <v>BSSbss.services.bssParent</v>
      </c>
      <c r="I63" t="str">
        <f t="shared" si="4"/>
        <v/>
      </c>
      <c r="J63">
        <f>IF(I63="",0,COUNTIF($I$2:I63,I63))</f>
        <v>0</v>
      </c>
      <c r="K63">
        <f>COUNTIF($J$2:J63,1)</f>
        <v>15</v>
      </c>
      <c r="N63">
        <v>91</v>
      </c>
      <c r="O63" t="s">
        <v>15</v>
      </c>
      <c r="P63" t="s">
        <v>59</v>
      </c>
      <c r="Q63" t="s">
        <v>60</v>
      </c>
      <c r="R63" t="s">
        <v>61</v>
      </c>
      <c r="S63" t="s">
        <v>62</v>
      </c>
      <c r="T63" t="s">
        <v>63</v>
      </c>
      <c r="U63" t="s">
        <v>20</v>
      </c>
      <c r="W63" t="s">
        <v>22</v>
      </c>
    </row>
    <row r="64" spans="1:26" hidden="1" x14ac:dyDescent="0.25">
      <c r="A64">
        <f>COUNTIF($P$2:P64,P64)</f>
        <v>9</v>
      </c>
      <c r="B64">
        <f>COUNTIF($A$2:A64,1)</f>
        <v>6</v>
      </c>
      <c r="C64" t="str">
        <f t="shared" si="0"/>
        <v>BSS</v>
      </c>
      <c r="D64" t="str">
        <f t="shared" si="1"/>
        <v>BSSParent</v>
      </c>
      <c r="E64">
        <f>COUNTIF($R$2:R64,R64)</f>
        <v>9</v>
      </c>
      <c r="F64">
        <f>COUNTIF($E$2:E64,1)</f>
        <v>6</v>
      </c>
      <c r="G64" t="str">
        <f t="shared" si="2"/>
        <v>bss.services.bss</v>
      </c>
      <c r="H64" t="str">
        <f t="shared" si="3"/>
        <v>BSSbss.services.bssParent</v>
      </c>
      <c r="I64" t="str">
        <f t="shared" si="4"/>
        <v/>
      </c>
      <c r="J64">
        <f>IF(I64="",0,COUNTIF($I$2:I64,I64))</f>
        <v>0</v>
      </c>
      <c r="K64">
        <f>COUNTIF($J$2:J64,1)</f>
        <v>15</v>
      </c>
      <c r="N64">
        <v>9</v>
      </c>
      <c r="O64" t="s">
        <v>15</v>
      </c>
      <c r="P64" t="s">
        <v>59</v>
      </c>
      <c r="Q64" t="s">
        <v>60</v>
      </c>
      <c r="R64" t="s">
        <v>61</v>
      </c>
      <c r="S64" t="s">
        <v>62</v>
      </c>
      <c r="T64" t="s">
        <v>63</v>
      </c>
      <c r="U64" t="s">
        <v>20</v>
      </c>
      <c r="W64" t="s">
        <v>21</v>
      </c>
    </row>
    <row r="65" spans="1:23" hidden="1" x14ac:dyDescent="0.25">
      <c r="A65">
        <f>COUNTIF($P$2:P65,P65)</f>
        <v>10</v>
      </c>
      <c r="B65">
        <f>COUNTIF($A$2:A65,1)</f>
        <v>6</v>
      </c>
      <c r="C65" t="str">
        <f t="shared" si="0"/>
        <v>BSS</v>
      </c>
      <c r="D65" t="str">
        <f t="shared" si="1"/>
        <v>BSSDevice</v>
      </c>
      <c r="E65">
        <f>COUNTIF($R$2:R65,R65)</f>
        <v>10</v>
      </c>
      <c r="F65">
        <f>COUNTIF($E$2:E65,1)</f>
        <v>6</v>
      </c>
      <c r="G65" t="str">
        <f t="shared" si="2"/>
        <v>bss.services.bss</v>
      </c>
      <c r="H65" t="str">
        <f t="shared" si="3"/>
        <v>BSSbss.services.bssDevice</v>
      </c>
      <c r="I65" t="str">
        <f t="shared" si="4"/>
        <v/>
      </c>
      <c r="J65">
        <f>IF(I65="",0,COUNTIF($I$2:I65,I65))</f>
        <v>0</v>
      </c>
      <c r="K65">
        <f>COUNTIF($J$2:J65,1)</f>
        <v>15</v>
      </c>
      <c r="N65">
        <v>8</v>
      </c>
      <c r="O65" t="s">
        <v>31</v>
      </c>
      <c r="P65" t="s">
        <v>59</v>
      </c>
      <c r="Q65" t="s">
        <v>60</v>
      </c>
      <c r="R65" t="s">
        <v>61</v>
      </c>
      <c r="S65" t="s">
        <v>62</v>
      </c>
      <c r="T65" t="s">
        <v>63</v>
      </c>
      <c r="U65" t="s">
        <v>20</v>
      </c>
      <c r="W65" t="s">
        <v>21</v>
      </c>
    </row>
    <row r="66" spans="1:23" hidden="1" x14ac:dyDescent="0.25">
      <c r="A66">
        <f>COUNTIF($P$2:P66,P66)</f>
        <v>11</v>
      </c>
      <c r="B66">
        <f>COUNTIF($A$2:A66,1)</f>
        <v>6</v>
      </c>
      <c r="C66" t="str">
        <f t="shared" si="0"/>
        <v>BSS</v>
      </c>
      <c r="D66" t="str">
        <f t="shared" si="1"/>
        <v>BSSIntegrator</v>
      </c>
      <c r="E66">
        <f>COUNTIF($R$2:R66,R66)</f>
        <v>11</v>
      </c>
      <c r="F66">
        <f>COUNTIF($E$2:E66,1)</f>
        <v>6</v>
      </c>
      <c r="G66" t="str">
        <f t="shared" si="2"/>
        <v>bss.services.bss</v>
      </c>
      <c r="H66" t="str">
        <f t="shared" si="3"/>
        <v>BSSbss.services.bssIntegrator</v>
      </c>
      <c r="I66" t="str">
        <f t="shared" si="4"/>
        <v/>
      </c>
      <c r="J66">
        <f>IF(I66="",0,COUNTIF($I$2:I66,I66))</f>
        <v>0</v>
      </c>
      <c r="K66">
        <f>COUNTIF($J$2:J66,1)</f>
        <v>15</v>
      </c>
      <c r="N66">
        <v>94</v>
      </c>
      <c r="O66" t="s">
        <v>23</v>
      </c>
      <c r="P66" t="s">
        <v>59</v>
      </c>
      <c r="Q66" t="s">
        <v>60</v>
      </c>
      <c r="R66" t="s">
        <v>61</v>
      </c>
      <c r="S66" t="s">
        <v>62</v>
      </c>
      <c r="T66" t="s">
        <v>63</v>
      </c>
      <c r="U66" t="s">
        <v>20</v>
      </c>
      <c r="W66" t="s">
        <v>21</v>
      </c>
    </row>
    <row r="67" spans="1:23" hidden="1" x14ac:dyDescent="0.25">
      <c r="A67">
        <f>COUNTIF($P$2:P67,P67)</f>
        <v>12</v>
      </c>
      <c r="B67">
        <f>COUNTIF($A$2:A67,1)</f>
        <v>6</v>
      </c>
      <c r="C67" t="str">
        <f t="shared" ref="C67:C130" si="5">IF(A67=1,P67,C66)</f>
        <v>BSS</v>
      </c>
      <c r="D67" t="str">
        <f t="shared" ref="D67:D130" si="6">C67&amp;O67</f>
        <v>BSSPerson</v>
      </c>
      <c r="E67">
        <f>COUNTIF($R$2:R67,R67)</f>
        <v>12</v>
      </c>
      <c r="F67">
        <f>COUNTIF($E$2:E67,1)</f>
        <v>6</v>
      </c>
      <c r="G67" t="str">
        <f t="shared" ref="G67:G130" si="7">IF(E67=1,R67,G66)</f>
        <v>bss.services.bss</v>
      </c>
      <c r="H67" t="str">
        <f t="shared" ref="H67:H130" si="8">C67&amp;G67&amp;O67</f>
        <v>BSSbss.services.bssPerson</v>
      </c>
      <c r="I67" t="str">
        <f t="shared" ref="I67:I130" si="9">IF(V67="","",P67&amp;R67&amp;V67)</f>
        <v/>
      </c>
      <c r="J67">
        <f>IF(I67="",0,COUNTIF($I$2:I67,I67))</f>
        <v>0</v>
      </c>
      <c r="K67">
        <f>COUNTIF($J$2:J67,1)</f>
        <v>15</v>
      </c>
      <c r="N67">
        <v>1</v>
      </c>
      <c r="O67" t="s">
        <v>24</v>
      </c>
      <c r="P67" t="s">
        <v>59</v>
      </c>
      <c r="Q67" t="s">
        <v>60</v>
      </c>
      <c r="R67" t="s">
        <v>61</v>
      </c>
      <c r="S67" t="s">
        <v>62</v>
      </c>
      <c r="T67" t="s">
        <v>63</v>
      </c>
      <c r="U67" t="s">
        <v>20</v>
      </c>
      <c r="W67" t="s">
        <v>21</v>
      </c>
    </row>
    <row r="68" spans="1:23" hidden="1" x14ac:dyDescent="0.25">
      <c r="A68">
        <f>COUNTIF($P$2:P68,P68)</f>
        <v>13</v>
      </c>
      <c r="B68">
        <f>COUNTIF($A$2:A68,1)</f>
        <v>6</v>
      </c>
      <c r="C68" t="str">
        <f t="shared" si="5"/>
        <v>BSS</v>
      </c>
      <c r="D68" t="str">
        <f t="shared" si="6"/>
        <v>BSSDevice</v>
      </c>
      <c r="E68">
        <f>COUNTIF($R$2:R68,R68)</f>
        <v>13</v>
      </c>
      <c r="F68">
        <f>COUNTIF($E$2:E68,1)</f>
        <v>6</v>
      </c>
      <c r="G68" t="str">
        <f t="shared" si="7"/>
        <v>bss.services.bss</v>
      </c>
      <c r="H68" t="str">
        <f t="shared" si="8"/>
        <v>BSSbss.services.bssDevice</v>
      </c>
      <c r="I68" t="str">
        <f t="shared" si="9"/>
        <v/>
      </c>
      <c r="J68">
        <f>IF(I68="",0,COUNTIF($I$2:I68,I68))</f>
        <v>0</v>
      </c>
      <c r="K68">
        <f>COUNTIF($J$2:J68,1)</f>
        <v>15</v>
      </c>
      <c r="N68">
        <v>1</v>
      </c>
      <c r="O68" t="s">
        <v>31</v>
      </c>
      <c r="P68" t="s">
        <v>59</v>
      </c>
      <c r="Q68" t="s">
        <v>60</v>
      </c>
      <c r="R68" t="s">
        <v>61</v>
      </c>
      <c r="S68" t="s">
        <v>62</v>
      </c>
      <c r="T68" t="s">
        <v>63</v>
      </c>
      <c r="U68" t="s">
        <v>20</v>
      </c>
      <c r="W68" t="s">
        <v>21</v>
      </c>
    </row>
    <row r="69" spans="1:23" hidden="1" x14ac:dyDescent="0.25">
      <c r="A69">
        <f>COUNTIF($P$2:P69,P69)</f>
        <v>14</v>
      </c>
      <c r="B69">
        <f>COUNTIF($A$2:A69,1)</f>
        <v>6</v>
      </c>
      <c r="C69" t="str">
        <f t="shared" si="5"/>
        <v>BSS</v>
      </c>
      <c r="D69" t="str">
        <f t="shared" si="6"/>
        <v>BSSParent</v>
      </c>
      <c r="E69">
        <f>COUNTIF($R$2:R69,R69)</f>
        <v>14</v>
      </c>
      <c r="F69">
        <f>COUNTIF($E$2:E69,1)</f>
        <v>6</v>
      </c>
      <c r="G69" t="str">
        <f t="shared" si="7"/>
        <v>bss.services.bss</v>
      </c>
      <c r="H69" t="str">
        <f t="shared" si="8"/>
        <v>BSSbss.services.bssParent</v>
      </c>
      <c r="I69" t="str">
        <f t="shared" si="9"/>
        <v/>
      </c>
      <c r="J69">
        <f>IF(I69="",0,COUNTIF($I$2:I69,I69))</f>
        <v>0</v>
      </c>
      <c r="K69">
        <f>COUNTIF($J$2:J69,1)</f>
        <v>15</v>
      </c>
      <c r="N69">
        <v>1</v>
      </c>
      <c r="O69" t="s">
        <v>15</v>
      </c>
      <c r="P69" t="s">
        <v>59</v>
      </c>
      <c r="Q69" t="s">
        <v>60</v>
      </c>
      <c r="R69" t="s">
        <v>61</v>
      </c>
      <c r="S69" t="s">
        <v>62</v>
      </c>
      <c r="T69" t="s">
        <v>63</v>
      </c>
      <c r="U69" t="s">
        <v>20</v>
      </c>
      <c r="W69" t="s">
        <v>21</v>
      </c>
    </row>
    <row r="70" spans="1:23" hidden="1" x14ac:dyDescent="0.25">
      <c r="A70">
        <f>COUNTIF($P$2:P70,P70)</f>
        <v>15</v>
      </c>
      <c r="B70">
        <f>COUNTIF($A$2:A70,1)</f>
        <v>6</v>
      </c>
      <c r="C70" t="str">
        <f t="shared" si="5"/>
        <v>BSS</v>
      </c>
      <c r="D70" t="str">
        <f t="shared" si="6"/>
        <v>BSSParent</v>
      </c>
      <c r="E70">
        <f>COUNTIF($R$2:R70,R70)</f>
        <v>15</v>
      </c>
      <c r="F70">
        <f>COUNTIF($E$2:E70,1)</f>
        <v>6</v>
      </c>
      <c r="G70" t="str">
        <f t="shared" si="7"/>
        <v>bss.services.bss</v>
      </c>
      <c r="H70" t="str">
        <f t="shared" si="8"/>
        <v>BSSbss.services.bssParent</v>
      </c>
      <c r="I70" t="str">
        <f t="shared" si="9"/>
        <v/>
      </c>
      <c r="J70">
        <f>IF(I70="",0,COUNTIF($I$2:I70,I70))</f>
        <v>0</v>
      </c>
      <c r="K70">
        <f>COUNTIF($J$2:J70,1)</f>
        <v>15</v>
      </c>
      <c r="N70">
        <v>1</v>
      </c>
      <c r="O70" t="s">
        <v>15</v>
      </c>
      <c r="P70" t="s">
        <v>59</v>
      </c>
      <c r="Q70" t="s">
        <v>60</v>
      </c>
      <c r="R70" t="s">
        <v>61</v>
      </c>
      <c r="S70" t="s">
        <v>62</v>
      </c>
      <c r="T70" t="s">
        <v>63</v>
      </c>
      <c r="U70" t="s">
        <v>20</v>
      </c>
      <c r="W70" t="s">
        <v>22</v>
      </c>
    </row>
    <row r="71" spans="1:23" hidden="1" x14ac:dyDescent="0.25">
      <c r="A71">
        <f>COUNTIF($P$2:P71,P71)</f>
        <v>16</v>
      </c>
      <c r="B71">
        <f>COUNTIF($A$2:A71,1)</f>
        <v>6</v>
      </c>
      <c r="C71" t="str">
        <f t="shared" si="5"/>
        <v>BSS</v>
      </c>
      <c r="D71" t="str">
        <f t="shared" si="6"/>
        <v>BSSDevice</v>
      </c>
      <c r="E71">
        <f>COUNTIF($R$2:R71,R71)</f>
        <v>16</v>
      </c>
      <c r="F71">
        <f>COUNTIF($E$2:E71,1)</f>
        <v>6</v>
      </c>
      <c r="G71" t="str">
        <f t="shared" si="7"/>
        <v>bss.services.bss</v>
      </c>
      <c r="H71" t="str">
        <f t="shared" si="8"/>
        <v>BSSbss.services.bssDevice</v>
      </c>
      <c r="I71" t="str">
        <f t="shared" si="9"/>
        <v/>
      </c>
      <c r="J71">
        <f>IF(I71="",0,COUNTIF($I$2:I71,I71))</f>
        <v>0</v>
      </c>
      <c r="K71">
        <f>COUNTIF($J$2:J71,1)</f>
        <v>15</v>
      </c>
      <c r="N71">
        <v>1</v>
      </c>
      <c r="O71" t="s">
        <v>31</v>
      </c>
      <c r="P71" t="s">
        <v>59</v>
      </c>
      <c r="Q71" t="s">
        <v>60</v>
      </c>
      <c r="R71" t="s">
        <v>61</v>
      </c>
      <c r="S71" t="s">
        <v>62</v>
      </c>
      <c r="T71" t="s">
        <v>63</v>
      </c>
      <c r="U71" t="s">
        <v>20</v>
      </c>
      <c r="W71" t="s">
        <v>22</v>
      </c>
    </row>
    <row r="72" spans="1:23" hidden="1" x14ac:dyDescent="0.25">
      <c r="A72">
        <f>COUNTIF($P$2:P72,P72)</f>
        <v>17</v>
      </c>
      <c r="B72">
        <f>COUNTIF($A$2:A72,1)</f>
        <v>6</v>
      </c>
      <c r="C72" t="str">
        <f t="shared" si="5"/>
        <v>BSS</v>
      </c>
      <c r="D72" t="str">
        <f t="shared" si="6"/>
        <v>BSSPerson</v>
      </c>
      <c r="E72">
        <f>COUNTIF($R$2:R72,R72)</f>
        <v>17</v>
      </c>
      <c r="F72">
        <f>COUNTIF($E$2:E72,1)</f>
        <v>6</v>
      </c>
      <c r="G72" t="str">
        <f t="shared" si="7"/>
        <v>bss.services.bss</v>
      </c>
      <c r="H72" t="str">
        <f t="shared" si="8"/>
        <v>BSSbss.services.bssPerson</v>
      </c>
      <c r="I72" t="str">
        <f t="shared" si="9"/>
        <v/>
      </c>
      <c r="J72">
        <f>IF(I72="",0,COUNTIF($I$2:I72,I72))</f>
        <v>0</v>
      </c>
      <c r="K72">
        <f>COUNTIF($J$2:J72,1)</f>
        <v>15</v>
      </c>
      <c r="N72">
        <v>1</v>
      </c>
      <c r="O72" t="s">
        <v>24</v>
      </c>
      <c r="P72" t="s">
        <v>59</v>
      </c>
      <c r="Q72" t="s">
        <v>60</v>
      </c>
      <c r="R72" t="s">
        <v>61</v>
      </c>
      <c r="S72" t="s">
        <v>62</v>
      </c>
      <c r="T72" t="s">
        <v>63</v>
      </c>
      <c r="U72" t="s">
        <v>20</v>
      </c>
      <c r="W72" t="s">
        <v>22</v>
      </c>
    </row>
    <row r="73" spans="1:23" hidden="1" x14ac:dyDescent="0.25">
      <c r="A73">
        <f>COUNTIF($P$2:P73,P73)</f>
        <v>18</v>
      </c>
      <c r="B73">
        <f>COUNTIF($A$2:A73,1)</f>
        <v>6</v>
      </c>
      <c r="C73" t="str">
        <f t="shared" si="5"/>
        <v>BSS</v>
      </c>
      <c r="D73" t="str">
        <f t="shared" si="6"/>
        <v>BSSIntegrator</v>
      </c>
      <c r="E73">
        <f>COUNTIF($R$2:R73,R73)</f>
        <v>18</v>
      </c>
      <c r="F73">
        <f>COUNTIF($E$2:E73,1)</f>
        <v>6</v>
      </c>
      <c r="G73" t="str">
        <f t="shared" si="7"/>
        <v>bss.services.bss</v>
      </c>
      <c r="H73" t="str">
        <f t="shared" si="8"/>
        <v>BSSbss.services.bssIntegrator</v>
      </c>
      <c r="I73" t="str">
        <f t="shared" si="9"/>
        <v/>
      </c>
      <c r="J73">
        <f>IF(I73="",0,COUNTIF($I$2:I73,I73))</f>
        <v>0</v>
      </c>
      <c r="K73">
        <f>COUNTIF($J$2:J73,1)</f>
        <v>15</v>
      </c>
      <c r="N73">
        <v>90</v>
      </c>
      <c r="O73" t="s">
        <v>23</v>
      </c>
      <c r="P73" t="s">
        <v>59</v>
      </c>
      <c r="Q73" t="s">
        <v>60</v>
      </c>
      <c r="R73" t="s">
        <v>61</v>
      </c>
      <c r="S73" t="s">
        <v>62</v>
      </c>
      <c r="T73" t="s">
        <v>63</v>
      </c>
      <c r="U73" t="s">
        <v>20</v>
      </c>
      <c r="W73" t="s">
        <v>22</v>
      </c>
    </row>
    <row r="74" spans="1:23" hidden="1" x14ac:dyDescent="0.25">
      <c r="A74">
        <f>COUNTIF($P$2:P74,P74)</f>
        <v>19</v>
      </c>
      <c r="B74">
        <f>COUNTIF($A$2:A74,1)</f>
        <v>6</v>
      </c>
      <c r="C74" t="str">
        <f t="shared" si="5"/>
        <v>BSS</v>
      </c>
      <c r="D74" t="str">
        <f t="shared" si="6"/>
        <v>BSSDevice</v>
      </c>
      <c r="E74">
        <f>COUNTIF($R$2:R74,R74)</f>
        <v>19</v>
      </c>
      <c r="F74">
        <f>COUNTIF($E$2:E74,1)</f>
        <v>6</v>
      </c>
      <c r="G74" t="str">
        <f t="shared" si="7"/>
        <v>bss.services.bss</v>
      </c>
      <c r="H74" t="str">
        <f t="shared" si="8"/>
        <v>BSSbss.services.bssDevice</v>
      </c>
      <c r="I74" t="str">
        <f t="shared" si="9"/>
        <v/>
      </c>
      <c r="J74">
        <f>IF(I74="",0,COUNTIF($I$2:I74,I74))</f>
        <v>0</v>
      </c>
      <c r="K74">
        <f>COUNTIF($J$2:J74,1)</f>
        <v>15</v>
      </c>
      <c r="N74">
        <v>8</v>
      </c>
      <c r="O74" t="s">
        <v>31</v>
      </c>
      <c r="P74" t="s">
        <v>59</v>
      </c>
      <c r="Q74" t="s">
        <v>60</v>
      </c>
      <c r="R74" t="s">
        <v>61</v>
      </c>
      <c r="S74" t="s">
        <v>62</v>
      </c>
      <c r="T74" t="s">
        <v>63</v>
      </c>
      <c r="U74" t="s">
        <v>20</v>
      </c>
      <c r="W74" t="s">
        <v>22</v>
      </c>
    </row>
    <row r="75" spans="1:23" hidden="1" x14ac:dyDescent="0.25">
      <c r="A75">
        <f>COUNTIF($P$2:P75,P75)</f>
        <v>1</v>
      </c>
      <c r="B75">
        <f>COUNTIF($A$2:A75,1)</f>
        <v>7</v>
      </c>
      <c r="C75" t="str">
        <f t="shared" si="5"/>
        <v>BVS</v>
      </c>
      <c r="D75" t="str">
        <f t="shared" si="6"/>
        <v>BVSParent</v>
      </c>
      <c r="E75">
        <f>COUNTIF($R$2:R75,R75)</f>
        <v>1</v>
      </c>
      <c r="F75">
        <f>COUNTIF($E$2:E75,1)</f>
        <v>7</v>
      </c>
      <c r="G75" t="str">
        <f t="shared" si="7"/>
        <v>bvs.services.bvs</v>
      </c>
      <c r="H75" t="str">
        <f t="shared" si="8"/>
        <v>BVSbvs.services.bvsParent</v>
      </c>
      <c r="I75" t="str">
        <f t="shared" si="9"/>
        <v/>
      </c>
      <c r="J75">
        <f>IF(I75="",0,COUNTIF($I$2:I75,I75))</f>
        <v>0</v>
      </c>
      <c r="K75">
        <f>COUNTIF($J$2:J75,1)</f>
        <v>15</v>
      </c>
      <c r="N75">
        <v>2</v>
      </c>
      <c r="O75" t="s">
        <v>15</v>
      </c>
      <c r="P75" t="s">
        <v>78</v>
      </c>
      <c r="Q75" t="s">
        <v>79</v>
      </c>
      <c r="R75" t="s">
        <v>80</v>
      </c>
      <c r="S75" t="s">
        <v>79</v>
      </c>
      <c r="T75" t="s">
        <v>79</v>
      </c>
      <c r="U75" t="s">
        <v>20</v>
      </c>
      <c r="W75" t="s">
        <v>22</v>
      </c>
    </row>
    <row r="76" spans="1:23" hidden="1" x14ac:dyDescent="0.25">
      <c r="A76">
        <f>COUNTIF($P$2:P76,P76)</f>
        <v>2</v>
      </c>
      <c r="B76">
        <f>COUNTIF($A$2:A76,1)</f>
        <v>7</v>
      </c>
      <c r="C76" t="str">
        <f t="shared" si="5"/>
        <v>BVS</v>
      </c>
      <c r="D76" t="str">
        <f t="shared" si="6"/>
        <v>BVSParent</v>
      </c>
      <c r="E76">
        <f>COUNTIF($R$2:R76,R76)</f>
        <v>2</v>
      </c>
      <c r="F76">
        <f>COUNTIF($E$2:E76,1)</f>
        <v>7</v>
      </c>
      <c r="G76" t="str">
        <f t="shared" si="7"/>
        <v>bvs.services.bvs</v>
      </c>
      <c r="H76" t="str">
        <f t="shared" si="8"/>
        <v>BVSbvs.services.bvsParent</v>
      </c>
      <c r="I76" t="str">
        <f t="shared" si="9"/>
        <v/>
      </c>
      <c r="J76">
        <f>IF(I76="",0,COUNTIF($I$2:I76,I76))</f>
        <v>0</v>
      </c>
      <c r="K76">
        <f>COUNTIF($J$2:J76,1)</f>
        <v>15</v>
      </c>
      <c r="N76">
        <v>95</v>
      </c>
      <c r="O76" t="s">
        <v>15</v>
      </c>
      <c r="P76" t="s">
        <v>78</v>
      </c>
      <c r="Q76" t="s">
        <v>79</v>
      </c>
      <c r="R76" t="s">
        <v>80</v>
      </c>
      <c r="S76" t="s">
        <v>79</v>
      </c>
      <c r="T76" t="s">
        <v>79</v>
      </c>
      <c r="U76" t="s">
        <v>20</v>
      </c>
      <c r="W76" t="s">
        <v>21</v>
      </c>
    </row>
    <row r="77" spans="1:23" hidden="1" x14ac:dyDescent="0.25">
      <c r="A77">
        <f>COUNTIF($P$2:P77,P77)</f>
        <v>3</v>
      </c>
      <c r="B77">
        <f>COUNTIF($A$2:A77,1)</f>
        <v>7</v>
      </c>
      <c r="C77" t="str">
        <f t="shared" si="5"/>
        <v>BVS</v>
      </c>
      <c r="D77" t="str">
        <f t="shared" si="6"/>
        <v>BVSDevice</v>
      </c>
      <c r="E77">
        <f>COUNTIF($R$2:R77,R77)</f>
        <v>3</v>
      </c>
      <c r="F77">
        <f>COUNTIF($E$2:E77,1)</f>
        <v>7</v>
      </c>
      <c r="G77" t="str">
        <f t="shared" si="7"/>
        <v>bvs.services.bvs</v>
      </c>
      <c r="H77" t="str">
        <f t="shared" si="8"/>
        <v>BVSbvs.services.bvsDevice</v>
      </c>
      <c r="I77" t="str">
        <f t="shared" si="9"/>
        <v/>
      </c>
      <c r="J77">
        <f>IF(I77="",0,COUNTIF($I$2:I77,I77))</f>
        <v>0</v>
      </c>
      <c r="K77">
        <f>COUNTIF($J$2:J77,1)</f>
        <v>15</v>
      </c>
      <c r="N77">
        <v>8</v>
      </c>
      <c r="O77" t="s">
        <v>31</v>
      </c>
      <c r="P77" t="s">
        <v>78</v>
      </c>
      <c r="Q77" t="s">
        <v>79</v>
      </c>
      <c r="R77" t="s">
        <v>80</v>
      </c>
      <c r="S77" t="s">
        <v>79</v>
      </c>
      <c r="T77" t="s">
        <v>79</v>
      </c>
      <c r="U77" t="s">
        <v>20</v>
      </c>
      <c r="W77" t="s">
        <v>21</v>
      </c>
    </row>
    <row r="78" spans="1:23" hidden="1" x14ac:dyDescent="0.25">
      <c r="A78">
        <f>COUNTIF($P$2:P78,P78)</f>
        <v>4</v>
      </c>
      <c r="B78">
        <f>COUNTIF($A$2:A78,1)</f>
        <v>7</v>
      </c>
      <c r="C78" t="str">
        <f t="shared" si="5"/>
        <v>BVS</v>
      </c>
      <c r="D78" t="str">
        <f t="shared" si="6"/>
        <v>BVSIntegrator</v>
      </c>
      <c r="E78">
        <f>COUNTIF($R$2:R78,R78)</f>
        <v>4</v>
      </c>
      <c r="F78">
        <f>COUNTIF($E$2:E78,1)</f>
        <v>7</v>
      </c>
      <c r="G78" t="str">
        <f t="shared" si="7"/>
        <v>bvs.services.bvs</v>
      </c>
      <c r="H78" t="str">
        <f t="shared" si="8"/>
        <v>BVSbvs.services.bvsIntegrator</v>
      </c>
      <c r="I78" t="str">
        <f t="shared" si="9"/>
        <v/>
      </c>
      <c r="J78">
        <f>IF(I78="",0,COUNTIF($I$2:I78,I78))</f>
        <v>0</v>
      </c>
      <c r="K78">
        <f>COUNTIF($J$2:J78,1)</f>
        <v>15</v>
      </c>
      <c r="N78">
        <v>92</v>
      </c>
      <c r="O78" t="s">
        <v>23</v>
      </c>
      <c r="P78" t="s">
        <v>78</v>
      </c>
      <c r="Q78" t="s">
        <v>79</v>
      </c>
      <c r="R78" t="s">
        <v>80</v>
      </c>
      <c r="S78" t="s">
        <v>79</v>
      </c>
      <c r="T78" t="s">
        <v>79</v>
      </c>
      <c r="U78" t="s">
        <v>20</v>
      </c>
      <c r="W78" t="s">
        <v>21</v>
      </c>
    </row>
    <row r="79" spans="1:23" hidden="1" x14ac:dyDescent="0.25">
      <c r="A79">
        <f>COUNTIF($P$2:P79,P79)</f>
        <v>5</v>
      </c>
      <c r="B79">
        <f>COUNTIF($A$2:A79,1)</f>
        <v>7</v>
      </c>
      <c r="C79" t="str">
        <f t="shared" si="5"/>
        <v>BVS</v>
      </c>
      <c r="D79" t="str">
        <f t="shared" si="6"/>
        <v>BVSParent</v>
      </c>
      <c r="E79">
        <f>COUNTIF($R$2:R79,R79)</f>
        <v>5</v>
      </c>
      <c r="F79">
        <f>COUNTIF($E$2:E79,1)</f>
        <v>7</v>
      </c>
      <c r="G79" t="str">
        <f t="shared" si="7"/>
        <v>bvs.services.bvs</v>
      </c>
      <c r="H79" t="str">
        <f t="shared" si="8"/>
        <v>BVSbvs.services.bvsParent</v>
      </c>
      <c r="I79" t="str">
        <f t="shared" si="9"/>
        <v/>
      </c>
      <c r="J79">
        <f>IF(I79="",0,COUNTIF($I$2:I79,I79))</f>
        <v>0</v>
      </c>
      <c r="K79">
        <f>COUNTIF($J$2:J79,1)</f>
        <v>15</v>
      </c>
      <c r="N79">
        <v>89</v>
      </c>
      <c r="O79" t="s">
        <v>15</v>
      </c>
      <c r="P79" t="s">
        <v>78</v>
      </c>
      <c r="Q79" t="s">
        <v>79</v>
      </c>
      <c r="R79" t="s">
        <v>80</v>
      </c>
      <c r="S79" t="s">
        <v>79</v>
      </c>
      <c r="T79" t="s">
        <v>79</v>
      </c>
      <c r="U79" t="s">
        <v>20</v>
      </c>
      <c r="W79" t="s">
        <v>22</v>
      </c>
    </row>
    <row r="80" spans="1:23" hidden="1" x14ac:dyDescent="0.25">
      <c r="A80">
        <f>COUNTIF($P$2:P80,P80)</f>
        <v>6</v>
      </c>
      <c r="B80">
        <f>COUNTIF($A$2:A80,1)</f>
        <v>7</v>
      </c>
      <c r="C80" t="str">
        <f t="shared" si="5"/>
        <v>BVS</v>
      </c>
      <c r="D80" t="str">
        <f t="shared" si="6"/>
        <v>BVSDevice</v>
      </c>
      <c r="E80">
        <f>COUNTIF($R$2:R80,R80)</f>
        <v>6</v>
      </c>
      <c r="F80">
        <f>COUNTIF($E$2:E80,1)</f>
        <v>7</v>
      </c>
      <c r="G80" t="str">
        <f t="shared" si="7"/>
        <v>bvs.services.bvs</v>
      </c>
      <c r="H80" t="str">
        <f t="shared" si="8"/>
        <v>BVSbvs.services.bvsDevice</v>
      </c>
      <c r="I80" t="str">
        <f t="shared" si="9"/>
        <v/>
      </c>
      <c r="J80">
        <f>IF(I80="",0,COUNTIF($I$2:I80,I80))</f>
        <v>0</v>
      </c>
      <c r="K80">
        <f>COUNTIF($J$2:J80,1)</f>
        <v>15</v>
      </c>
      <c r="N80">
        <v>8</v>
      </c>
      <c r="O80" t="s">
        <v>31</v>
      </c>
      <c r="P80" t="s">
        <v>78</v>
      </c>
      <c r="Q80" t="s">
        <v>79</v>
      </c>
      <c r="R80" t="s">
        <v>80</v>
      </c>
      <c r="S80" t="s">
        <v>79</v>
      </c>
      <c r="T80" t="s">
        <v>79</v>
      </c>
      <c r="U80" t="s">
        <v>20</v>
      </c>
      <c r="W80" t="s">
        <v>22</v>
      </c>
    </row>
    <row r="81" spans="1:23" hidden="1" x14ac:dyDescent="0.25">
      <c r="A81">
        <f>COUNTIF($P$2:P81,P81)</f>
        <v>7</v>
      </c>
      <c r="B81">
        <f>COUNTIF($A$2:A81,1)</f>
        <v>7</v>
      </c>
      <c r="C81" t="str">
        <f t="shared" si="5"/>
        <v>BVS</v>
      </c>
      <c r="D81" t="str">
        <f t="shared" si="6"/>
        <v>BVSIntegrator</v>
      </c>
      <c r="E81">
        <f>COUNTIF($R$2:R81,R81)</f>
        <v>7</v>
      </c>
      <c r="F81">
        <f>COUNTIF($E$2:E81,1)</f>
        <v>7</v>
      </c>
      <c r="G81" t="str">
        <f t="shared" si="7"/>
        <v>bvs.services.bvs</v>
      </c>
      <c r="H81" t="str">
        <f t="shared" si="8"/>
        <v>BVSbvs.services.bvsIntegrator</v>
      </c>
      <c r="I81" t="str">
        <f t="shared" si="9"/>
        <v/>
      </c>
      <c r="J81">
        <f>IF(I81="",0,COUNTIF($I$2:I81,I81))</f>
        <v>0</v>
      </c>
      <c r="K81">
        <f>COUNTIF($J$2:J81,1)</f>
        <v>15</v>
      </c>
      <c r="N81">
        <v>88</v>
      </c>
      <c r="O81" t="s">
        <v>23</v>
      </c>
      <c r="P81" t="s">
        <v>78</v>
      </c>
      <c r="Q81" t="s">
        <v>79</v>
      </c>
      <c r="R81" t="s">
        <v>80</v>
      </c>
      <c r="S81" t="s">
        <v>79</v>
      </c>
      <c r="T81" t="s">
        <v>79</v>
      </c>
      <c r="U81" t="s">
        <v>20</v>
      </c>
      <c r="W81" t="s">
        <v>22</v>
      </c>
    </row>
    <row r="82" spans="1:23" hidden="1" x14ac:dyDescent="0.25">
      <c r="A82">
        <f>COUNTIF($P$2:P82,P82)</f>
        <v>8</v>
      </c>
      <c r="B82">
        <f>COUNTIF($A$2:A82,1)</f>
        <v>7</v>
      </c>
      <c r="C82" t="str">
        <f t="shared" si="5"/>
        <v>BVS</v>
      </c>
      <c r="D82" t="str">
        <f t="shared" si="6"/>
        <v>BVSParent</v>
      </c>
      <c r="E82">
        <f>COUNTIF($R$2:R82,R82)</f>
        <v>8</v>
      </c>
      <c r="F82">
        <f>COUNTIF($E$2:E82,1)</f>
        <v>7</v>
      </c>
      <c r="G82" t="str">
        <f t="shared" si="7"/>
        <v>bvs.services.bvs</v>
      </c>
      <c r="H82" t="str">
        <f t="shared" si="8"/>
        <v>BVSbvs.services.bvsParent</v>
      </c>
      <c r="I82" t="str">
        <f t="shared" si="9"/>
        <v/>
      </c>
      <c r="J82">
        <f>IF(I82="",0,COUNTIF($I$2:I82,I82))</f>
        <v>0</v>
      </c>
      <c r="K82">
        <f>COUNTIF($J$2:J82,1)</f>
        <v>15</v>
      </c>
      <c r="N82">
        <v>1</v>
      </c>
      <c r="O82" t="s">
        <v>15</v>
      </c>
      <c r="P82" t="s">
        <v>78</v>
      </c>
      <c r="Q82" t="s">
        <v>79</v>
      </c>
      <c r="R82" t="s">
        <v>80</v>
      </c>
      <c r="S82" t="s">
        <v>79</v>
      </c>
      <c r="T82" t="s">
        <v>79</v>
      </c>
      <c r="U82" t="s">
        <v>20</v>
      </c>
      <c r="W82" t="s">
        <v>22</v>
      </c>
    </row>
    <row r="83" spans="1:23" hidden="1" x14ac:dyDescent="0.25">
      <c r="A83">
        <f>COUNTIF($P$2:P83,P83)</f>
        <v>9</v>
      </c>
      <c r="B83">
        <f>COUNTIF($A$2:A83,1)</f>
        <v>7</v>
      </c>
      <c r="C83" t="str">
        <f t="shared" si="5"/>
        <v>BVS</v>
      </c>
      <c r="D83" t="str">
        <f t="shared" si="6"/>
        <v>BVSParent</v>
      </c>
      <c r="E83">
        <f>COUNTIF($R$2:R83,R83)</f>
        <v>9</v>
      </c>
      <c r="F83">
        <f>COUNTIF($E$2:E83,1)</f>
        <v>7</v>
      </c>
      <c r="G83" t="str">
        <f t="shared" si="7"/>
        <v>bvs.services.bvs</v>
      </c>
      <c r="H83" t="str">
        <f t="shared" si="8"/>
        <v>BVSbvs.services.bvsParent</v>
      </c>
      <c r="I83" t="str">
        <f t="shared" si="9"/>
        <v/>
      </c>
      <c r="J83">
        <f>IF(I83="",0,COUNTIF($I$2:I83,I83))</f>
        <v>0</v>
      </c>
      <c r="K83">
        <f>COUNTIF($J$2:J83,1)</f>
        <v>15</v>
      </c>
      <c r="N83">
        <v>1</v>
      </c>
      <c r="O83" t="s">
        <v>15</v>
      </c>
      <c r="P83" t="s">
        <v>78</v>
      </c>
      <c r="Q83" t="s">
        <v>79</v>
      </c>
      <c r="R83" t="s">
        <v>80</v>
      </c>
      <c r="S83" t="s">
        <v>79</v>
      </c>
      <c r="T83" t="s">
        <v>79</v>
      </c>
      <c r="U83" t="s">
        <v>20</v>
      </c>
      <c r="W83" t="s">
        <v>22</v>
      </c>
    </row>
    <row r="84" spans="1:23" hidden="1" x14ac:dyDescent="0.25">
      <c r="A84">
        <f>COUNTIF($P$2:P84,P84)</f>
        <v>10</v>
      </c>
      <c r="B84">
        <f>COUNTIF($A$2:A84,1)</f>
        <v>7</v>
      </c>
      <c r="C84" t="str">
        <f t="shared" si="5"/>
        <v>BVS</v>
      </c>
      <c r="D84" t="str">
        <f t="shared" si="6"/>
        <v>BVSDevice</v>
      </c>
      <c r="E84">
        <f>COUNTIF($R$2:R84,R84)</f>
        <v>10</v>
      </c>
      <c r="F84">
        <f>COUNTIF($E$2:E84,1)</f>
        <v>7</v>
      </c>
      <c r="G84" t="str">
        <f t="shared" si="7"/>
        <v>bvs.services.bvs</v>
      </c>
      <c r="H84" t="str">
        <f t="shared" si="8"/>
        <v>BVSbvs.services.bvsDevice</v>
      </c>
      <c r="I84" t="str">
        <f t="shared" si="9"/>
        <v/>
      </c>
      <c r="J84">
        <f>IF(I84="",0,COUNTIF($I$2:I84,I84))</f>
        <v>0</v>
      </c>
      <c r="K84">
        <f>COUNTIF($J$2:J84,1)</f>
        <v>15</v>
      </c>
      <c r="N84">
        <v>1</v>
      </c>
      <c r="O84" t="s">
        <v>31</v>
      </c>
      <c r="P84" t="s">
        <v>78</v>
      </c>
      <c r="Q84" t="s">
        <v>79</v>
      </c>
      <c r="R84" t="s">
        <v>80</v>
      </c>
      <c r="S84" t="s">
        <v>79</v>
      </c>
      <c r="T84" t="s">
        <v>79</v>
      </c>
      <c r="U84" t="s">
        <v>20</v>
      </c>
      <c r="W84" t="s">
        <v>22</v>
      </c>
    </row>
    <row r="85" spans="1:23" hidden="1" x14ac:dyDescent="0.25">
      <c r="A85">
        <f>COUNTIF($P$2:P85,P85)</f>
        <v>11</v>
      </c>
      <c r="B85">
        <f>COUNTIF($A$2:A85,1)</f>
        <v>7</v>
      </c>
      <c r="C85" t="str">
        <f t="shared" si="5"/>
        <v>BVS</v>
      </c>
      <c r="D85" t="str">
        <f t="shared" si="6"/>
        <v>BVSWeb Service</v>
      </c>
      <c r="E85">
        <f>COUNTIF($R$2:R85,R85)</f>
        <v>11</v>
      </c>
      <c r="F85">
        <f>COUNTIF($E$2:E85,1)</f>
        <v>7</v>
      </c>
      <c r="G85" t="str">
        <f t="shared" si="7"/>
        <v>bvs.services.bvs</v>
      </c>
      <c r="H85" t="str">
        <f t="shared" si="8"/>
        <v>BVSbvs.services.bvsWeb Service</v>
      </c>
      <c r="I85" t="str">
        <f t="shared" si="9"/>
        <v/>
      </c>
      <c r="J85">
        <f>IF(I85="",0,COUNTIF($I$2:I85,I85))</f>
        <v>0</v>
      </c>
      <c r="K85">
        <f>COUNTIF($J$2:J85,1)</f>
        <v>15</v>
      </c>
      <c r="N85">
        <v>1</v>
      </c>
      <c r="O85" t="s">
        <v>81</v>
      </c>
      <c r="P85" t="s">
        <v>78</v>
      </c>
      <c r="Q85" t="s">
        <v>79</v>
      </c>
      <c r="R85" t="s">
        <v>80</v>
      </c>
      <c r="S85" t="s">
        <v>79</v>
      </c>
      <c r="T85" t="s">
        <v>79</v>
      </c>
      <c r="U85" t="s">
        <v>20</v>
      </c>
      <c r="W85" t="s">
        <v>22</v>
      </c>
    </row>
    <row r="86" spans="1:23" hidden="1" x14ac:dyDescent="0.25">
      <c r="A86">
        <f>COUNTIF($P$2:P86,P86)</f>
        <v>12</v>
      </c>
      <c r="B86">
        <f>COUNTIF($A$2:A86,1)</f>
        <v>7</v>
      </c>
      <c r="C86" t="str">
        <f t="shared" si="5"/>
        <v>BVS</v>
      </c>
      <c r="D86" t="str">
        <f t="shared" si="6"/>
        <v>BVSWeb Service</v>
      </c>
      <c r="E86">
        <f>COUNTIF($R$2:R86,R86)</f>
        <v>12</v>
      </c>
      <c r="F86">
        <f>COUNTIF($E$2:E86,1)</f>
        <v>7</v>
      </c>
      <c r="G86" t="str">
        <f t="shared" si="7"/>
        <v>bvs.services.bvs</v>
      </c>
      <c r="H86" t="str">
        <f t="shared" si="8"/>
        <v>BVSbvs.services.bvsWeb Service</v>
      </c>
      <c r="I86" t="str">
        <f t="shared" si="9"/>
        <v/>
      </c>
      <c r="J86">
        <f>IF(I86="",0,COUNTIF($I$2:I86,I86))</f>
        <v>0</v>
      </c>
      <c r="K86">
        <f>COUNTIF($J$2:J86,1)</f>
        <v>15</v>
      </c>
      <c r="N86">
        <v>1</v>
      </c>
      <c r="O86" t="s">
        <v>81</v>
      </c>
      <c r="P86" t="s">
        <v>78</v>
      </c>
      <c r="Q86" t="s">
        <v>79</v>
      </c>
      <c r="R86" t="s">
        <v>80</v>
      </c>
      <c r="S86" t="s">
        <v>79</v>
      </c>
      <c r="T86" t="s">
        <v>79</v>
      </c>
      <c r="U86" t="s">
        <v>20</v>
      </c>
      <c r="W86" t="s">
        <v>21</v>
      </c>
    </row>
    <row r="87" spans="1:23" hidden="1" x14ac:dyDescent="0.25">
      <c r="A87">
        <f>COUNTIF($P$2:P87,P87)</f>
        <v>13</v>
      </c>
      <c r="B87">
        <f>COUNTIF($A$2:A87,1)</f>
        <v>7</v>
      </c>
      <c r="C87" t="str">
        <f t="shared" si="5"/>
        <v>BVS</v>
      </c>
      <c r="D87" t="str">
        <f t="shared" si="6"/>
        <v>BVSParent</v>
      </c>
      <c r="E87">
        <f>COUNTIF($R$2:R87,R87)</f>
        <v>13</v>
      </c>
      <c r="F87">
        <f>COUNTIF($E$2:E87,1)</f>
        <v>7</v>
      </c>
      <c r="G87" t="str">
        <f t="shared" si="7"/>
        <v>bvs.services.bvs</v>
      </c>
      <c r="H87" t="str">
        <f t="shared" si="8"/>
        <v>BVSbvs.services.bvsParent</v>
      </c>
      <c r="I87" t="str">
        <f t="shared" si="9"/>
        <v/>
      </c>
      <c r="J87">
        <f>IF(I87="",0,COUNTIF($I$2:I87,I87))</f>
        <v>0</v>
      </c>
      <c r="K87">
        <f>COUNTIF($J$2:J87,1)</f>
        <v>15</v>
      </c>
      <c r="N87">
        <v>2</v>
      </c>
      <c r="O87" t="s">
        <v>15</v>
      </c>
      <c r="P87" t="s">
        <v>78</v>
      </c>
      <c r="Q87" t="s">
        <v>79</v>
      </c>
      <c r="R87" t="s">
        <v>80</v>
      </c>
      <c r="S87" t="s">
        <v>79</v>
      </c>
      <c r="T87" t="s">
        <v>79</v>
      </c>
      <c r="U87" t="s">
        <v>20</v>
      </c>
      <c r="W87" t="s">
        <v>21</v>
      </c>
    </row>
    <row r="88" spans="1:23" hidden="1" x14ac:dyDescent="0.25">
      <c r="A88">
        <f>COUNTIF($P$2:P88,P88)</f>
        <v>14</v>
      </c>
      <c r="B88">
        <f>COUNTIF($A$2:A88,1)</f>
        <v>7</v>
      </c>
      <c r="C88" t="str">
        <f t="shared" si="5"/>
        <v>BVS</v>
      </c>
      <c r="D88" t="str">
        <f t="shared" si="6"/>
        <v>BVSDevice</v>
      </c>
      <c r="E88">
        <f>COUNTIF($R$2:R88,R88)</f>
        <v>14</v>
      </c>
      <c r="F88">
        <f>COUNTIF($E$2:E88,1)</f>
        <v>7</v>
      </c>
      <c r="G88" t="str">
        <f t="shared" si="7"/>
        <v>bvs.services.bvs</v>
      </c>
      <c r="H88" t="str">
        <f t="shared" si="8"/>
        <v>BVSbvs.services.bvsDevice</v>
      </c>
      <c r="I88" t="str">
        <f t="shared" si="9"/>
        <v/>
      </c>
      <c r="J88">
        <f>IF(I88="",0,COUNTIF($I$2:I88,I88))</f>
        <v>0</v>
      </c>
      <c r="K88">
        <f>COUNTIF($J$2:J88,1)</f>
        <v>15</v>
      </c>
      <c r="N88">
        <v>1</v>
      </c>
      <c r="O88" t="s">
        <v>31</v>
      </c>
      <c r="P88" t="s">
        <v>78</v>
      </c>
      <c r="Q88" t="s">
        <v>79</v>
      </c>
      <c r="R88" t="s">
        <v>80</v>
      </c>
      <c r="S88" t="s">
        <v>79</v>
      </c>
      <c r="T88" t="s">
        <v>79</v>
      </c>
      <c r="U88" t="s">
        <v>20</v>
      </c>
      <c r="W88" t="s">
        <v>21</v>
      </c>
    </row>
    <row r="89" spans="1:23" hidden="1" x14ac:dyDescent="0.25">
      <c r="A89">
        <f>COUNTIF($P$2:P89,P89)</f>
        <v>15</v>
      </c>
      <c r="B89">
        <f>COUNTIF($A$2:A89,1)</f>
        <v>7</v>
      </c>
      <c r="C89" t="str">
        <f t="shared" si="5"/>
        <v>BVS</v>
      </c>
      <c r="D89" t="str">
        <f t="shared" si="6"/>
        <v>BVSParent</v>
      </c>
      <c r="E89">
        <f>COUNTIF($R$2:R89,R89)</f>
        <v>15</v>
      </c>
      <c r="F89">
        <f>COUNTIF($E$2:E89,1)</f>
        <v>7</v>
      </c>
      <c r="G89" t="str">
        <f t="shared" si="7"/>
        <v>bvs.services.bvs</v>
      </c>
      <c r="H89" t="str">
        <f t="shared" si="8"/>
        <v>BVSbvs.services.bvsParent</v>
      </c>
      <c r="I89" t="str">
        <f t="shared" si="9"/>
        <v/>
      </c>
      <c r="J89">
        <f>IF(I89="",0,COUNTIF($I$2:I89,I89))</f>
        <v>0</v>
      </c>
      <c r="K89">
        <f>COUNTIF($J$2:J89,1)</f>
        <v>15</v>
      </c>
      <c r="N89">
        <v>1</v>
      </c>
      <c r="O89" t="s">
        <v>15</v>
      </c>
      <c r="P89" t="s">
        <v>78</v>
      </c>
      <c r="Q89" t="s">
        <v>79</v>
      </c>
      <c r="R89" t="s">
        <v>80</v>
      </c>
      <c r="S89" t="s">
        <v>79</v>
      </c>
      <c r="T89" t="s">
        <v>79</v>
      </c>
      <c r="U89" t="s">
        <v>20</v>
      </c>
      <c r="W89" t="s">
        <v>21</v>
      </c>
    </row>
    <row r="90" spans="1:23" hidden="1" x14ac:dyDescent="0.25">
      <c r="A90">
        <f>COUNTIF($P$2:P90,P90)</f>
        <v>16</v>
      </c>
      <c r="B90">
        <f>COUNTIF($A$2:A90,1)</f>
        <v>7</v>
      </c>
      <c r="C90" t="str">
        <f t="shared" si="5"/>
        <v>BVS</v>
      </c>
      <c r="D90" t="str">
        <f t="shared" si="6"/>
        <v>BVSParent</v>
      </c>
      <c r="E90">
        <f>COUNTIF($R$2:R90,R90)</f>
        <v>16</v>
      </c>
      <c r="F90">
        <f>COUNTIF($E$2:E90,1)</f>
        <v>7</v>
      </c>
      <c r="G90" t="str">
        <f t="shared" si="7"/>
        <v>bvs.services.bvs</v>
      </c>
      <c r="H90" t="str">
        <f t="shared" si="8"/>
        <v>BVSbvs.services.bvsParent</v>
      </c>
      <c r="I90" t="str">
        <f t="shared" si="9"/>
        <v/>
      </c>
      <c r="J90">
        <f>IF(I90="",0,COUNTIF($I$2:I90,I90))</f>
        <v>0</v>
      </c>
      <c r="K90">
        <f>COUNTIF($J$2:J90,1)</f>
        <v>15</v>
      </c>
      <c r="N90">
        <v>1</v>
      </c>
      <c r="O90" t="s">
        <v>15</v>
      </c>
      <c r="P90" t="s">
        <v>78</v>
      </c>
      <c r="Q90" t="s">
        <v>79</v>
      </c>
      <c r="R90" t="s">
        <v>80</v>
      </c>
      <c r="S90" t="s">
        <v>79</v>
      </c>
      <c r="T90" t="s">
        <v>79</v>
      </c>
      <c r="U90" t="s">
        <v>20</v>
      </c>
      <c r="W90" t="s">
        <v>21</v>
      </c>
    </row>
    <row r="91" spans="1:23" hidden="1" x14ac:dyDescent="0.25">
      <c r="A91">
        <f>COUNTIF($P$2:P91,P91)</f>
        <v>1</v>
      </c>
      <c r="B91">
        <f>COUNTIF($A$2:A91,1)</f>
        <v>8</v>
      </c>
      <c r="C91" t="str">
        <f t="shared" si="5"/>
        <v>CDS</v>
      </c>
      <c r="D91" t="str">
        <f t="shared" si="6"/>
        <v>CDSDevice</v>
      </c>
      <c r="E91">
        <f>COUNTIF($R$2:R91,R91)</f>
        <v>1</v>
      </c>
      <c r="F91">
        <f>COUNTIF($E$2:E91,1)</f>
        <v>8</v>
      </c>
      <c r="G91" t="str">
        <f t="shared" si="7"/>
        <v>cds.services.cds</v>
      </c>
      <c r="H91" t="str">
        <f t="shared" si="8"/>
        <v>CDScds.services.cdsDevice</v>
      </c>
      <c r="I91" t="str">
        <f t="shared" si="9"/>
        <v/>
      </c>
      <c r="J91">
        <f>IF(I91="",0,COUNTIF($I$2:I91,I91))</f>
        <v>0</v>
      </c>
      <c r="K91">
        <f>COUNTIF($J$2:J91,1)</f>
        <v>15</v>
      </c>
      <c r="N91">
        <v>10</v>
      </c>
      <c r="O91" t="s">
        <v>31</v>
      </c>
      <c r="P91" t="s">
        <v>82</v>
      </c>
      <c r="Q91" t="s">
        <v>83</v>
      </c>
      <c r="R91" t="s">
        <v>84</v>
      </c>
      <c r="S91" t="s">
        <v>85</v>
      </c>
      <c r="T91" t="s">
        <v>85</v>
      </c>
      <c r="U91" t="s">
        <v>20</v>
      </c>
      <c r="W91" t="s">
        <v>21</v>
      </c>
    </row>
    <row r="92" spans="1:23" hidden="1" x14ac:dyDescent="0.25">
      <c r="A92">
        <f>COUNTIF($P$2:P92,P92)</f>
        <v>2</v>
      </c>
      <c r="B92">
        <f>COUNTIF($A$2:A92,1)</f>
        <v>8</v>
      </c>
      <c r="C92" t="str">
        <f t="shared" si="5"/>
        <v>CDS</v>
      </c>
      <c r="D92" t="str">
        <f t="shared" si="6"/>
        <v>CDSIntegrator</v>
      </c>
      <c r="E92">
        <f>COUNTIF($R$2:R92,R92)</f>
        <v>2</v>
      </c>
      <c r="F92">
        <f>COUNTIF($E$2:E92,1)</f>
        <v>8</v>
      </c>
      <c r="G92" t="str">
        <f t="shared" si="7"/>
        <v>cds.services.cds</v>
      </c>
      <c r="H92" t="str">
        <f t="shared" si="8"/>
        <v>CDScds.services.cdsIntegrator</v>
      </c>
      <c r="I92" t="str">
        <f t="shared" si="9"/>
        <v/>
      </c>
      <c r="J92">
        <f>IF(I92="",0,COUNTIF($I$2:I92,I92))</f>
        <v>0</v>
      </c>
      <c r="K92">
        <f>COUNTIF($J$2:J92,1)</f>
        <v>15</v>
      </c>
      <c r="N92">
        <v>25</v>
      </c>
      <c r="O92" t="s">
        <v>23</v>
      </c>
      <c r="P92" t="s">
        <v>82</v>
      </c>
      <c r="Q92" t="s">
        <v>83</v>
      </c>
      <c r="R92" t="s">
        <v>84</v>
      </c>
      <c r="S92" t="s">
        <v>85</v>
      </c>
      <c r="T92" t="s">
        <v>85</v>
      </c>
      <c r="U92" t="s">
        <v>20</v>
      </c>
      <c r="W92" t="s">
        <v>21</v>
      </c>
    </row>
    <row r="93" spans="1:23" hidden="1" x14ac:dyDescent="0.25">
      <c r="A93">
        <f>COUNTIF($P$2:P93,P93)</f>
        <v>3</v>
      </c>
      <c r="B93">
        <f>COUNTIF($A$2:A93,1)</f>
        <v>8</v>
      </c>
      <c r="C93" t="str">
        <f t="shared" si="5"/>
        <v>CDS</v>
      </c>
      <c r="D93" t="str">
        <f t="shared" si="6"/>
        <v>CDSParent</v>
      </c>
      <c r="E93">
        <f>COUNTIF($R$2:R93,R93)</f>
        <v>3</v>
      </c>
      <c r="F93">
        <f>COUNTIF($E$2:E93,1)</f>
        <v>8</v>
      </c>
      <c r="G93" t="str">
        <f t="shared" si="7"/>
        <v>cds.services.cds</v>
      </c>
      <c r="H93" t="str">
        <f t="shared" si="8"/>
        <v>CDScds.services.cdsParent</v>
      </c>
      <c r="I93" t="str">
        <f t="shared" si="9"/>
        <v/>
      </c>
      <c r="J93">
        <f>IF(I93="",0,COUNTIF($I$2:I93,I93))</f>
        <v>0</v>
      </c>
      <c r="K93">
        <f>COUNTIF($J$2:J93,1)</f>
        <v>15</v>
      </c>
      <c r="N93">
        <v>24</v>
      </c>
      <c r="O93" t="s">
        <v>15</v>
      </c>
      <c r="P93" t="s">
        <v>82</v>
      </c>
      <c r="Q93" t="s">
        <v>83</v>
      </c>
      <c r="R93" t="s">
        <v>84</v>
      </c>
      <c r="S93" t="s">
        <v>85</v>
      </c>
      <c r="T93" t="s">
        <v>85</v>
      </c>
      <c r="U93" t="s">
        <v>20</v>
      </c>
      <c r="W93" t="s">
        <v>21</v>
      </c>
    </row>
    <row r="94" spans="1:23" hidden="1" x14ac:dyDescent="0.25">
      <c r="A94">
        <f>COUNTIF($P$2:P94,P94)</f>
        <v>4</v>
      </c>
      <c r="B94">
        <f>COUNTIF($A$2:A94,1)</f>
        <v>8</v>
      </c>
      <c r="C94" t="str">
        <f t="shared" si="5"/>
        <v>CDS</v>
      </c>
      <c r="D94" t="str">
        <f t="shared" si="6"/>
        <v>CDSDevice</v>
      </c>
      <c r="E94">
        <f>COUNTIF($R$2:R94,R94)</f>
        <v>4</v>
      </c>
      <c r="F94">
        <f>COUNTIF($E$2:E94,1)</f>
        <v>8</v>
      </c>
      <c r="G94" t="str">
        <f t="shared" si="7"/>
        <v>cds.services.cds</v>
      </c>
      <c r="H94" t="str">
        <f t="shared" si="8"/>
        <v>CDScds.services.cdsDevice</v>
      </c>
      <c r="I94" t="str">
        <f t="shared" si="9"/>
        <v/>
      </c>
      <c r="J94">
        <f>IF(I94="",0,COUNTIF($I$2:I94,I94))</f>
        <v>0</v>
      </c>
      <c r="K94">
        <f>COUNTIF($J$2:J94,1)</f>
        <v>15</v>
      </c>
      <c r="N94">
        <v>10</v>
      </c>
      <c r="O94" t="s">
        <v>31</v>
      </c>
      <c r="P94" t="s">
        <v>82</v>
      </c>
      <c r="Q94" t="s">
        <v>83</v>
      </c>
      <c r="R94" t="s">
        <v>84</v>
      </c>
      <c r="S94" t="s">
        <v>85</v>
      </c>
      <c r="T94" t="s">
        <v>85</v>
      </c>
      <c r="U94" t="s">
        <v>20</v>
      </c>
      <c r="W94" t="s">
        <v>22</v>
      </c>
    </row>
    <row r="95" spans="1:23" hidden="1" x14ac:dyDescent="0.25">
      <c r="A95">
        <f>COUNTIF($P$2:P95,P95)</f>
        <v>5</v>
      </c>
      <c r="B95">
        <f>COUNTIF($A$2:A95,1)</f>
        <v>8</v>
      </c>
      <c r="C95" t="str">
        <f t="shared" si="5"/>
        <v>CDS</v>
      </c>
      <c r="D95" t="str">
        <f t="shared" si="6"/>
        <v>CDSIntegrator</v>
      </c>
      <c r="E95">
        <f>COUNTIF($R$2:R95,R95)</f>
        <v>5</v>
      </c>
      <c r="F95">
        <f>COUNTIF($E$2:E95,1)</f>
        <v>8</v>
      </c>
      <c r="G95" t="str">
        <f t="shared" si="7"/>
        <v>cds.services.cds</v>
      </c>
      <c r="H95" t="str">
        <f t="shared" si="8"/>
        <v>CDScds.services.cdsIntegrator</v>
      </c>
      <c r="I95" t="str">
        <f t="shared" si="9"/>
        <v/>
      </c>
      <c r="J95">
        <f>IF(I95="",0,COUNTIF($I$2:I95,I95))</f>
        <v>0</v>
      </c>
      <c r="K95">
        <f>COUNTIF($J$2:J95,1)</f>
        <v>15</v>
      </c>
      <c r="N95">
        <v>24</v>
      </c>
      <c r="O95" t="s">
        <v>23</v>
      </c>
      <c r="P95" t="s">
        <v>82</v>
      </c>
      <c r="Q95" t="s">
        <v>83</v>
      </c>
      <c r="R95" t="s">
        <v>84</v>
      </c>
      <c r="S95" t="s">
        <v>85</v>
      </c>
      <c r="T95" t="s">
        <v>85</v>
      </c>
      <c r="U95" t="s">
        <v>20</v>
      </c>
      <c r="W95" t="s">
        <v>22</v>
      </c>
    </row>
    <row r="96" spans="1:23" hidden="1" x14ac:dyDescent="0.25">
      <c r="A96">
        <f>COUNTIF($P$2:P96,P96)</f>
        <v>6</v>
      </c>
      <c r="B96">
        <f>COUNTIF($A$2:A96,1)</f>
        <v>8</v>
      </c>
      <c r="C96" t="str">
        <f t="shared" si="5"/>
        <v>CDS</v>
      </c>
      <c r="D96" t="str">
        <f t="shared" si="6"/>
        <v>CDSParent</v>
      </c>
      <c r="E96">
        <f>COUNTIF($R$2:R96,R96)</f>
        <v>6</v>
      </c>
      <c r="F96">
        <f>COUNTIF($E$2:E96,1)</f>
        <v>8</v>
      </c>
      <c r="G96" t="str">
        <f t="shared" si="7"/>
        <v>cds.services.cds</v>
      </c>
      <c r="H96" t="str">
        <f t="shared" si="8"/>
        <v>CDScds.services.cdsParent</v>
      </c>
      <c r="I96" t="str">
        <f t="shared" si="9"/>
        <v/>
      </c>
      <c r="J96">
        <f>IF(I96="",0,COUNTIF($I$2:I96,I96))</f>
        <v>0</v>
      </c>
      <c r="K96">
        <f>COUNTIF($J$2:J96,1)</f>
        <v>15</v>
      </c>
      <c r="N96">
        <v>23</v>
      </c>
      <c r="O96" t="s">
        <v>15</v>
      </c>
      <c r="P96" t="s">
        <v>82</v>
      </c>
      <c r="Q96" t="s">
        <v>83</v>
      </c>
      <c r="R96" t="s">
        <v>84</v>
      </c>
      <c r="S96" t="s">
        <v>85</v>
      </c>
      <c r="T96" t="s">
        <v>85</v>
      </c>
      <c r="U96" t="s">
        <v>20</v>
      </c>
      <c r="W96" t="s">
        <v>22</v>
      </c>
    </row>
    <row r="97" spans="1:26" hidden="1" x14ac:dyDescent="0.25">
      <c r="A97">
        <f>COUNTIF($P$2:P97,P97)</f>
        <v>1</v>
      </c>
      <c r="B97">
        <f>COUNTIF($A$2:A97,1)</f>
        <v>9</v>
      </c>
      <c r="C97" t="str">
        <f t="shared" si="5"/>
        <v>CDVS</v>
      </c>
      <c r="D97" t="str">
        <f t="shared" si="6"/>
        <v>CDVSParent</v>
      </c>
      <c r="E97">
        <f>COUNTIF($R$2:R97,R97)</f>
        <v>1</v>
      </c>
      <c r="F97">
        <f>COUNTIF($E$2:E97,1)</f>
        <v>9</v>
      </c>
      <c r="G97" t="str">
        <f t="shared" si="7"/>
        <v>cdvs.services.cdvs</v>
      </c>
      <c r="H97" t="str">
        <f t="shared" si="8"/>
        <v>CDVScdvs.services.cdvsParent</v>
      </c>
      <c r="I97" t="str">
        <f t="shared" si="9"/>
        <v/>
      </c>
      <c r="J97">
        <f>IF(I97="",0,COUNTIF($I$2:I97,I97))</f>
        <v>0</v>
      </c>
      <c r="K97">
        <f>COUNTIF($J$2:J97,1)</f>
        <v>15</v>
      </c>
      <c r="N97">
        <v>1</v>
      </c>
      <c r="O97" t="s">
        <v>15</v>
      </c>
      <c r="P97" t="s">
        <v>86</v>
      </c>
      <c r="Q97" t="s">
        <v>87</v>
      </c>
      <c r="R97" t="s">
        <v>88</v>
      </c>
      <c r="S97" t="s">
        <v>87</v>
      </c>
      <c r="T97" t="s">
        <v>89</v>
      </c>
      <c r="U97" t="s">
        <v>20</v>
      </c>
      <c r="W97" t="s">
        <v>22</v>
      </c>
    </row>
    <row r="98" spans="1:26" hidden="1" x14ac:dyDescent="0.25">
      <c r="A98">
        <f>COUNTIF($P$2:P98,P98)</f>
        <v>2</v>
      </c>
      <c r="B98">
        <f>COUNTIF($A$2:A98,1)</f>
        <v>9</v>
      </c>
      <c r="C98" t="str">
        <f t="shared" si="5"/>
        <v>CDVS</v>
      </c>
      <c r="D98" t="str">
        <f t="shared" si="6"/>
        <v>CDVSIntegrator</v>
      </c>
      <c r="E98">
        <f>COUNTIF($R$2:R98,R98)</f>
        <v>2</v>
      </c>
      <c r="F98">
        <f>COUNTIF($E$2:E98,1)</f>
        <v>9</v>
      </c>
      <c r="G98" t="str">
        <f t="shared" si="7"/>
        <v>cdvs.services.cdvs</v>
      </c>
      <c r="H98" t="str">
        <f t="shared" si="8"/>
        <v>CDVScdvs.services.cdvsIntegrator</v>
      </c>
      <c r="I98" t="str">
        <f t="shared" si="9"/>
        <v/>
      </c>
      <c r="J98">
        <f>IF(I98="",0,COUNTIF($I$2:I98,I98))</f>
        <v>0</v>
      </c>
      <c r="K98">
        <f>COUNTIF($J$2:J98,1)</f>
        <v>15</v>
      </c>
      <c r="N98">
        <v>1</v>
      </c>
      <c r="O98" t="s">
        <v>23</v>
      </c>
      <c r="P98" t="s">
        <v>86</v>
      </c>
      <c r="Q98" t="s">
        <v>87</v>
      </c>
      <c r="R98" t="s">
        <v>88</v>
      </c>
      <c r="S98" t="s">
        <v>87</v>
      </c>
      <c r="T98" t="s">
        <v>89</v>
      </c>
      <c r="U98" t="s">
        <v>20</v>
      </c>
      <c r="W98" t="s">
        <v>21</v>
      </c>
    </row>
    <row r="99" spans="1:26" hidden="1" x14ac:dyDescent="0.25">
      <c r="A99">
        <f>COUNTIF($P$2:P99,P99)</f>
        <v>3</v>
      </c>
      <c r="B99">
        <f>COUNTIF($A$2:A99,1)</f>
        <v>9</v>
      </c>
      <c r="C99" t="str">
        <f t="shared" si="5"/>
        <v>CDVS</v>
      </c>
      <c r="D99" t="str">
        <f t="shared" si="6"/>
        <v>CDVSParent</v>
      </c>
      <c r="E99">
        <f>COUNTIF($R$2:R99,R99)</f>
        <v>3</v>
      </c>
      <c r="F99">
        <f>COUNTIF($E$2:E99,1)</f>
        <v>9</v>
      </c>
      <c r="G99" t="str">
        <f t="shared" si="7"/>
        <v>cdvs.services.cdvs</v>
      </c>
      <c r="H99" t="str">
        <f t="shared" si="8"/>
        <v>CDVScdvs.services.cdvsParent</v>
      </c>
      <c r="I99" t="str">
        <f t="shared" si="9"/>
        <v/>
      </c>
      <c r="J99">
        <f>IF(I99="",0,COUNTIF($I$2:I99,I99))</f>
        <v>0</v>
      </c>
      <c r="K99">
        <f>COUNTIF($J$2:J99,1)</f>
        <v>15</v>
      </c>
      <c r="N99">
        <v>1</v>
      </c>
      <c r="O99" t="s">
        <v>15</v>
      </c>
      <c r="P99" t="s">
        <v>86</v>
      </c>
      <c r="Q99" t="s">
        <v>87</v>
      </c>
      <c r="R99" t="s">
        <v>88</v>
      </c>
      <c r="S99" t="s">
        <v>87</v>
      </c>
      <c r="T99" t="s">
        <v>89</v>
      </c>
      <c r="U99" t="s">
        <v>20</v>
      </c>
      <c r="W99" t="s">
        <v>21</v>
      </c>
    </row>
    <row r="100" spans="1:26" hidden="1" x14ac:dyDescent="0.25">
      <c r="A100">
        <f>COUNTIF($P$2:P100,P100)</f>
        <v>4</v>
      </c>
      <c r="B100">
        <f>COUNTIF($A$2:A100,1)</f>
        <v>9</v>
      </c>
      <c r="C100" t="str">
        <f t="shared" si="5"/>
        <v>CDVS</v>
      </c>
      <c r="D100" t="str">
        <f t="shared" si="6"/>
        <v>CDVSIntegrator</v>
      </c>
      <c r="E100">
        <f>COUNTIF($R$2:R100,R100)</f>
        <v>4</v>
      </c>
      <c r="F100">
        <f>COUNTIF($E$2:E100,1)</f>
        <v>9</v>
      </c>
      <c r="G100" t="str">
        <f t="shared" si="7"/>
        <v>cdvs.services.cdvs</v>
      </c>
      <c r="H100" t="str">
        <f t="shared" si="8"/>
        <v>CDVScdvs.services.cdvsIntegrator</v>
      </c>
      <c r="I100" t="str">
        <f t="shared" si="9"/>
        <v/>
      </c>
      <c r="J100">
        <f>IF(I100="",0,COUNTIF($I$2:I100,I100))</f>
        <v>0</v>
      </c>
      <c r="K100">
        <f>COUNTIF($J$2:J100,1)</f>
        <v>15</v>
      </c>
      <c r="N100">
        <v>1</v>
      </c>
      <c r="O100" t="s">
        <v>23</v>
      </c>
      <c r="P100" t="s">
        <v>86</v>
      </c>
      <c r="Q100" t="s">
        <v>87</v>
      </c>
      <c r="R100" t="s">
        <v>88</v>
      </c>
      <c r="S100" t="s">
        <v>87</v>
      </c>
      <c r="T100" t="s">
        <v>89</v>
      </c>
      <c r="U100" t="s">
        <v>20</v>
      </c>
      <c r="W100" t="s">
        <v>22</v>
      </c>
    </row>
    <row r="101" spans="1:26" hidden="1" x14ac:dyDescent="0.25">
      <c r="A101">
        <f>COUNTIF($P$2:P101,P101)</f>
        <v>1</v>
      </c>
      <c r="B101">
        <f>COUNTIF($A$2:A101,1)</f>
        <v>10</v>
      </c>
      <c r="C101" t="str">
        <f t="shared" si="5"/>
        <v>CMS</v>
      </c>
      <c r="D101" t="str">
        <f t="shared" si="6"/>
        <v>CMSDevice</v>
      </c>
      <c r="E101">
        <f>COUNTIF($R$2:R101,R101)</f>
        <v>1</v>
      </c>
      <c r="F101">
        <f>COUNTIF($E$2:E101,1)</f>
        <v>10</v>
      </c>
      <c r="G101" t="str">
        <f t="shared" si="7"/>
        <v>cms.services.cms</v>
      </c>
      <c r="H101" t="str">
        <f t="shared" si="8"/>
        <v>CMScms.services.cmsDevice</v>
      </c>
      <c r="I101" t="str">
        <f t="shared" si="9"/>
        <v>CMScms.services.cmscms.track.request</v>
      </c>
      <c r="J101">
        <f>IF(I101="",0,COUNTIF($I$2:I101,I101))</f>
        <v>1</v>
      </c>
      <c r="K101">
        <f>COUNTIF($J$2:J101,1)</f>
        <v>16</v>
      </c>
      <c r="N101">
        <v>34</v>
      </c>
      <c r="O101" t="s">
        <v>31</v>
      </c>
      <c r="P101" t="s">
        <v>90</v>
      </c>
      <c r="Q101" t="s">
        <v>91</v>
      </c>
      <c r="R101" t="s">
        <v>92</v>
      </c>
      <c r="S101" t="s">
        <v>91</v>
      </c>
      <c r="T101" t="s">
        <v>91</v>
      </c>
      <c r="U101" t="s">
        <v>20</v>
      </c>
      <c r="V101" t="s">
        <v>93</v>
      </c>
      <c r="W101" t="s">
        <v>21</v>
      </c>
      <c r="X101" t="s">
        <v>21</v>
      </c>
      <c r="Y101" t="b">
        <v>1</v>
      </c>
      <c r="Z101">
        <v>5043</v>
      </c>
    </row>
    <row r="102" spans="1:26" hidden="1" x14ac:dyDescent="0.25">
      <c r="A102">
        <f>COUNTIF($P$2:P102,P102)</f>
        <v>2</v>
      </c>
      <c r="B102">
        <f>COUNTIF($A$2:A102,1)</f>
        <v>10</v>
      </c>
      <c r="C102" t="str">
        <f t="shared" si="5"/>
        <v>CMS</v>
      </c>
      <c r="D102" t="str">
        <f t="shared" si="6"/>
        <v>CMSParent</v>
      </c>
      <c r="E102">
        <f>COUNTIF($R$2:R102,R102)</f>
        <v>2</v>
      </c>
      <c r="F102">
        <f>COUNTIF($E$2:E102,1)</f>
        <v>10</v>
      </c>
      <c r="G102" t="str">
        <f t="shared" si="7"/>
        <v>cms.services.cms</v>
      </c>
      <c r="H102" t="str">
        <f t="shared" si="8"/>
        <v>CMScms.services.cmsParent</v>
      </c>
      <c r="I102" t="str">
        <f t="shared" si="9"/>
        <v/>
      </c>
      <c r="J102">
        <f>IF(I102="",0,COUNTIF($I$2:I102,I102))</f>
        <v>0</v>
      </c>
      <c r="K102">
        <f>COUNTIF($J$2:J102,1)</f>
        <v>16</v>
      </c>
      <c r="N102">
        <v>1</v>
      </c>
      <c r="O102" t="s">
        <v>15</v>
      </c>
      <c r="P102" t="s">
        <v>90</v>
      </c>
      <c r="Q102" t="s">
        <v>91</v>
      </c>
      <c r="R102" t="s">
        <v>92</v>
      </c>
      <c r="S102" t="s">
        <v>91</v>
      </c>
      <c r="T102" t="s">
        <v>91</v>
      </c>
      <c r="U102" t="s">
        <v>20</v>
      </c>
      <c r="W102" t="s">
        <v>21</v>
      </c>
    </row>
    <row r="103" spans="1:26" hidden="1" x14ac:dyDescent="0.25">
      <c r="A103">
        <f>COUNTIF($P$2:P103,P103)</f>
        <v>3</v>
      </c>
      <c r="B103">
        <f>COUNTIF($A$2:A103,1)</f>
        <v>10</v>
      </c>
      <c r="C103" t="str">
        <f t="shared" si="5"/>
        <v>CMS</v>
      </c>
      <c r="D103" t="str">
        <f t="shared" si="6"/>
        <v>CMSDevice</v>
      </c>
      <c r="E103">
        <f>COUNTIF($R$2:R103,R103)</f>
        <v>3</v>
      </c>
      <c r="F103">
        <f>COUNTIF($E$2:E103,1)</f>
        <v>10</v>
      </c>
      <c r="G103" t="str">
        <f t="shared" si="7"/>
        <v>cms.services.cms</v>
      </c>
      <c r="H103" t="str">
        <f t="shared" si="8"/>
        <v>CMScms.services.cmsDevice</v>
      </c>
      <c r="I103" t="str">
        <f t="shared" si="9"/>
        <v/>
      </c>
      <c r="J103">
        <f>IF(I103="",0,COUNTIF($I$2:I103,I103))</f>
        <v>0</v>
      </c>
      <c r="K103">
        <f>COUNTIF($J$2:J103,1)</f>
        <v>16</v>
      </c>
      <c r="N103">
        <v>71</v>
      </c>
      <c r="O103" t="s">
        <v>31</v>
      </c>
      <c r="P103" t="s">
        <v>90</v>
      </c>
      <c r="Q103" t="s">
        <v>91</v>
      </c>
      <c r="R103" t="s">
        <v>92</v>
      </c>
      <c r="S103" t="s">
        <v>91</v>
      </c>
      <c r="T103" t="s">
        <v>91</v>
      </c>
      <c r="U103" t="s">
        <v>20</v>
      </c>
      <c r="W103" t="s">
        <v>22</v>
      </c>
    </row>
    <row r="104" spans="1:26" hidden="1" x14ac:dyDescent="0.25">
      <c r="A104">
        <f>COUNTIF($P$2:P104,P104)</f>
        <v>4</v>
      </c>
      <c r="B104">
        <f>COUNTIF($A$2:A104,1)</f>
        <v>10</v>
      </c>
      <c r="C104" t="str">
        <f t="shared" si="5"/>
        <v>CMS</v>
      </c>
      <c r="D104" t="str">
        <f t="shared" si="6"/>
        <v>CMSParent</v>
      </c>
      <c r="E104">
        <f>COUNTIF($R$2:R104,R104)</f>
        <v>4</v>
      </c>
      <c r="F104">
        <f>COUNTIF($E$2:E104,1)</f>
        <v>10</v>
      </c>
      <c r="G104" t="str">
        <f t="shared" si="7"/>
        <v>cms.services.cms</v>
      </c>
      <c r="H104" t="str">
        <f t="shared" si="8"/>
        <v>CMScms.services.cmsParent</v>
      </c>
      <c r="I104" t="str">
        <f t="shared" si="9"/>
        <v/>
      </c>
      <c r="J104">
        <f>IF(I104="",0,COUNTIF($I$2:I104,I104))</f>
        <v>0</v>
      </c>
      <c r="K104">
        <f>COUNTIF($J$2:J104,1)</f>
        <v>16</v>
      </c>
      <c r="N104">
        <v>265</v>
      </c>
      <c r="O104" t="s">
        <v>15</v>
      </c>
      <c r="P104" t="s">
        <v>90</v>
      </c>
      <c r="Q104" t="s">
        <v>91</v>
      </c>
      <c r="R104" t="s">
        <v>92</v>
      </c>
      <c r="S104" t="s">
        <v>91</v>
      </c>
      <c r="T104" t="s">
        <v>91</v>
      </c>
      <c r="U104" t="s">
        <v>20</v>
      </c>
      <c r="W104" t="s">
        <v>22</v>
      </c>
    </row>
    <row r="105" spans="1:26" hidden="1" x14ac:dyDescent="0.25">
      <c r="A105">
        <f>COUNTIF($P$2:P105,P105)</f>
        <v>5</v>
      </c>
      <c r="B105">
        <f>COUNTIF($A$2:A105,1)</f>
        <v>10</v>
      </c>
      <c r="C105" t="str">
        <f t="shared" si="5"/>
        <v>CMS</v>
      </c>
      <c r="D105" t="str">
        <f t="shared" si="6"/>
        <v>CMSParent</v>
      </c>
      <c r="E105">
        <f>COUNTIF($R$2:R105,R105)</f>
        <v>5</v>
      </c>
      <c r="F105">
        <f>COUNTIF($E$2:E105,1)</f>
        <v>10</v>
      </c>
      <c r="G105" t="str">
        <f t="shared" si="7"/>
        <v>cms.services.cms</v>
      </c>
      <c r="H105" t="str">
        <f t="shared" si="8"/>
        <v>CMScms.services.cmsParent</v>
      </c>
      <c r="I105" t="str">
        <f t="shared" si="9"/>
        <v/>
      </c>
      <c r="J105">
        <f>IF(I105="",0,COUNTIF($I$2:I105,I105))</f>
        <v>0</v>
      </c>
      <c r="K105">
        <f>COUNTIF($J$2:J105,1)</f>
        <v>16</v>
      </c>
      <c r="N105">
        <v>1</v>
      </c>
      <c r="O105" t="s">
        <v>15</v>
      </c>
      <c r="P105" t="s">
        <v>90</v>
      </c>
      <c r="Q105" t="s">
        <v>91</v>
      </c>
      <c r="R105" t="s">
        <v>92</v>
      </c>
      <c r="S105" t="s">
        <v>91</v>
      </c>
      <c r="T105" t="s">
        <v>91</v>
      </c>
      <c r="U105" t="s">
        <v>20</v>
      </c>
      <c r="W105" t="s">
        <v>22</v>
      </c>
    </row>
    <row r="106" spans="1:26" hidden="1" x14ac:dyDescent="0.25">
      <c r="A106">
        <f>COUNTIF($P$2:P106,P106)</f>
        <v>6</v>
      </c>
      <c r="B106">
        <f>COUNTIF($A$2:A106,1)</f>
        <v>10</v>
      </c>
      <c r="C106" t="str">
        <f t="shared" si="5"/>
        <v>CMS</v>
      </c>
      <c r="D106" t="str">
        <f t="shared" si="6"/>
        <v>CMSParent</v>
      </c>
      <c r="E106">
        <f>COUNTIF($R$2:R106,R106)</f>
        <v>6</v>
      </c>
      <c r="F106">
        <f>COUNTIF($E$2:E106,1)</f>
        <v>10</v>
      </c>
      <c r="G106" t="str">
        <f t="shared" si="7"/>
        <v>cms.services.cms</v>
      </c>
      <c r="H106" t="str">
        <f t="shared" si="8"/>
        <v>CMScms.services.cmsParent</v>
      </c>
      <c r="I106" t="str">
        <f t="shared" si="9"/>
        <v/>
      </c>
      <c r="J106">
        <f>IF(I106="",0,COUNTIF($I$2:I106,I106))</f>
        <v>0</v>
      </c>
      <c r="K106">
        <f>COUNTIF($J$2:J106,1)</f>
        <v>16</v>
      </c>
      <c r="N106">
        <v>56</v>
      </c>
      <c r="O106" t="s">
        <v>15</v>
      </c>
      <c r="P106" t="s">
        <v>90</v>
      </c>
      <c r="Q106" t="s">
        <v>91</v>
      </c>
      <c r="R106" t="s">
        <v>92</v>
      </c>
      <c r="S106" t="s">
        <v>91</v>
      </c>
      <c r="T106" t="s">
        <v>91</v>
      </c>
      <c r="U106" t="s">
        <v>20</v>
      </c>
      <c r="W106" t="s">
        <v>22</v>
      </c>
    </row>
    <row r="107" spans="1:26" hidden="1" x14ac:dyDescent="0.25">
      <c r="A107">
        <f>COUNTIF($P$2:P107,P107)</f>
        <v>7</v>
      </c>
      <c r="B107">
        <f>COUNTIF($A$2:A107,1)</f>
        <v>10</v>
      </c>
      <c r="C107" t="str">
        <f t="shared" si="5"/>
        <v>CMS</v>
      </c>
      <c r="D107" t="str">
        <f t="shared" si="6"/>
        <v>CMSIntegrator</v>
      </c>
      <c r="E107">
        <f>COUNTIF($R$2:R107,R107)</f>
        <v>7</v>
      </c>
      <c r="F107">
        <f>COUNTIF($E$2:E107,1)</f>
        <v>10</v>
      </c>
      <c r="G107" t="str">
        <f t="shared" si="7"/>
        <v>cms.services.cms</v>
      </c>
      <c r="H107" t="str">
        <f t="shared" si="8"/>
        <v>CMScms.services.cmsIntegrator</v>
      </c>
      <c r="I107" t="str">
        <f t="shared" si="9"/>
        <v/>
      </c>
      <c r="J107">
        <f>IF(I107="",0,COUNTIF($I$2:I107,I107))</f>
        <v>0</v>
      </c>
      <c r="K107">
        <f>COUNTIF($J$2:J107,1)</f>
        <v>16</v>
      </c>
      <c r="N107">
        <v>48</v>
      </c>
      <c r="O107" t="s">
        <v>23</v>
      </c>
      <c r="P107" t="s">
        <v>90</v>
      </c>
      <c r="Q107" t="s">
        <v>91</v>
      </c>
      <c r="R107" t="s">
        <v>92</v>
      </c>
      <c r="S107" t="s">
        <v>91</v>
      </c>
      <c r="T107" t="s">
        <v>91</v>
      </c>
      <c r="U107" t="s">
        <v>20</v>
      </c>
      <c r="W107" t="s">
        <v>22</v>
      </c>
    </row>
    <row r="108" spans="1:26" hidden="1" x14ac:dyDescent="0.25">
      <c r="A108">
        <f>COUNTIF($P$2:P108,P108)</f>
        <v>8</v>
      </c>
      <c r="B108">
        <f>COUNTIF($A$2:A108,1)</f>
        <v>10</v>
      </c>
      <c r="C108" t="str">
        <f t="shared" si="5"/>
        <v>CMS</v>
      </c>
      <c r="D108" t="str">
        <f t="shared" si="6"/>
        <v>CMSDevice</v>
      </c>
      <c r="E108">
        <f>COUNTIF($R$2:R108,R108)</f>
        <v>8</v>
      </c>
      <c r="F108">
        <f>COUNTIF($E$2:E108,1)</f>
        <v>10</v>
      </c>
      <c r="G108" t="str">
        <f t="shared" si="7"/>
        <v>cms.services.cms</v>
      </c>
      <c r="H108" t="str">
        <f t="shared" si="8"/>
        <v>CMScms.services.cmsDevice</v>
      </c>
      <c r="I108" t="str">
        <f t="shared" si="9"/>
        <v/>
      </c>
      <c r="J108">
        <f>IF(I108="",0,COUNTIF($I$2:I108,I108))</f>
        <v>0</v>
      </c>
      <c r="K108">
        <f>COUNTIF($J$2:J108,1)</f>
        <v>16</v>
      </c>
      <c r="N108">
        <v>1</v>
      </c>
      <c r="O108" t="s">
        <v>31</v>
      </c>
      <c r="P108" t="s">
        <v>90</v>
      </c>
      <c r="Q108" t="s">
        <v>91</v>
      </c>
      <c r="R108" t="s">
        <v>92</v>
      </c>
      <c r="S108" t="s">
        <v>91</v>
      </c>
      <c r="T108" t="s">
        <v>91</v>
      </c>
      <c r="U108" t="s">
        <v>20</v>
      </c>
      <c r="W108" t="s">
        <v>21</v>
      </c>
    </row>
    <row r="109" spans="1:26" hidden="1" x14ac:dyDescent="0.25">
      <c r="A109">
        <f>COUNTIF($P$2:P109,P109)</f>
        <v>9</v>
      </c>
      <c r="B109">
        <f>COUNTIF($A$2:A109,1)</f>
        <v>10</v>
      </c>
      <c r="C109" t="str">
        <f t="shared" si="5"/>
        <v>CMS</v>
      </c>
      <c r="D109" t="str">
        <f t="shared" si="6"/>
        <v>CMSDevice</v>
      </c>
      <c r="E109">
        <f>COUNTIF($R$2:R109,R109)</f>
        <v>9</v>
      </c>
      <c r="F109">
        <f>COUNTIF($E$2:E109,1)</f>
        <v>10</v>
      </c>
      <c r="G109" t="str">
        <f t="shared" si="7"/>
        <v>cms.services.cms</v>
      </c>
      <c r="H109" t="str">
        <f t="shared" si="8"/>
        <v>CMScms.services.cmsDevice</v>
      </c>
      <c r="I109" t="str">
        <f t="shared" si="9"/>
        <v/>
      </c>
      <c r="J109">
        <f>IF(I109="",0,COUNTIF($I$2:I109,I109))</f>
        <v>0</v>
      </c>
      <c r="K109">
        <f>COUNTIF($J$2:J109,1)</f>
        <v>16</v>
      </c>
      <c r="N109">
        <v>1</v>
      </c>
      <c r="O109" t="s">
        <v>31</v>
      </c>
      <c r="P109" t="s">
        <v>90</v>
      </c>
      <c r="Q109" t="s">
        <v>91</v>
      </c>
      <c r="R109" t="s">
        <v>92</v>
      </c>
      <c r="S109" t="s">
        <v>91</v>
      </c>
      <c r="T109" t="s">
        <v>91</v>
      </c>
      <c r="U109" t="s">
        <v>20</v>
      </c>
      <c r="W109" t="s">
        <v>21</v>
      </c>
    </row>
    <row r="110" spans="1:26" hidden="1" x14ac:dyDescent="0.25">
      <c r="A110">
        <f>COUNTIF($P$2:P110,P110)</f>
        <v>10</v>
      </c>
      <c r="B110">
        <f>COUNTIF($A$2:A110,1)</f>
        <v>10</v>
      </c>
      <c r="C110" t="str">
        <f t="shared" si="5"/>
        <v>CMS</v>
      </c>
      <c r="D110" t="str">
        <f t="shared" si="6"/>
        <v>CMSParent</v>
      </c>
      <c r="E110">
        <f>COUNTIF($R$2:R110,R110)</f>
        <v>10</v>
      </c>
      <c r="F110">
        <f>COUNTIF($E$2:E110,1)</f>
        <v>10</v>
      </c>
      <c r="G110" t="str">
        <f t="shared" si="7"/>
        <v>cms.services.cms</v>
      </c>
      <c r="H110" t="str">
        <f t="shared" si="8"/>
        <v>CMScms.services.cmsParent</v>
      </c>
      <c r="I110" t="str">
        <f t="shared" si="9"/>
        <v/>
      </c>
      <c r="J110">
        <f>IF(I110="",0,COUNTIF($I$2:I110,I110))</f>
        <v>0</v>
      </c>
      <c r="K110">
        <f>COUNTIF($J$2:J110,1)</f>
        <v>16</v>
      </c>
      <c r="N110">
        <v>69</v>
      </c>
      <c r="O110" t="s">
        <v>15</v>
      </c>
      <c r="P110" t="s">
        <v>90</v>
      </c>
      <c r="Q110" t="s">
        <v>91</v>
      </c>
      <c r="R110" t="s">
        <v>92</v>
      </c>
      <c r="S110" t="s">
        <v>91</v>
      </c>
      <c r="T110" t="s">
        <v>91</v>
      </c>
      <c r="U110" t="s">
        <v>20</v>
      </c>
      <c r="W110" t="s">
        <v>21</v>
      </c>
    </row>
    <row r="111" spans="1:26" hidden="1" x14ac:dyDescent="0.25">
      <c r="A111">
        <f>COUNTIF($P$2:P111,P111)</f>
        <v>11</v>
      </c>
      <c r="B111">
        <f>COUNTIF($A$2:A111,1)</f>
        <v>10</v>
      </c>
      <c r="C111" t="str">
        <f t="shared" si="5"/>
        <v>CMS</v>
      </c>
      <c r="D111" t="str">
        <f t="shared" si="6"/>
        <v>CMSIntegrator</v>
      </c>
      <c r="E111">
        <f>COUNTIF($R$2:R111,R111)</f>
        <v>11</v>
      </c>
      <c r="F111">
        <f>COUNTIF($E$2:E111,1)</f>
        <v>10</v>
      </c>
      <c r="G111" t="str">
        <f t="shared" si="7"/>
        <v>cms.services.cms</v>
      </c>
      <c r="H111" t="str">
        <f t="shared" si="8"/>
        <v>CMScms.services.cmsIntegrator</v>
      </c>
      <c r="I111" t="str">
        <f t="shared" si="9"/>
        <v/>
      </c>
      <c r="J111">
        <f>IF(I111="",0,COUNTIF($I$2:I111,I111))</f>
        <v>0</v>
      </c>
      <c r="K111">
        <f>COUNTIF($J$2:J111,1)</f>
        <v>16</v>
      </c>
      <c r="N111">
        <v>48</v>
      </c>
      <c r="O111" t="s">
        <v>23</v>
      </c>
      <c r="P111" t="s">
        <v>90</v>
      </c>
      <c r="Q111" t="s">
        <v>91</v>
      </c>
      <c r="R111" t="s">
        <v>92</v>
      </c>
      <c r="S111" t="s">
        <v>91</v>
      </c>
      <c r="T111" t="s">
        <v>91</v>
      </c>
      <c r="U111" t="s">
        <v>20</v>
      </c>
      <c r="W111" t="s">
        <v>21</v>
      </c>
    </row>
    <row r="112" spans="1:26" hidden="1" x14ac:dyDescent="0.25">
      <c r="A112">
        <f>COUNTIF($P$2:P112,P112)</f>
        <v>12</v>
      </c>
      <c r="B112">
        <f>COUNTIF($A$2:A112,1)</f>
        <v>10</v>
      </c>
      <c r="C112" t="str">
        <f t="shared" si="5"/>
        <v>CMS</v>
      </c>
      <c r="D112" t="str">
        <f t="shared" si="6"/>
        <v>CMSParent</v>
      </c>
      <c r="E112">
        <f>COUNTIF($R$2:R112,R112)</f>
        <v>12</v>
      </c>
      <c r="F112">
        <f>COUNTIF($E$2:E112,1)</f>
        <v>10</v>
      </c>
      <c r="G112" t="str">
        <f t="shared" si="7"/>
        <v>cms.services.cms</v>
      </c>
      <c r="H112" t="str">
        <f t="shared" si="8"/>
        <v>CMScms.services.cmsParent</v>
      </c>
      <c r="I112" t="str">
        <f t="shared" si="9"/>
        <v/>
      </c>
      <c r="J112">
        <f>IF(I112="",0,COUNTIF($I$2:I112,I112))</f>
        <v>0</v>
      </c>
      <c r="K112">
        <f>COUNTIF($J$2:J112,1)</f>
        <v>16</v>
      </c>
      <c r="N112">
        <v>1</v>
      </c>
      <c r="O112" t="s">
        <v>15</v>
      </c>
      <c r="P112" t="s">
        <v>90</v>
      </c>
      <c r="Q112" t="s">
        <v>91</v>
      </c>
      <c r="R112" t="s">
        <v>92</v>
      </c>
      <c r="S112" t="s">
        <v>91</v>
      </c>
      <c r="T112" t="s">
        <v>91</v>
      </c>
      <c r="U112" t="s">
        <v>20</v>
      </c>
      <c r="W112" t="s">
        <v>21</v>
      </c>
    </row>
    <row r="113" spans="1:26" hidden="1" x14ac:dyDescent="0.25">
      <c r="A113">
        <f>COUNTIF($P$2:P113,P113)</f>
        <v>13</v>
      </c>
      <c r="B113">
        <f>COUNTIF($A$2:A113,1)</f>
        <v>10</v>
      </c>
      <c r="C113" t="str">
        <f t="shared" si="5"/>
        <v>CMS</v>
      </c>
      <c r="D113" t="str">
        <f t="shared" si="6"/>
        <v>CMSDevice</v>
      </c>
      <c r="E113">
        <f>COUNTIF($R$2:R113,R113)</f>
        <v>13</v>
      </c>
      <c r="F113">
        <f>COUNTIF($E$2:E113,1)</f>
        <v>10</v>
      </c>
      <c r="G113" t="str">
        <f t="shared" si="7"/>
        <v>cms.services.cms</v>
      </c>
      <c r="H113" t="str">
        <f t="shared" si="8"/>
        <v>CMScms.services.cmsDevice</v>
      </c>
      <c r="I113" t="str">
        <f t="shared" si="9"/>
        <v/>
      </c>
      <c r="J113">
        <f>IF(I113="",0,COUNTIF($I$2:I113,I113))</f>
        <v>0</v>
      </c>
      <c r="K113">
        <f>COUNTIF($J$2:J113,1)</f>
        <v>16</v>
      </c>
      <c r="N113">
        <v>45</v>
      </c>
      <c r="O113" t="s">
        <v>31</v>
      </c>
      <c r="P113" t="s">
        <v>90</v>
      </c>
      <c r="Q113" t="s">
        <v>91</v>
      </c>
      <c r="R113" t="s">
        <v>92</v>
      </c>
      <c r="S113" t="s">
        <v>91</v>
      </c>
      <c r="T113" t="s">
        <v>91</v>
      </c>
      <c r="U113" t="s">
        <v>20</v>
      </c>
      <c r="W113" t="s">
        <v>21</v>
      </c>
    </row>
    <row r="114" spans="1:26" hidden="1" x14ac:dyDescent="0.25">
      <c r="A114">
        <f>COUNTIF($P$2:P114,P114)</f>
        <v>14</v>
      </c>
      <c r="B114">
        <f>COUNTIF($A$2:A114,1)</f>
        <v>10</v>
      </c>
      <c r="C114" t="str">
        <f t="shared" si="5"/>
        <v>CMS</v>
      </c>
      <c r="D114" t="str">
        <f t="shared" si="6"/>
        <v>CMSParent</v>
      </c>
      <c r="E114">
        <f>COUNTIF($R$2:R114,R114)</f>
        <v>14</v>
      </c>
      <c r="F114">
        <f>COUNTIF($E$2:E114,1)</f>
        <v>10</v>
      </c>
      <c r="G114" t="str">
        <f t="shared" si="7"/>
        <v>cms.services.cms</v>
      </c>
      <c r="H114" t="str">
        <f t="shared" si="8"/>
        <v>CMScms.services.cmsParent</v>
      </c>
      <c r="I114" t="str">
        <f t="shared" si="9"/>
        <v/>
      </c>
      <c r="J114">
        <f>IF(I114="",0,COUNTIF($I$2:I114,I114))</f>
        <v>0</v>
      </c>
      <c r="K114">
        <f>COUNTIF($J$2:J114,1)</f>
        <v>16</v>
      </c>
      <c r="N114">
        <v>1</v>
      </c>
      <c r="O114" t="s">
        <v>15</v>
      </c>
      <c r="P114" t="s">
        <v>90</v>
      </c>
      <c r="Q114" t="s">
        <v>91</v>
      </c>
      <c r="R114" t="s">
        <v>92</v>
      </c>
      <c r="S114" t="s">
        <v>91</v>
      </c>
      <c r="T114" t="s">
        <v>91</v>
      </c>
      <c r="U114" t="s">
        <v>20</v>
      </c>
      <c r="W114" t="s">
        <v>21</v>
      </c>
    </row>
    <row r="115" spans="1:26" hidden="1" x14ac:dyDescent="0.25">
      <c r="A115">
        <f>COUNTIF($P$2:P115,P115)</f>
        <v>15</v>
      </c>
      <c r="B115">
        <f>COUNTIF($A$2:A115,1)</f>
        <v>10</v>
      </c>
      <c r="C115" t="str">
        <f t="shared" si="5"/>
        <v>CMS</v>
      </c>
      <c r="D115" t="str">
        <f t="shared" si="6"/>
        <v>CMSDevice</v>
      </c>
      <c r="E115">
        <f>COUNTIF($R$2:R115,R115)</f>
        <v>15</v>
      </c>
      <c r="F115">
        <f>COUNTIF($E$2:E115,1)</f>
        <v>10</v>
      </c>
      <c r="G115" t="str">
        <f t="shared" si="7"/>
        <v>cms.services.cms</v>
      </c>
      <c r="H115" t="str">
        <f t="shared" si="8"/>
        <v>CMScms.services.cmsDevice</v>
      </c>
      <c r="I115" t="str">
        <f t="shared" si="9"/>
        <v/>
      </c>
      <c r="J115">
        <f>IF(I115="",0,COUNTIF($I$2:I115,I115))</f>
        <v>0</v>
      </c>
      <c r="K115">
        <f>COUNTIF($J$2:J115,1)</f>
        <v>16</v>
      </c>
      <c r="N115">
        <v>88</v>
      </c>
      <c r="O115" t="s">
        <v>31</v>
      </c>
      <c r="P115" t="s">
        <v>90</v>
      </c>
      <c r="Q115" t="s">
        <v>91</v>
      </c>
      <c r="R115" t="s">
        <v>92</v>
      </c>
      <c r="S115" t="s">
        <v>91</v>
      </c>
      <c r="T115" t="s">
        <v>91</v>
      </c>
      <c r="U115" t="s">
        <v>20</v>
      </c>
      <c r="W115" t="s">
        <v>21</v>
      </c>
    </row>
    <row r="116" spans="1:26" hidden="1" x14ac:dyDescent="0.25">
      <c r="A116">
        <f>COUNTIF($P$2:P116,P116)</f>
        <v>16</v>
      </c>
      <c r="B116">
        <f>COUNTIF($A$2:A116,1)</f>
        <v>10</v>
      </c>
      <c r="C116" t="str">
        <f t="shared" si="5"/>
        <v>CMS</v>
      </c>
      <c r="D116" t="str">
        <f t="shared" si="6"/>
        <v>CMSParent</v>
      </c>
      <c r="E116">
        <f>COUNTIF($R$2:R116,R116)</f>
        <v>16</v>
      </c>
      <c r="F116">
        <f>COUNTIF($E$2:E116,1)</f>
        <v>10</v>
      </c>
      <c r="G116" t="str">
        <f t="shared" si="7"/>
        <v>cms.services.cms</v>
      </c>
      <c r="H116" t="str">
        <f t="shared" si="8"/>
        <v>CMScms.services.cmsParent</v>
      </c>
      <c r="I116" t="str">
        <f t="shared" si="9"/>
        <v/>
      </c>
      <c r="J116">
        <f>IF(I116="",0,COUNTIF($I$2:I116,I116))</f>
        <v>0</v>
      </c>
      <c r="K116">
        <f>COUNTIF($J$2:J116,1)</f>
        <v>16</v>
      </c>
      <c r="N116">
        <v>265</v>
      </c>
      <c r="O116" t="s">
        <v>15</v>
      </c>
      <c r="P116" t="s">
        <v>90</v>
      </c>
      <c r="Q116" t="s">
        <v>91</v>
      </c>
      <c r="R116" t="s">
        <v>92</v>
      </c>
      <c r="S116" t="s">
        <v>91</v>
      </c>
      <c r="T116" t="s">
        <v>91</v>
      </c>
      <c r="U116" t="s">
        <v>20</v>
      </c>
      <c r="W116" t="s">
        <v>21</v>
      </c>
    </row>
    <row r="117" spans="1:26" hidden="1" x14ac:dyDescent="0.25">
      <c r="A117">
        <f>COUNTIF($P$2:P117,P117)</f>
        <v>17</v>
      </c>
      <c r="B117">
        <f>COUNTIF($A$2:A117,1)</f>
        <v>10</v>
      </c>
      <c r="C117" t="str">
        <f t="shared" si="5"/>
        <v>CMS</v>
      </c>
      <c r="D117" t="str">
        <f t="shared" si="6"/>
        <v>CMSDevice</v>
      </c>
      <c r="E117">
        <f>COUNTIF($R$2:R117,R117)</f>
        <v>1</v>
      </c>
      <c r="F117">
        <f>COUNTIF($E$2:E117,1)</f>
        <v>11</v>
      </c>
      <c r="G117" t="str">
        <f t="shared" si="7"/>
        <v>cms.services.entity</v>
      </c>
      <c r="H117" t="str">
        <f t="shared" si="8"/>
        <v>CMScms.services.entityDevice</v>
      </c>
      <c r="I117" t="str">
        <f t="shared" si="9"/>
        <v>CMScms.services.entitycms.track.request</v>
      </c>
      <c r="J117">
        <f>IF(I117="",0,COUNTIF($I$2:I117,I117))</f>
        <v>1</v>
      </c>
      <c r="K117">
        <f>COUNTIF($J$2:J117,1)</f>
        <v>17</v>
      </c>
      <c r="N117">
        <v>34</v>
      </c>
      <c r="O117" t="s">
        <v>31</v>
      </c>
      <c r="P117" t="s">
        <v>90</v>
      </c>
      <c r="Q117" t="s">
        <v>91</v>
      </c>
      <c r="R117" t="s">
        <v>94</v>
      </c>
      <c r="S117" t="s">
        <v>95</v>
      </c>
      <c r="T117" t="s">
        <v>95</v>
      </c>
      <c r="U117" t="s">
        <v>96</v>
      </c>
      <c r="V117" t="s">
        <v>93</v>
      </c>
      <c r="W117" t="s">
        <v>21</v>
      </c>
      <c r="X117" t="s">
        <v>21</v>
      </c>
      <c r="Y117" t="b">
        <v>1</v>
      </c>
      <c r="Z117">
        <v>5043</v>
      </c>
    </row>
    <row r="118" spans="1:26" hidden="1" x14ac:dyDescent="0.25">
      <c r="A118">
        <f>COUNTIF($P$2:P118,P118)</f>
        <v>18</v>
      </c>
      <c r="B118">
        <f>COUNTIF($A$2:A118,1)</f>
        <v>10</v>
      </c>
      <c r="C118" t="str">
        <f t="shared" si="5"/>
        <v>CMS</v>
      </c>
      <c r="D118" t="str">
        <f t="shared" si="6"/>
        <v>CMSParent</v>
      </c>
      <c r="E118">
        <f>COUNTIF($R$2:R118,R118)</f>
        <v>2</v>
      </c>
      <c r="F118">
        <f>COUNTIF($E$2:E118,1)</f>
        <v>11</v>
      </c>
      <c r="G118" t="str">
        <f t="shared" si="7"/>
        <v>cms.services.entity</v>
      </c>
      <c r="H118" t="str">
        <f t="shared" si="8"/>
        <v>CMScms.services.entityParent</v>
      </c>
      <c r="I118" t="str">
        <f t="shared" si="9"/>
        <v/>
      </c>
      <c r="J118">
        <f>IF(I118="",0,COUNTIF($I$2:I118,I118))</f>
        <v>0</v>
      </c>
      <c r="K118">
        <f>COUNTIF($J$2:J118,1)</f>
        <v>17</v>
      </c>
      <c r="N118">
        <v>69</v>
      </c>
      <c r="O118" t="s">
        <v>15</v>
      </c>
      <c r="P118" t="s">
        <v>90</v>
      </c>
      <c r="Q118" t="s">
        <v>91</v>
      </c>
      <c r="R118" t="s">
        <v>94</v>
      </c>
      <c r="S118" t="s">
        <v>95</v>
      </c>
      <c r="T118" t="s">
        <v>95</v>
      </c>
      <c r="U118" t="s">
        <v>96</v>
      </c>
      <c r="W118" t="s">
        <v>21</v>
      </c>
    </row>
    <row r="119" spans="1:26" hidden="1" x14ac:dyDescent="0.25">
      <c r="A119">
        <f>COUNTIF($P$2:P119,P119)</f>
        <v>19</v>
      </c>
      <c r="B119">
        <f>COUNTIF($A$2:A119,1)</f>
        <v>10</v>
      </c>
      <c r="C119" t="str">
        <f t="shared" si="5"/>
        <v>CMS</v>
      </c>
      <c r="D119" t="str">
        <f t="shared" si="6"/>
        <v>CMSDevice</v>
      </c>
      <c r="E119">
        <f>COUNTIF($R$2:R119,R119)</f>
        <v>3</v>
      </c>
      <c r="F119">
        <f>COUNTIF($E$2:E119,1)</f>
        <v>11</v>
      </c>
      <c r="G119" t="str">
        <f t="shared" si="7"/>
        <v>cms.services.entity</v>
      </c>
      <c r="H119" t="str">
        <f t="shared" si="8"/>
        <v>CMScms.services.entityDevice</v>
      </c>
      <c r="I119" t="str">
        <f t="shared" si="9"/>
        <v/>
      </c>
      <c r="J119">
        <f>IF(I119="",0,COUNTIF($I$2:I119,I119))</f>
        <v>0</v>
      </c>
      <c r="K119">
        <f>COUNTIF($J$2:J119,1)</f>
        <v>17</v>
      </c>
      <c r="N119">
        <v>1</v>
      </c>
      <c r="O119" t="s">
        <v>31</v>
      </c>
      <c r="P119" t="s">
        <v>90</v>
      </c>
      <c r="Q119" t="s">
        <v>91</v>
      </c>
      <c r="R119" t="s">
        <v>94</v>
      </c>
      <c r="S119" t="s">
        <v>95</v>
      </c>
      <c r="T119" t="s">
        <v>95</v>
      </c>
      <c r="U119" t="s">
        <v>96</v>
      </c>
      <c r="W119" t="s">
        <v>21</v>
      </c>
    </row>
    <row r="120" spans="1:26" hidden="1" x14ac:dyDescent="0.25">
      <c r="A120">
        <f>COUNTIF($P$2:P120,P120)</f>
        <v>20</v>
      </c>
      <c r="B120">
        <f>COUNTIF($A$2:A120,1)</f>
        <v>10</v>
      </c>
      <c r="C120" t="str">
        <f t="shared" si="5"/>
        <v>CMS</v>
      </c>
      <c r="D120" t="str">
        <f t="shared" si="6"/>
        <v>CMSDevice</v>
      </c>
      <c r="E120">
        <f>COUNTIF($R$2:R120,R120)</f>
        <v>4</v>
      </c>
      <c r="F120">
        <f>COUNTIF($E$2:E120,1)</f>
        <v>11</v>
      </c>
      <c r="G120" t="str">
        <f t="shared" si="7"/>
        <v>cms.services.entity</v>
      </c>
      <c r="H120" t="str">
        <f t="shared" si="8"/>
        <v>CMScms.services.entityDevice</v>
      </c>
      <c r="I120" t="str">
        <f t="shared" si="9"/>
        <v/>
      </c>
      <c r="J120">
        <f>IF(I120="",0,COUNTIF($I$2:I120,I120))</f>
        <v>0</v>
      </c>
      <c r="K120">
        <f>COUNTIF($J$2:J120,1)</f>
        <v>17</v>
      </c>
      <c r="N120">
        <v>1</v>
      </c>
      <c r="O120" t="s">
        <v>31</v>
      </c>
      <c r="P120" t="s">
        <v>90</v>
      </c>
      <c r="Q120" t="s">
        <v>91</v>
      </c>
      <c r="R120" t="s">
        <v>94</v>
      </c>
      <c r="S120" t="s">
        <v>95</v>
      </c>
      <c r="T120" t="s">
        <v>95</v>
      </c>
      <c r="U120" t="s">
        <v>96</v>
      </c>
      <c r="W120" t="s">
        <v>21</v>
      </c>
    </row>
    <row r="121" spans="1:26" hidden="1" x14ac:dyDescent="0.25">
      <c r="A121">
        <f>COUNTIF($P$2:P121,P121)</f>
        <v>21</v>
      </c>
      <c r="B121">
        <f>COUNTIF($A$2:A121,1)</f>
        <v>10</v>
      </c>
      <c r="C121" t="str">
        <f t="shared" si="5"/>
        <v>CMS</v>
      </c>
      <c r="D121" t="str">
        <f t="shared" si="6"/>
        <v>CMSParent</v>
      </c>
      <c r="E121">
        <f>COUNTIF($R$2:R121,R121)</f>
        <v>5</v>
      </c>
      <c r="F121">
        <f>COUNTIF($E$2:E121,1)</f>
        <v>11</v>
      </c>
      <c r="G121" t="str">
        <f t="shared" si="7"/>
        <v>cms.services.entity</v>
      </c>
      <c r="H121" t="str">
        <f t="shared" si="8"/>
        <v>CMScms.services.entityParent</v>
      </c>
      <c r="I121" t="str">
        <f t="shared" si="9"/>
        <v/>
      </c>
      <c r="J121">
        <f>IF(I121="",0,COUNTIF($I$2:I121,I121))</f>
        <v>0</v>
      </c>
      <c r="K121">
        <f>COUNTIF($J$2:J121,1)</f>
        <v>17</v>
      </c>
      <c r="N121">
        <v>1</v>
      </c>
      <c r="O121" t="s">
        <v>15</v>
      </c>
      <c r="P121" t="s">
        <v>90</v>
      </c>
      <c r="Q121" t="s">
        <v>91</v>
      </c>
      <c r="R121" t="s">
        <v>94</v>
      </c>
      <c r="S121" t="s">
        <v>95</v>
      </c>
      <c r="T121" t="s">
        <v>95</v>
      </c>
      <c r="U121" t="s">
        <v>96</v>
      </c>
      <c r="W121" t="s">
        <v>21</v>
      </c>
    </row>
    <row r="122" spans="1:26" hidden="1" x14ac:dyDescent="0.25">
      <c r="A122">
        <f>COUNTIF($P$2:P122,P122)</f>
        <v>22</v>
      </c>
      <c r="B122">
        <f>COUNTIF($A$2:A122,1)</f>
        <v>10</v>
      </c>
      <c r="C122" t="str">
        <f t="shared" si="5"/>
        <v>CMS</v>
      </c>
      <c r="D122" t="str">
        <f t="shared" si="6"/>
        <v>CMSParent</v>
      </c>
      <c r="E122">
        <f>COUNTIF($R$2:R122,R122)</f>
        <v>6</v>
      </c>
      <c r="F122">
        <f>COUNTIF($E$2:E122,1)</f>
        <v>11</v>
      </c>
      <c r="G122" t="str">
        <f t="shared" si="7"/>
        <v>cms.services.entity</v>
      </c>
      <c r="H122" t="str">
        <f t="shared" si="8"/>
        <v>CMScms.services.entityParent</v>
      </c>
      <c r="I122" t="str">
        <f t="shared" si="9"/>
        <v/>
      </c>
      <c r="J122">
        <f>IF(I122="",0,COUNTIF($I$2:I122,I122))</f>
        <v>0</v>
      </c>
      <c r="K122">
        <f>COUNTIF($J$2:J122,1)</f>
        <v>17</v>
      </c>
      <c r="N122">
        <v>1</v>
      </c>
      <c r="O122" t="s">
        <v>15</v>
      </c>
      <c r="P122" t="s">
        <v>90</v>
      </c>
      <c r="Q122" t="s">
        <v>91</v>
      </c>
      <c r="R122" t="s">
        <v>94</v>
      </c>
      <c r="S122" t="s">
        <v>95</v>
      </c>
      <c r="T122" t="s">
        <v>95</v>
      </c>
      <c r="U122" t="s">
        <v>96</v>
      </c>
      <c r="W122" t="s">
        <v>21</v>
      </c>
    </row>
    <row r="123" spans="1:26" hidden="1" x14ac:dyDescent="0.25">
      <c r="A123">
        <f>COUNTIF($P$2:P123,P123)</f>
        <v>23</v>
      </c>
      <c r="B123">
        <f>COUNTIF($A$2:A123,1)</f>
        <v>10</v>
      </c>
      <c r="C123" t="str">
        <f t="shared" si="5"/>
        <v>CMS</v>
      </c>
      <c r="D123" t="str">
        <f t="shared" si="6"/>
        <v>CMSDevice</v>
      </c>
      <c r="E123">
        <f>COUNTIF($R$2:R123,R123)</f>
        <v>7</v>
      </c>
      <c r="F123">
        <f>COUNTIF($E$2:E123,1)</f>
        <v>11</v>
      </c>
      <c r="G123" t="str">
        <f t="shared" si="7"/>
        <v>cms.services.entity</v>
      </c>
      <c r="H123" t="str">
        <f t="shared" si="8"/>
        <v>CMScms.services.entityDevice</v>
      </c>
      <c r="I123" t="str">
        <f t="shared" si="9"/>
        <v/>
      </c>
      <c r="J123">
        <f>IF(I123="",0,COUNTIF($I$2:I123,I123))</f>
        <v>0</v>
      </c>
      <c r="K123">
        <f>COUNTIF($J$2:J123,1)</f>
        <v>17</v>
      </c>
      <c r="N123">
        <v>45</v>
      </c>
      <c r="O123" t="s">
        <v>31</v>
      </c>
      <c r="P123" t="s">
        <v>90</v>
      </c>
      <c r="Q123" t="s">
        <v>91</v>
      </c>
      <c r="R123" t="s">
        <v>94</v>
      </c>
      <c r="S123" t="s">
        <v>95</v>
      </c>
      <c r="T123" t="s">
        <v>95</v>
      </c>
      <c r="U123" t="s">
        <v>96</v>
      </c>
      <c r="W123" t="s">
        <v>21</v>
      </c>
    </row>
    <row r="124" spans="1:26" hidden="1" x14ac:dyDescent="0.25">
      <c r="A124">
        <f>COUNTIF($P$2:P124,P124)</f>
        <v>24</v>
      </c>
      <c r="B124">
        <f>COUNTIF($A$2:A124,1)</f>
        <v>10</v>
      </c>
      <c r="C124" t="str">
        <f t="shared" si="5"/>
        <v>CMS</v>
      </c>
      <c r="D124" t="str">
        <f t="shared" si="6"/>
        <v>CMSParent</v>
      </c>
      <c r="E124">
        <f>COUNTIF($R$2:R124,R124)</f>
        <v>8</v>
      </c>
      <c r="F124">
        <f>COUNTIF($E$2:E124,1)</f>
        <v>11</v>
      </c>
      <c r="G124" t="str">
        <f t="shared" si="7"/>
        <v>cms.services.entity</v>
      </c>
      <c r="H124" t="str">
        <f t="shared" si="8"/>
        <v>CMScms.services.entityParent</v>
      </c>
      <c r="I124" t="str">
        <f t="shared" si="9"/>
        <v/>
      </c>
      <c r="J124">
        <f>IF(I124="",0,COUNTIF($I$2:I124,I124))</f>
        <v>0</v>
      </c>
      <c r="K124">
        <f>COUNTIF($J$2:J124,1)</f>
        <v>17</v>
      </c>
      <c r="N124">
        <v>1</v>
      </c>
      <c r="O124" t="s">
        <v>15</v>
      </c>
      <c r="P124" t="s">
        <v>90</v>
      </c>
      <c r="Q124" t="s">
        <v>91</v>
      </c>
      <c r="R124" t="s">
        <v>94</v>
      </c>
      <c r="S124" t="s">
        <v>95</v>
      </c>
      <c r="T124" t="s">
        <v>95</v>
      </c>
      <c r="U124" t="s">
        <v>96</v>
      </c>
      <c r="W124" t="s">
        <v>21</v>
      </c>
    </row>
    <row r="125" spans="1:26" hidden="1" x14ac:dyDescent="0.25">
      <c r="A125">
        <f>COUNTIF($P$2:P125,P125)</f>
        <v>25</v>
      </c>
      <c r="B125">
        <f>COUNTIF($A$2:A125,1)</f>
        <v>10</v>
      </c>
      <c r="C125" t="str">
        <f t="shared" si="5"/>
        <v>CMS</v>
      </c>
      <c r="D125" t="str">
        <f t="shared" si="6"/>
        <v>CMSDevice</v>
      </c>
      <c r="E125">
        <f>COUNTIF($R$2:R125,R125)</f>
        <v>9</v>
      </c>
      <c r="F125">
        <f>COUNTIF($E$2:E125,1)</f>
        <v>11</v>
      </c>
      <c r="G125" t="str">
        <f t="shared" si="7"/>
        <v>cms.services.entity</v>
      </c>
      <c r="H125" t="str">
        <f t="shared" si="8"/>
        <v>CMScms.services.entityDevice</v>
      </c>
      <c r="I125" t="str">
        <f t="shared" si="9"/>
        <v/>
      </c>
      <c r="J125">
        <f>IF(I125="",0,COUNTIF($I$2:I125,I125))</f>
        <v>0</v>
      </c>
      <c r="K125">
        <f>COUNTIF($J$2:J125,1)</f>
        <v>17</v>
      </c>
      <c r="N125">
        <v>88</v>
      </c>
      <c r="O125" t="s">
        <v>31</v>
      </c>
      <c r="P125" t="s">
        <v>90</v>
      </c>
      <c r="Q125" t="s">
        <v>91</v>
      </c>
      <c r="R125" t="s">
        <v>94</v>
      </c>
      <c r="S125" t="s">
        <v>95</v>
      </c>
      <c r="T125" t="s">
        <v>95</v>
      </c>
      <c r="U125" t="s">
        <v>96</v>
      </c>
      <c r="W125" t="s">
        <v>21</v>
      </c>
    </row>
    <row r="126" spans="1:26" hidden="1" x14ac:dyDescent="0.25">
      <c r="A126">
        <f>COUNTIF($P$2:P126,P126)</f>
        <v>26</v>
      </c>
      <c r="B126">
        <f>COUNTIF($A$2:A126,1)</f>
        <v>10</v>
      </c>
      <c r="C126" t="str">
        <f t="shared" si="5"/>
        <v>CMS</v>
      </c>
      <c r="D126" t="str">
        <f t="shared" si="6"/>
        <v>CMSParent</v>
      </c>
      <c r="E126">
        <f>COUNTIF($R$2:R126,R126)</f>
        <v>10</v>
      </c>
      <c r="F126">
        <f>COUNTIF($E$2:E126,1)</f>
        <v>11</v>
      </c>
      <c r="G126" t="str">
        <f t="shared" si="7"/>
        <v>cms.services.entity</v>
      </c>
      <c r="H126" t="str">
        <f t="shared" si="8"/>
        <v>CMScms.services.entityParent</v>
      </c>
      <c r="I126" t="str">
        <f t="shared" si="9"/>
        <v/>
      </c>
      <c r="J126">
        <f>IF(I126="",0,COUNTIF($I$2:I126,I126))</f>
        <v>0</v>
      </c>
      <c r="K126">
        <f>COUNTIF($J$2:J126,1)</f>
        <v>17</v>
      </c>
      <c r="N126">
        <v>265</v>
      </c>
      <c r="O126" t="s">
        <v>15</v>
      </c>
      <c r="P126" t="s">
        <v>90</v>
      </c>
      <c r="Q126" t="s">
        <v>91</v>
      </c>
      <c r="R126" t="s">
        <v>94</v>
      </c>
      <c r="S126" t="s">
        <v>95</v>
      </c>
      <c r="T126" t="s">
        <v>95</v>
      </c>
      <c r="U126" t="s">
        <v>96</v>
      </c>
      <c r="W126" t="s">
        <v>21</v>
      </c>
    </row>
    <row r="127" spans="1:26" hidden="1" x14ac:dyDescent="0.25">
      <c r="A127">
        <f>COUNTIF($P$2:P127,P127)</f>
        <v>27</v>
      </c>
      <c r="B127">
        <f>COUNTIF($A$2:A127,1)</f>
        <v>10</v>
      </c>
      <c r="C127" t="str">
        <f t="shared" si="5"/>
        <v>CMS</v>
      </c>
      <c r="D127" t="str">
        <f t="shared" si="6"/>
        <v>CMSParent</v>
      </c>
      <c r="E127">
        <f>COUNTIF($R$2:R127,R127)</f>
        <v>11</v>
      </c>
      <c r="F127">
        <f>COUNTIF($E$2:E127,1)</f>
        <v>11</v>
      </c>
      <c r="G127" t="str">
        <f t="shared" si="7"/>
        <v>cms.services.entity</v>
      </c>
      <c r="H127" t="str">
        <f t="shared" si="8"/>
        <v>CMScms.services.entityParent</v>
      </c>
      <c r="I127" t="str">
        <f t="shared" si="9"/>
        <v/>
      </c>
      <c r="J127">
        <f>IF(I127="",0,COUNTIF($I$2:I127,I127))</f>
        <v>0</v>
      </c>
      <c r="K127">
        <f>COUNTIF($J$2:J127,1)</f>
        <v>17</v>
      </c>
      <c r="N127">
        <v>265</v>
      </c>
      <c r="O127" t="s">
        <v>15</v>
      </c>
      <c r="P127" t="s">
        <v>90</v>
      </c>
      <c r="Q127" t="s">
        <v>91</v>
      </c>
      <c r="R127" t="s">
        <v>94</v>
      </c>
      <c r="S127" t="s">
        <v>95</v>
      </c>
      <c r="T127" t="s">
        <v>95</v>
      </c>
      <c r="U127" t="s">
        <v>96</v>
      </c>
      <c r="W127" t="s">
        <v>22</v>
      </c>
    </row>
    <row r="128" spans="1:26" hidden="1" x14ac:dyDescent="0.25">
      <c r="A128">
        <f>COUNTIF($P$2:P128,P128)</f>
        <v>28</v>
      </c>
      <c r="B128">
        <f>COUNTIF($A$2:A128,1)</f>
        <v>10</v>
      </c>
      <c r="C128" t="str">
        <f t="shared" si="5"/>
        <v>CMS</v>
      </c>
      <c r="D128" t="str">
        <f t="shared" si="6"/>
        <v>CMSDevice</v>
      </c>
      <c r="E128">
        <f>COUNTIF($R$2:R128,R128)</f>
        <v>12</v>
      </c>
      <c r="F128">
        <f>COUNTIF($E$2:E128,1)</f>
        <v>11</v>
      </c>
      <c r="G128" t="str">
        <f t="shared" si="7"/>
        <v>cms.services.entity</v>
      </c>
      <c r="H128" t="str">
        <f t="shared" si="8"/>
        <v>CMScms.services.entityDevice</v>
      </c>
      <c r="I128" t="str">
        <f t="shared" si="9"/>
        <v/>
      </c>
      <c r="J128">
        <f>IF(I128="",0,COUNTIF($I$2:I128,I128))</f>
        <v>0</v>
      </c>
      <c r="K128">
        <f>COUNTIF($J$2:J128,1)</f>
        <v>17</v>
      </c>
      <c r="N128">
        <v>58</v>
      </c>
      <c r="O128" t="s">
        <v>31</v>
      </c>
      <c r="P128" t="s">
        <v>90</v>
      </c>
      <c r="Q128" t="s">
        <v>91</v>
      </c>
      <c r="R128" t="s">
        <v>94</v>
      </c>
      <c r="S128" t="s">
        <v>95</v>
      </c>
      <c r="T128" t="s">
        <v>95</v>
      </c>
      <c r="U128" t="s">
        <v>96</v>
      </c>
      <c r="W128" t="s">
        <v>22</v>
      </c>
    </row>
    <row r="129" spans="1:26" hidden="1" x14ac:dyDescent="0.25">
      <c r="A129">
        <f>COUNTIF($P$2:P129,P129)</f>
        <v>29</v>
      </c>
      <c r="B129">
        <f>COUNTIF($A$2:A129,1)</f>
        <v>10</v>
      </c>
      <c r="C129" t="str">
        <f t="shared" si="5"/>
        <v>CMS</v>
      </c>
      <c r="D129" t="str">
        <f t="shared" si="6"/>
        <v>CMSIntegrator</v>
      </c>
      <c r="E129">
        <f>COUNTIF($R$2:R129,R129)</f>
        <v>13</v>
      </c>
      <c r="F129">
        <f>COUNTIF($E$2:E129,1)</f>
        <v>11</v>
      </c>
      <c r="G129" t="str">
        <f t="shared" si="7"/>
        <v>cms.services.entity</v>
      </c>
      <c r="H129" t="str">
        <f t="shared" si="8"/>
        <v>CMScms.services.entityIntegrator</v>
      </c>
      <c r="I129" t="str">
        <f t="shared" si="9"/>
        <v/>
      </c>
      <c r="J129">
        <f>IF(I129="",0,COUNTIF($I$2:I129,I129))</f>
        <v>0</v>
      </c>
      <c r="K129">
        <f>COUNTIF($J$2:J129,1)</f>
        <v>17</v>
      </c>
      <c r="N129">
        <v>44</v>
      </c>
      <c r="O129" t="s">
        <v>23</v>
      </c>
      <c r="P129" t="s">
        <v>90</v>
      </c>
      <c r="Q129" t="s">
        <v>91</v>
      </c>
      <c r="R129" t="s">
        <v>94</v>
      </c>
      <c r="S129" t="s">
        <v>95</v>
      </c>
      <c r="T129" t="s">
        <v>95</v>
      </c>
      <c r="U129" t="s">
        <v>96</v>
      </c>
      <c r="W129" t="s">
        <v>22</v>
      </c>
    </row>
    <row r="130" spans="1:26" hidden="1" x14ac:dyDescent="0.25">
      <c r="A130">
        <f>COUNTIF($P$2:P130,P130)</f>
        <v>30</v>
      </c>
      <c r="B130">
        <f>COUNTIF($A$2:A130,1)</f>
        <v>10</v>
      </c>
      <c r="C130" t="str">
        <f t="shared" si="5"/>
        <v>CMS</v>
      </c>
      <c r="D130" t="str">
        <f t="shared" si="6"/>
        <v>CMSIntegrator</v>
      </c>
      <c r="E130">
        <f>COUNTIF($R$2:R130,R130)</f>
        <v>14</v>
      </c>
      <c r="F130">
        <f>COUNTIF($E$2:E130,1)</f>
        <v>11</v>
      </c>
      <c r="G130" t="str">
        <f t="shared" si="7"/>
        <v>cms.services.entity</v>
      </c>
      <c r="H130" t="str">
        <f t="shared" si="8"/>
        <v>CMScms.services.entityIntegrator</v>
      </c>
      <c r="I130" t="str">
        <f t="shared" si="9"/>
        <v/>
      </c>
      <c r="J130">
        <f>IF(I130="",0,COUNTIF($I$2:I130,I130))</f>
        <v>0</v>
      </c>
      <c r="K130">
        <f>COUNTIF($J$2:J130,1)</f>
        <v>17</v>
      </c>
      <c r="N130">
        <v>48</v>
      </c>
      <c r="O130" t="s">
        <v>23</v>
      </c>
      <c r="P130" t="s">
        <v>90</v>
      </c>
      <c r="Q130" t="s">
        <v>91</v>
      </c>
      <c r="R130" t="s">
        <v>94</v>
      </c>
      <c r="S130" t="s">
        <v>95</v>
      </c>
      <c r="T130" t="s">
        <v>95</v>
      </c>
      <c r="U130" t="s">
        <v>96</v>
      </c>
      <c r="W130" t="s">
        <v>21</v>
      </c>
    </row>
    <row r="131" spans="1:26" hidden="1" x14ac:dyDescent="0.25">
      <c r="A131">
        <f>COUNTIF($P$2:P131,P131)</f>
        <v>31</v>
      </c>
      <c r="B131">
        <f>COUNTIF($A$2:A131,1)</f>
        <v>10</v>
      </c>
      <c r="C131" t="str">
        <f t="shared" ref="C131:C194" si="10">IF(A131=1,P131,C130)</f>
        <v>CMS</v>
      </c>
      <c r="D131" t="str">
        <f t="shared" ref="D131:D194" si="11">C131&amp;O131</f>
        <v>CMSParent</v>
      </c>
      <c r="E131">
        <f>COUNTIF($R$2:R131,R131)</f>
        <v>15</v>
      </c>
      <c r="F131">
        <f>COUNTIF($E$2:E131,1)</f>
        <v>11</v>
      </c>
      <c r="G131" t="str">
        <f t="shared" ref="G131:G194" si="12">IF(E131=1,R131,G130)</f>
        <v>cms.services.entity</v>
      </c>
      <c r="H131" t="str">
        <f t="shared" ref="H131:H194" si="13">C131&amp;G131&amp;O131</f>
        <v>CMScms.services.entityParent</v>
      </c>
      <c r="I131" t="str">
        <f t="shared" ref="I131:I194" si="14">IF(V131="","",P131&amp;R131&amp;V131)</f>
        <v/>
      </c>
      <c r="J131">
        <f>IF(I131="",0,COUNTIF($I$2:I131,I131))</f>
        <v>0</v>
      </c>
      <c r="K131">
        <f>COUNTIF($J$2:J131,1)</f>
        <v>17</v>
      </c>
      <c r="N131">
        <v>43</v>
      </c>
      <c r="O131" t="s">
        <v>15</v>
      </c>
      <c r="P131" t="s">
        <v>90</v>
      </c>
      <c r="Q131" t="s">
        <v>91</v>
      </c>
      <c r="R131" t="s">
        <v>94</v>
      </c>
      <c r="S131" t="s">
        <v>95</v>
      </c>
      <c r="T131" t="s">
        <v>95</v>
      </c>
      <c r="U131" t="s">
        <v>96</v>
      </c>
      <c r="W131" t="s">
        <v>22</v>
      </c>
    </row>
    <row r="132" spans="1:26" hidden="1" x14ac:dyDescent="0.25">
      <c r="A132">
        <f>COUNTIF($P$2:P132,P132)</f>
        <v>1</v>
      </c>
      <c r="B132">
        <f>COUNTIF($A$2:A132,1)</f>
        <v>11</v>
      </c>
      <c r="C132" t="str">
        <f t="shared" si="10"/>
        <v>COVS</v>
      </c>
      <c r="D132" t="str">
        <f t="shared" si="11"/>
        <v>COVSParent</v>
      </c>
      <c r="E132">
        <f>COUNTIF($R$2:R132,R132)</f>
        <v>1</v>
      </c>
      <c r="F132">
        <f>COUNTIF($E$2:E132,1)</f>
        <v>12</v>
      </c>
      <c r="G132" t="str">
        <f t="shared" si="12"/>
        <v>covs.services.covs</v>
      </c>
      <c r="H132" t="str">
        <f t="shared" si="13"/>
        <v>COVScovs.services.covsParent</v>
      </c>
      <c r="I132" t="str">
        <f t="shared" si="14"/>
        <v/>
      </c>
      <c r="J132">
        <f>IF(I132="",0,COUNTIF($I$2:I132,I132))</f>
        <v>0</v>
      </c>
      <c r="K132">
        <f>COUNTIF($J$2:J132,1)</f>
        <v>17</v>
      </c>
      <c r="N132">
        <v>81</v>
      </c>
      <c r="O132" t="s">
        <v>15</v>
      </c>
      <c r="P132" t="s">
        <v>97</v>
      </c>
      <c r="Q132" t="s">
        <v>98</v>
      </c>
      <c r="R132" t="s">
        <v>99</v>
      </c>
      <c r="S132" t="s">
        <v>100</v>
      </c>
      <c r="T132" t="s">
        <v>100</v>
      </c>
      <c r="U132" t="s">
        <v>20</v>
      </c>
      <c r="W132" t="s">
        <v>22</v>
      </c>
    </row>
    <row r="133" spans="1:26" hidden="1" x14ac:dyDescent="0.25">
      <c r="A133">
        <f>COUNTIF($P$2:P133,P133)</f>
        <v>2</v>
      </c>
      <c r="B133">
        <f>COUNTIF($A$2:A133,1)</f>
        <v>11</v>
      </c>
      <c r="C133" t="str">
        <f t="shared" si="10"/>
        <v>COVS</v>
      </c>
      <c r="D133" t="str">
        <f t="shared" si="11"/>
        <v>COVSDevice</v>
      </c>
      <c r="E133">
        <f>COUNTIF($R$2:R133,R133)</f>
        <v>2</v>
      </c>
      <c r="F133">
        <f>COUNTIF($E$2:E133,1)</f>
        <v>12</v>
      </c>
      <c r="G133" t="str">
        <f t="shared" si="12"/>
        <v>covs.services.covs</v>
      </c>
      <c r="H133" t="str">
        <f t="shared" si="13"/>
        <v>COVScovs.services.covsDevice</v>
      </c>
      <c r="I133" t="str">
        <f t="shared" si="14"/>
        <v/>
      </c>
      <c r="J133">
        <f>IF(I133="",0,COUNTIF($I$2:I133,I133))</f>
        <v>0</v>
      </c>
      <c r="K133">
        <f>COUNTIF($J$2:J133,1)</f>
        <v>17</v>
      </c>
      <c r="N133">
        <v>8</v>
      </c>
      <c r="O133" t="s">
        <v>31</v>
      </c>
      <c r="P133" t="s">
        <v>97</v>
      </c>
      <c r="Q133" t="s">
        <v>98</v>
      </c>
      <c r="R133" t="s">
        <v>99</v>
      </c>
      <c r="S133" t="s">
        <v>100</v>
      </c>
      <c r="T133" t="s">
        <v>100</v>
      </c>
      <c r="U133" t="s">
        <v>20</v>
      </c>
      <c r="W133" t="s">
        <v>22</v>
      </c>
    </row>
    <row r="134" spans="1:26" hidden="1" x14ac:dyDescent="0.25">
      <c r="A134">
        <f>COUNTIF($P$2:P134,P134)</f>
        <v>3</v>
      </c>
      <c r="B134">
        <f>COUNTIF($A$2:A134,1)</f>
        <v>11</v>
      </c>
      <c r="C134" t="str">
        <f t="shared" si="10"/>
        <v>COVS</v>
      </c>
      <c r="D134" t="str">
        <f t="shared" si="11"/>
        <v>COVSIntegrator</v>
      </c>
      <c r="E134">
        <f>COUNTIF($R$2:R134,R134)</f>
        <v>3</v>
      </c>
      <c r="F134">
        <f>COUNTIF($E$2:E134,1)</f>
        <v>12</v>
      </c>
      <c r="G134" t="str">
        <f t="shared" si="12"/>
        <v>covs.services.covs</v>
      </c>
      <c r="H134" t="str">
        <f t="shared" si="13"/>
        <v>COVScovs.services.covsIntegrator</v>
      </c>
      <c r="I134" t="str">
        <f t="shared" si="14"/>
        <v/>
      </c>
      <c r="J134">
        <f>IF(I134="",0,COUNTIF($I$2:I134,I134))</f>
        <v>0</v>
      </c>
      <c r="K134">
        <f>COUNTIF($J$2:J134,1)</f>
        <v>17</v>
      </c>
      <c r="N134">
        <v>80</v>
      </c>
      <c r="O134" t="s">
        <v>23</v>
      </c>
      <c r="P134" t="s">
        <v>97</v>
      </c>
      <c r="Q134" t="s">
        <v>98</v>
      </c>
      <c r="R134" t="s">
        <v>99</v>
      </c>
      <c r="S134" t="s">
        <v>100</v>
      </c>
      <c r="T134" t="s">
        <v>100</v>
      </c>
      <c r="U134" t="s">
        <v>20</v>
      </c>
      <c r="W134" t="s">
        <v>22</v>
      </c>
    </row>
    <row r="135" spans="1:26" hidden="1" x14ac:dyDescent="0.25">
      <c r="A135">
        <f>COUNTIF($P$2:P135,P135)</f>
        <v>4</v>
      </c>
      <c r="B135">
        <f>COUNTIF($A$2:A135,1)</f>
        <v>11</v>
      </c>
      <c r="C135" t="str">
        <f t="shared" si="10"/>
        <v>COVS</v>
      </c>
      <c r="D135" t="str">
        <f t="shared" si="11"/>
        <v>COVSParent</v>
      </c>
      <c r="E135">
        <f>COUNTIF($R$2:R135,R135)</f>
        <v>4</v>
      </c>
      <c r="F135">
        <f>COUNTIF($E$2:E135,1)</f>
        <v>12</v>
      </c>
      <c r="G135" t="str">
        <f t="shared" si="12"/>
        <v>covs.services.covs</v>
      </c>
      <c r="H135" t="str">
        <f t="shared" si="13"/>
        <v>COVScovs.services.covsParent</v>
      </c>
      <c r="I135" t="str">
        <f t="shared" si="14"/>
        <v/>
      </c>
      <c r="J135">
        <f>IF(I135="",0,COUNTIF($I$2:I135,I135))</f>
        <v>0</v>
      </c>
      <c r="K135">
        <f>COUNTIF($J$2:J135,1)</f>
        <v>17</v>
      </c>
      <c r="N135">
        <v>1</v>
      </c>
      <c r="O135" t="s">
        <v>15</v>
      </c>
      <c r="P135" t="s">
        <v>97</v>
      </c>
      <c r="Q135" t="s">
        <v>98</v>
      </c>
      <c r="R135" t="s">
        <v>99</v>
      </c>
      <c r="S135" t="s">
        <v>100</v>
      </c>
      <c r="T135" t="s">
        <v>100</v>
      </c>
      <c r="U135" t="s">
        <v>20</v>
      </c>
      <c r="W135" t="s">
        <v>22</v>
      </c>
    </row>
    <row r="136" spans="1:26" hidden="1" x14ac:dyDescent="0.25">
      <c r="A136">
        <f>COUNTIF($P$2:P136,P136)</f>
        <v>5</v>
      </c>
      <c r="B136">
        <f>COUNTIF($A$2:A136,1)</f>
        <v>11</v>
      </c>
      <c r="C136" t="str">
        <f t="shared" si="10"/>
        <v>COVS</v>
      </c>
      <c r="D136" t="str">
        <f t="shared" si="11"/>
        <v>COVSParent</v>
      </c>
      <c r="E136">
        <f>COUNTIF($R$2:R136,R136)</f>
        <v>5</v>
      </c>
      <c r="F136">
        <f>COUNTIF($E$2:E136,1)</f>
        <v>12</v>
      </c>
      <c r="G136" t="str">
        <f t="shared" si="12"/>
        <v>covs.services.covs</v>
      </c>
      <c r="H136" t="str">
        <f t="shared" si="13"/>
        <v>COVScovs.services.covsParent</v>
      </c>
      <c r="I136" t="str">
        <f t="shared" si="14"/>
        <v/>
      </c>
      <c r="J136">
        <f>IF(I136="",0,COUNTIF($I$2:I136,I136))</f>
        <v>0</v>
      </c>
      <c r="K136">
        <f>COUNTIF($J$2:J136,1)</f>
        <v>17</v>
      </c>
      <c r="N136">
        <v>84</v>
      </c>
      <c r="O136" t="s">
        <v>15</v>
      </c>
      <c r="P136" t="s">
        <v>97</v>
      </c>
      <c r="Q136" t="s">
        <v>98</v>
      </c>
      <c r="R136" t="s">
        <v>99</v>
      </c>
      <c r="S136" t="s">
        <v>100</v>
      </c>
      <c r="T136" t="s">
        <v>100</v>
      </c>
      <c r="U136" t="s">
        <v>20</v>
      </c>
      <c r="W136" t="s">
        <v>21</v>
      </c>
    </row>
    <row r="137" spans="1:26" hidden="1" x14ac:dyDescent="0.25">
      <c r="A137">
        <f>COUNTIF($P$2:P137,P137)</f>
        <v>6</v>
      </c>
      <c r="B137">
        <f>COUNTIF($A$2:A137,1)</f>
        <v>11</v>
      </c>
      <c r="C137" t="str">
        <f t="shared" si="10"/>
        <v>COVS</v>
      </c>
      <c r="D137" t="str">
        <f t="shared" si="11"/>
        <v>COVSDevice</v>
      </c>
      <c r="E137">
        <f>COUNTIF($R$2:R137,R137)</f>
        <v>6</v>
      </c>
      <c r="F137">
        <f>COUNTIF($E$2:E137,1)</f>
        <v>12</v>
      </c>
      <c r="G137" t="str">
        <f t="shared" si="12"/>
        <v>covs.services.covs</v>
      </c>
      <c r="H137" t="str">
        <f t="shared" si="13"/>
        <v>COVScovs.services.covsDevice</v>
      </c>
      <c r="I137" t="str">
        <f t="shared" si="14"/>
        <v/>
      </c>
      <c r="J137">
        <f>IF(I137="",0,COUNTIF($I$2:I137,I137))</f>
        <v>0</v>
      </c>
      <c r="K137">
        <f>COUNTIF($J$2:J137,1)</f>
        <v>17</v>
      </c>
      <c r="N137">
        <v>8</v>
      </c>
      <c r="O137" t="s">
        <v>31</v>
      </c>
      <c r="P137" t="s">
        <v>97</v>
      </c>
      <c r="Q137" t="s">
        <v>98</v>
      </c>
      <c r="R137" t="s">
        <v>99</v>
      </c>
      <c r="S137" t="s">
        <v>100</v>
      </c>
      <c r="T137" t="s">
        <v>100</v>
      </c>
      <c r="U137" t="s">
        <v>20</v>
      </c>
      <c r="W137" t="s">
        <v>21</v>
      </c>
    </row>
    <row r="138" spans="1:26" hidden="1" x14ac:dyDescent="0.25">
      <c r="A138">
        <f>COUNTIF($P$2:P138,P138)</f>
        <v>7</v>
      </c>
      <c r="B138">
        <f>COUNTIF($A$2:A138,1)</f>
        <v>11</v>
      </c>
      <c r="C138" t="str">
        <f t="shared" si="10"/>
        <v>COVS</v>
      </c>
      <c r="D138" t="str">
        <f t="shared" si="11"/>
        <v>COVSIntegrator</v>
      </c>
      <c r="E138">
        <f>COUNTIF($R$2:R138,R138)</f>
        <v>7</v>
      </c>
      <c r="F138">
        <f>COUNTIF($E$2:E138,1)</f>
        <v>12</v>
      </c>
      <c r="G138" t="str">
        <f t="shared" si="12"/>
        <v>covs.services.covs</v>
      </c>
      <c r="H138" t="str">
        <f t="shared" si="13"/>
        <v>COVScovs.services.covsIntegrator</v>
      </c>
      <c r="I138" t="str">
        <f t="shared" si="14"/>
        <v/>
      </c>
      <c r="J138">
        <f>IF(I138="",0,COUNTIF($I$2:I138,I138))</f>
        <v>0</v>
      </c>
      <c r="K138">
        <f>COUNTIF($J$2:J138,1)</f>
        <v>17</v>
      </c>
      <c r="N138">
        <v>83</v>
      </c>
      <c r="O138" t="s">
        <v>23</v>
      </c>
      <c r="P138" t="s">
        <v>97</v>
      </c>
      <c r="Q138" t="s">
        <v>98</v>
      </c>
      <c r="R138" t="s">
        <v>99</v>
      </c>
      <c r="S138" t="s">
        <v>100</v>
      </c>
      <c r="T138" t="s">
        <v>100</v>
      </c>
      <c r="U138" t="s">
        <v>20</v>
      </c>
      <c r="W138" t="s">
        <v>21</v>
      </c>
    </row>
    <row r="139" spans="1:26" hidden="1" x14ac:dyDescent="0.25">
      <c r="A139">
        <f>COUNTIF($P$2:P139,P139)</f>
        <v>8</v>
      </c>
      <c r="B139">
        <f>COUNTIF($A$2:A139,1)</f>
        <v>11</v>
      </c>
      <c r="C139" t="str">
        <f t="shared" si="10"/>
        <v>COVS</v>
      </c>
      <c r="D139" t="str">
        <f t="shared" si="11"/>
        <v>COVSParent</v>
      </c>
      <c r="E139">
        <f>COUNTIF($R$2:R139,R139)</f>
        <v>8</v>
      </c>
      <c r="F139">
        <f>COUNTIF($E$2:E139,1)</f>
        <v>12</v>
      </c>
      <c r="G139" t="str">
        <f t="shared" si="12"/>
        <v>covs.services.covs</v>
      </c>
      <c r="H139" t="str">
        <f t="shared" si="13"/>
        <v>COVScovs.services.covsParent</v>
      </c>
      <c r="I139" t="str">
        <f t="shared" si="14"/>
        <v/>
      </c>
      <c r="J139">
        <f>IF(I139="",0,COUNTIF($I$2:I139,I139))</f>
        <v>0</v>
      </c>
      <c r="K139">
        <f>COUNTIF($J$2:J139,1)</f>
        <v>17</v>
      </c>
      <c r="N139">
        <v>1</v>
      </c>
      <c r="O139" t="s">
        <v>15</v>
      </c>
      <c r="P139" t="s">
        <v>97</v>
      </c>
      <c r="Q139" t="s">
        <v>98</v>
      </c>
      <c r="R139" t="s">
        <v>99</v>
      </c>
      <c r="S139" t="s">
        <v>100</v>
      </c>
      <c r="T139" t="s">
        <v>100</v>
      </c>
      <c r="U139" t="s">
        <v>20</v>
      </c>
      <c r="W139" t="s">
        <v>21</v>
      </c>
    </row>
    <row r="140" spans="1:26" hidden="1" x14ac:dyDescent="0.25">
      <c r="A140">
        <f>COUNTIF($P$2:P140,P140)</f>
        <v>1</v>
      </c>
      <c r="B140">
        <f>COUNTIF($A$2:A140,1)</f>
        <v>12</v>
      </c>
      <c r="C140" t="str">
        <f t="shared" si="10"/>
        <v>CRS</v>
      </c>
      <c r="D140" t="str">
        <f t="shared" si="11"/>
        <v>CRSWeb Service</v>
      </c>
      <c r="E140">
        <f>COUNTIF($R$2:R140,R140)</f>
        <v>1</v>
      </c>
      <c r="F140">
        <f>COUNTIF($E$2:E140,1)</f>
        <v>13</v>
      </c>
      <c r="G140" t="str">
        <f t="shared" si="12"/>
        <v>crs.service.afa</v>
      </c>
      <c r="H140" t="str">
        <f t="shared" si="13"/>
        <v>CRScrs.service.afaWeb Service</v>
      </c>
      <c r="I140" t="str">
        <f t="shared" si="14"/>
        <v>CRScrs.service.afaafa.disposable.income.threshold.percentage</v>
      </c>
      <c r="J140">
        <f>IF(I140="",0,COUNTIF($I$2:I140,I140))</f>
        <v>1</v>
      </c>
      <c r="K140">
        <f>COUNTIF($J$2:J140,1)</f>
        <v>18</v>
      </c>
      <c r="N140">
        <v>1</v>
      </c>
      <c r="O140" t="s">
        <v>81</v>
      </c>
      <c r="P140" t="s">
        <v>101</v>
      </c>
      <c r="Q140" t="s">
        <v>102</v>
      </c>
      <c r="R140" t="s">
        <v>103</v>
      </c>
      <c r="S140" t="s">
        <v>104</v>
      </c>
      <c r="T140" t="s">
        <v>105</v>
      </c>
      <c r="U140" t="s">
        <v>106</v>
      </c>
      <c r="V140" t="s">
        <v>107</v>
      </c>
      <c r="W140" t="s">
        <v>21</v>
      </c>
      <c r="X140" t="s">
        <v>21</v>
      </c>
      <c r="Y140">
        <v>50</v>
      </c>
      <c r="Z140">
        <v>3378</v>
      </c>
    </row>
    <row r="141" spans="1:26" hidden="1" x14ac:dyDescent="0.25">
      <c r="A141">
        <f>COUNTIF($P$2:P141,P141)</f>
        <v>2</v>
      </c>
      <c r="B141">
        <f>COUNTIF($A$2:A141,1)</f>
        <v>12</v>
      </c>
      <c r="C141" t="str">
        <f t="shared" si="10"/>
        <v>CRS</v>
      </c>
      <c r="D141" t="str">
        <f t="shared" si="11"/>
        <v>CRSIntegrator</v>
      </c>
      <c r="E141">
        <f>COUNTIF($R$2:R141,R141)</f>
        <v>2</v>
      </c>
      <c r="F141">
        <f>COUNTIF($E$2:E141,1)</f>
        <v>13</v>
      </c>
      <c r="G141" t="str">
        <f t="shared" si="12"/>
        <v>crs.service.afa</v>
      </c>
      <c r="H141" t="str">
        <f t="shared" si="13"/>
        <v>CRScrs.service.afaIntegrator</v>
      </c>
      <c r="I141" t="str">
        <f t="shared" si="14"/>
        <v>CRScrs.service.afaafa.disposable.income.threshold.percentage</v>
      </c>
      <c r="J141">
        <f>IF(I141="",0,COUNTIF($I$2:I141,I141))</f>
        <v>2</v>
      </c>
      <c r="K141">
        <f>COUNTIF($J$2:J141,1)</f>
        <v>18</v>
      </c>
      <c r="N141">
        <v>1</v>
      </c>
      <c r="O141" t="s">
        <v>23</v>
      </c>
      <c r="P141" t="s">
        <v>101</v>
      </c>
      <c r="Q141" t="s">
        <v>102</v>
      </c>
      <c r="R141" t="s">
        <v>103</v>
      </c>
      <c r="S141" t="s">
        <v>104</v>
      </c>
      <c r="T141" t="s">
        <v>105</v>
      </c>
      <c r="U141" t="s">
        <v>106</v>
      </c>
      <c r="V141" t="s">
        <v>107</v>
      </c>
      <c r="W141" t="s">
        <v>21</v>
      </c>
      <c r="X141" t="s">
        <v>21</v>
      </c>
      <c r="Y141">
        <v>50</v>
      </c>
      <c r="Z141">
        <v>3378</v>
      </c>
    </row>
    <row r="142" spans="1:26" hidden="1" x14ac:dyDescent="0.25">
      <c r="A142">
        <f>COUNTIF($P$2:P142,P142)</f>
        <v>3</v>
      </c>
      <c r="B142">
        <f>COUNTIF($A$2:A142,1)</f>
        <v>12</v>
      </c>
      <c r="C142" t="str">
        <f t="shared" si="10"/>
        <v>CRS</v>
      </c>
      <c r="D142" t="str">
        <f t="shared" si="11"/>
        <v>CRSIntegrator</v>
      </c>
      <c r="E142">
        <f>COUNTIF($R$2:R142,R142)</f>
        <v>3</v>
      </c>
      <c r="F142">
        <f>COUNTIF($E$2:E142,1)</f>
        <v>13</v>
      </c>
      <c r="G142" t="str">
        <f t="shared" si="12"/>
        <v>crs.service.afa</v>
      </c>
      <c r="H142" t="str">
        <f t="shared" si="13"/>
        <v>CRScrs.service.afaIntegrator</v>
      </c>
      <c r="I142" t="str">
        <f t="shared" si="14"/>
        <v>CRScrs.service.afaafa.threshold.percentage</v>
      </c>
      <c r="J142">
        <f>IF(I142="",0,COUNTIF($I$2:I142,I142))</f>
        <v>1</v>
      </c>
      <c r="K142">
        <f>COUNTIF($J$2:J142,1)</f>
        <v>19</v>
      </c>
      <c r="N142">
        <v>1</v>
      </c>
      <c r="O142" t="s">
        <v>23</v>
      </c>
      <c r="P142" t="s">
        <v>101</v>
      </c>
      <c r="Q142" t="s">
        <v>102</v>
      </c>
      <c r="R142" t="s">
        <v>103</v>
      </c>
      <c r="S142" t="s">
        <v>104</v>
      </c>
      <c r="T142" t="s">
        <v>105</v>
      </c>
      <c r="U142" t="s">
        <v>106</v>
      </c>
      <c r="V142" t="s">
        <v>108</v>
      </c>
      <c r="W142" t="s">
        <v>21</v>
      </c>
      <c r="X142" t="s">
        <v>21</v>
      </c>
      <c r="Y142">
        <v>70</v>
      </c>
      <c r="Z142">
        <v>3377</v>
      </c>
    </row>
    <row r="143" spans="1:26" hidden="1" x14ac:dyDescent="0.25">
      <c r="A143">
        <f>COUNTIF($P$2:P143,P143)</f>
        <v>4</v>
      </c>
      <c r="B143">
        <f>COUNTIF($A$2:A143,1)</f>
        <v>12</v>
      </c>
      <c r="C143" t="str">
        <f t="shared" si="10"/>
        <v>CRS</v>
      </c>
      <c r="D143" t="str">
        <f t="shared" si="11"/>
        <v>CRSWeb Service</v>
      </c>
      <c r="E143">
        <f>COUNTIF($R$2:R143,R143)</f>
        <v>4</v>
      </c>
      <c r="F143">
        <f>COUNTIF($E$2:E143,1)</f>
        <v>13</v>
      </c>
      <c r="G143" t="str">
        <f t="shared" si="12"/>
        <v>crs.service.afa</v>
      </c>
      <c r="H143" t="str">
        <f t="shared" si="13"/>
        <v>CRScrs.service.afaWeb Service</v>
      </c>
      <c r="I143" t="str">
        <f t="shared" si="14"/>
        <v>CRScrs.service.afaafa.threshold.percentage</v>
      </c>
      <c r="J143">
        <f>IF(I143="",0,COUNTIF($I$2:I143,I143))</f>
        <v>2</v>
      </c>
      <c r="K143">
        <f>COUNTIF($J$2:J143,1)</f>
        <v>19</v>
      </c>
      <c r="N143">
        <v>1</v>
      </c>
      <c r="O143" t="s">
        <v>81</v>
      </c>
      <c r="P143" t="s">
        <v>101</v>
      </c>
      <c r="Q143" t="s">
        <v>102</v>
      </c>
      <c r="R143" t="s">
        <v>103</v>
      </c>
      <c r="S143" t="s">
        <v>104</v>
      </c>
      <c r="T143" t="s">
        <v>105</v>
      </c>
      <c r="U143" t="s">
        <v>106</v>
      </c>
      <c r="V143" t="s">
        <v>108</v>
      </c>
      <c r="W143" t="s">
        <v>21</v>
      </c>
      <c r="X143" t="s">
        <v>21</v>
      </c>
      <c r="Y143">
        <v>70</v>
      </c>
      <c r="Z143">
        <v>3377</v>
      </c>
    </row>
    <row r="144" spans="1:26" hidden="1" x14ac:dyDescent="0.25">
      <c r="A144">
        <f>COUNTIF($P$2:P144,P144)</f>
        <v>5</v>
      </c>
      <c r="B144">
        <f>COUNTIF($A$2:A144,1)</f>
        <v>12</v>
      </c>
      <c r="C144" t="str">
        <f t="shared" si="10"/>
        <v>CRS</v>
      </c>
      <c r="D144" t="str">
        <f t="shared" si="11"/>
        <v>CRSIntegrator</v>
      </c>
      <c r="E144">
        <f>COUNTIF($R$2:R144,R144)</f>
        <v>5</v>
      </c>
      <c r="F144">
        <f>COUNTIF($E$2:E144,1)</f>
        <v>13</v>
      </c>
      <c r="G144" t="str">
        <f t="shared" si="12"/>
        <v>crs.service.afa</v>
      </c>
      <c r="H144" t="str">
        <f t="shared" si="13"/>
        <v>CRScrs.service.afaIntegrator</v>
      </c>
      <c r="I144" t="str">
        <f t="shared" si="14"/>
        <v>CRScrs.service.afaafa.track.request</v>
      </c>
      <c r="J144">
        <f>IF(I144="",0,COUNTIF($I$2:I144,I144))</f>
        <v>1</v>
      </c>
      <c r="K144">
        <f>COUNTIF($J$2:J144,1)</f>
        <v>20</v>
      </c>
      <c r="N144">
        <v>1</v>
      </c>
      <c r="O144" t="s">
        <v>23</v>
      </c>
      <c r="P144" t="s">
        <v>101</v>
      </c>
      <c r="Q144" t="s">
        <v>102</v>
      </c>
      <c r="R144" t="s">
        <v>103</v>
      </c>
      <c r="S144" t="s">
        <v>104</v>
      </c>
      <c r="T144" t="s">
        <v>105</v>
      </c>
      <c r="U144" t="s">
        <v>106</v>
      </c>
      <c r="V144" t="s">
        <v>109</v>
      </c>
      <c r="W144" t="s">
        <v>21</v>
      </c>
      <c r="X144" t="s">
        <v>21</v>
      </c>
      <c r="Y144" t="b">
        <v>1</v>
      </c>
      <c r="Z144">
        <v>3376</v>
      </c>
    </row>
    <row r="145" spans="1:26" hidden="1" x14ac:dyDescent="0.25">
      <c r="A145">
        <f>COUNTIF($P$2:P145,P145)</f>
        <v>6</v>
      </c>
      <c r="B145">
        <f>COUNTIF($A$2:A145,1)</f>
        <v>12</v>
      </c>
      <c r="C145" t="str">
        <f t="shared" si="10"/>
        <v>CRS</v>
      </c>
      <c r="D145" t="str">
        <f t="shared" si="11"/>
        <v>CRSWeb Service</v>
      </c>
      <c r="E145">
        <f>COUNTIF($R$2:R145,R145)</f>
        <v>6</v>
      </c>
      <c r="F145">
        <f>COUNTIF($E$2:E145,1)</f>
        <v>13</v>
      </c>
      <c r="G145" t="str">
        <f t="shared" si="12"/>
        <v>crs.service.afa</v>
      </c>
      <c r="H145" t="str">
        <f t="shared" si="13"/>
        <v>CRScrs.service.afaWeb Service</v>
      </c>
      <c r="I145" t="str">
        <f t="shared" si="14"/>
        <v>CRScrs.service.afaafa.track.request</v>
      </c>
      <c r="J145">
        <f>IF(I145="",0,COUNTIF($I$2:I145,I145))</f>
        <v>2</v>
      </c>
      <c r="K145">
        <f>COUNTIF($J$2:J145,1)</f>
        <v>20</v>
      </c>
      <c r="N145">
        <v>1</v>
      </c>
      <c r="O145" t="s">
        <v>81</v>
      </c>
      <c r="P145" t="s">
        <v>101</v>
      </c>
      <c r="Q145" t="s">
        <v>102</v>
      </c>
      <c r="R145" t="s">
        <v>103</v>
      </c>
      <c r="S145" t="s">
        <v>104</v>
      </c>
      <c r="T145" t="s">
        <v>105</v>
      </c>
      <c r="U145" t="s">
        <v>106</v>
      </c>
      <c r="V145" t="s">
        <v>109</v>
      </c>
      <c r="W145" t="s">
        <v>21</v>
      </c>
      <c r="X145" t="s">
        <v>21</v>
      </c>
      <c r="Y145" t="b">
        <v>1</v>
      </c>
      <c r="Z145">
        <v>3376</v>
      </c>
    </row>
    <row r="146" spans="1:26" hidden="1" x14ac:dyDescent="0.25">
      <c r="A146">
        <f>COUNTIF($P$2:P146,P146)</f>
        <v>7</v>
      </c>
      <c r="B146">
        <f>COUNTIF($A$2:A146,1)</f>
        <v>12</v>
      </c>
      <c r="C146" t="str">
        <f t="shared" si="10"/>
        <v>CRS</v>
      </c>
      <c r="D146" t="str">
        <f t="shared" si="11"/>
        <v>CRSParent</v>
      </c>
      <c r="E146">
        <f>COUNTIF($R$2:R146,R146)</f>
        <v>7</v>
      </c>
      <c r="F146">
        <f>COUNTIF($E$2:E146,1)</f>
        <v>13</v>
      </c>
      <c r="G146" t="str">
        <f t="shared" si="12"/>
        <v>crs.service.afa</v>
      </c>
      <c r="H146" t="str">
        <f t="shared" si="13"/>
        <v>CRScrs.service.afaParent</v>
      </c>
      <c r="I146" t="str">
        <f t="shared" si="14"/>
        <v>CRScrs.service.afacrs.cpb.enquiry.done.by</v>
      </c>
      <c r="J146">
        <f>IF(I146="",0,COUNTIF($I$2:I146,I146))</f>
        <v>1</v>
      </c>
      <c r="K146">
        <f>COUNTIF($J$2:J146,1)</f>
        <v>21</v>
      </c>
      <c r="N146">
        <v>26</v>
      </c>
      <c r="O146" t="s">
        <v>15</v>
      </c>
      <c r="P146" t="s">
        <v>101</v>
      </c>
      <c r="Q146" t="s">
        <v>102</v>
      </c>
      <c r="R146" t="s">
        <v>103</v>
      </c>
      <c r="S146" t="s">
        <v>104</v>
      </c>
      <c r="T146" t="s">
        <v>105</v>
      </c>
      <c r="U146" t="s">
        <v>106</v>
      </c>
      <c r="V146" t="s">
        <v>110</v>
      </c>
      <c r="W146" t="s">
        <v>21</v>
      </c>
      <c r="X146" t="s">
        <v>21</v>
      </c>
      <c r="Y146" t="s">
        <v>111</v>
      </c>
      <c r="Z146">
        <v>5018</v>
      </c>
    </row>
    <row r="147" spans="1:26" hidden="1" x14ac:dyDescent="0.25">
      <c r="A147">
        <f>COUNTIF($P$2:P147,P147)</f>
        <v>8</v>
      </c>
      <c r="B147">
        <f>COUNTIF($A$2:A147,1)</f>
        <v>12</v>
      </c>
      <c r="C147" t="str">
        <f t="shared" si="10"/>
        <v>CRS</v>
      </c>
      <c r="D147" t="str">
        <f t="shared" si="11"/>
        <v>CRSWeb Service</v>
      </c>
      <c r="E147">
        <f>COUNTIF($R$2:R147,R147)</f>
        <v>8</v>
      </c>
      <c r="F147">
        <f>COUNTIF($E$2:E147,1)</f>
        <v>13</v>
      </c>
      <c r="G147" t="str">
        <f t="shared" si="12"/>
        <v>crs.service.afa</v>
      </c>
      <c r="H147" t="str">
        <f t="shared" si="13"/>
        <v>CRScrs.service.afaWeb Service</v>
      </c>
      <c r="I147" t="str">
        <f t="shared" si="14"/>
        <v>CRScrs.service.afacrs.cpb.enquiry.done.by</v>
      </c>
      <c r="J147">
        <f>IF(I147="",0,COUNTIF($I$2:I147,I147))</f>
        <v>2</v>
      </c>
      <c r="K147">
        <f>COUNTIF($J$2:J147,1)</f>
        <v>21</v>
      </c>
      <c r="N147">
        <v>1</v>
      </c>
      <c r="O147" t="s">
        <v>81</v>
      </c>
      <c r="P147" t="s">
        <v>101</v>
      </c>
      <c r="Q147" t="s">
        <v>102</v>
      </c>
      <c r="R147" t="s">
        <v>103</v>
      </c>
      <c r="S147" t="s">
        <v>104</v>
      </c>
      <c r="T147" t="s">
        <v>105</v>
      </c>
      <c r="U147" t="s">
        <v>106</v>
      </c>
      <c r="V147" t="s">
        <v>110</v>
      </c>
      <c r="W147" t="s">
        <v>21</v>
      </c>
      <c r="X147" t="s">
        <v>21</v>
      </c>
      <c r="Y147" t="s">
        <v>111</v>
      </c>
      <c r="Z147">
        <v>5018</v>
      </c>
    </row>
    <row r="148" spans="1:26" hidden="1" x14ac:dyDescent="0.25">
      <c r="A148">
        <f>COUNTIF($P$2:P148,P148)</f>
        <v>9</v>
      </c>
      <c r="B148">
        <f>COUNTIF($A$2:A148,1)</f>
        <v>12</v>
      </c>
      <c r="C148" t="str">
        <f t="shared" si="10"/>
        <v>CRS</v>
      </c>
      <c r="D148" t="str">
        <f t="shared" si="11"/>
        <v>CRSIntegrator</v>
      </c>
      <c r="E148">
        <f>COUNTIF($R$2:R148,R148)</f>
        <v>9</v>
      </c>
      <c r="F148">
        <f>COUNTIF($E$2:E148,1)</f>
        <v>13</v>
      </c>
      <c r="G148" t="str">
        <f t="shared" si="12"/>
        <v>crs.service.afa</v>
      </c>
      <c r="H148" t="str">
        <f t="shared" si="13"/>
        <v>CRScrs.service.afaIntegrator</v>
      </c>
      <c r="I148" t="str">
        <f t="shared" si="14"/>
        <v>CRScrs.service.afacrs.cpb.enquiry.done.by</v>
      </c>
      <c r="J148">
        <f>IF(I148="",0,COUNTIF($I$2:I148,I148))</f>
        <v>3</v>
      </c>
      <c r="K148">
        <f>COUNTIF($J$2:J148,1)</f>
        <v>21</v>
      </c>
      <c r="N148">
        <v>2</v>
      </c>
      <c r="O148" t="s">
        <v>23</v>
      </c>
      <c r="P148" t="s">
        <v>101</v>
      </c>
      <c r="Q148" t="s">
        <v>102</v>
      </c>
      <c r="R148" t="s">
        <v>103</v>
      </c>
      <c r="S148" t="s">
        <v>104</v>
      </c>
      <c r="T148" t="s">
        <v>105</v>
      </c>
      <c r="U148" t="s">
        <v>106</v>
      </c>
      <c r="V148" t="s">
        <v>110</v>
      </c>
      <c r="W148" t="s">
        <v>21</v>
      </c>
      <c r="X148" t="s">
        <v>21</v>
      </c>
      <c r="Y148" t="s">
        <v>111</v>
      </c>
      <c r="Z148">
        <v>5018</v>
      </c>
    </row>
    <row r="149" spans="1:26" hidden="1" x14ac:dyDescent="0.25">
      <c r="A149">
        <f>COUNTIF($P$2:P149,P149)</f>
        <v>10</v>
      </c>
      <c r="B149">
        <f>COUNTIF($A$2:A149,1)</f>
        <v>12</v>
      </c>
      <c r="C149" t="str">
        <f t="shared" si="10"/>
        <v>CRS</v>
      </c>
      <c r="D149" t="str">
        <f t="shared" si="11"/>
        <v>CRSDevice</v>
      </c>
      <c r="E149">
        <f>COUNTIF($R$2:R149,R149)</f>
        <v>10</v>
      </c>
      <c r="F149">
        <f>COUNTIF($E$2:E149,1)</f>
        <v>13</v>
      </c>
      <c r="G149" t="str">
        <f t="shared" si="12"/>
        <v>crs.service.afa</v>
      </c>
      <c r="H149" t="str">
        <f t="shared" si="13"/>
        <v>CRScrs.service.afaDevice</v>
      </c>
      <c r="I149" t="str">
        <f t="shared" si="14"/>
        <v>CRScrs.service.afacrs.track.request</v>
      </c>
      <c r="J149">
        <f>IF(I149="",0,COUNTIF($I$2:I149,I149))</f>
        <v>1</v>
      </c>
      <c r="K149">
        <f>COUNTIF($J$2:J149,1)</f>
        <v>22</v>
      </c>
      <c r="N149">
        <v>46</v>
      </c>
      <c r="O149" t="s">
        <v>31</v>
      </c>
      <c r="P149" t="s">
        <v>101</v>
      </c>
      <c r="Q149" t="s">
        <v>102</v>
      </c>
      <c r="R149" t="s">
        <v>103</v>
      </c>
      <c r="S149" t="s">
        <v>104</v>
      </c>
      <c r="T149" t="s">
        <v>105</v>
      </c>
      <c r="U149" t="s">
        <v>106</v>
      </c>
      <c r="V149" t="s">
        <v>112</v>
      </c>
      <c r="W149" t="s">
        <v>21</v>
      </c>
      <c r="X149" t="s">
        <v>21</v>
      </c>
      <c r="Y149" t="b">
        <v>1</v>
      </c>
      <c r="Z149">
        <v>4830</v>
      </c>
    </row>
    <row r="150" spans="1:26" hidden="1" x14ac:dyDescent="0.25">
      <c r="A150">
        <f>COUNTIF($P$2:P150,P150)</f>
        <v>11</v>
      </c>
      <c r="B150">
        <f>COUNTIF($A$2:A150,1)</f>
        <v>12</v>
      </c>
      <c r="C150" t="str">
        <f t="shared" si="10"/>
        <v>CRS</v>
      </c>
      <c r="D150" t="str">
        <f t="shared" si="11"/>
        <v>CRSWeb Service</v>
      </c>
      <c r="E150">
        <f>COUNTIF($R$2:R150,R150)</f>
        <v>11</v>
      </c>
      <c r="F150">
        <f>COUNTIF($E$2:E150,1)</f>
        <v>13</v>
      </c>
      <c r="G150" t="str">
        <f t="shared" si="12"/>
        <v>crs.service.afa</v>
      </c>
      <c r="H150" t="str">
        <f t="shared" si="13"/>
        <v>CRScrs.service.afaWeb Service</v>
      </c>
      <c r="I150" t="str">
        <f t="shared" si="14"/>
        <v>CRScrs.service.afacrs.track.request</v>
      </c>
      <c r="J150">
        <f>IF(I150="",0,COUNTIF($I$2:I150,I150))</f>
        <v>2</v>
      </c>
      <c r="K150">
        <f>COUNTIF($J$2:J150,1)</f>
        <v>22</v>
      </c>
      <c r="N150">
        <v>1</v>
      </c>
      <c r="O150" t="s">
        <v>81</v>
      </c>
      <c r="P150" t="s">
        <v>101</v>
      </c>
      <c r="Q150" t="s">
        <v>102</v>
      </c>
      <c r="R150" t="s">
        <v>103</v>
      </c>
      <c r="S150" t="s">
        <v>104</v>
      </c>
      <c r="T150" t="s">
        <v>105</v>
      </c>
      <c r="U150" t="s">
        <v>106</v>
      </c>
      <c r="V150" t="s">
        <v>112</v>
      </c>
      <c r="W150" t="s">
        <v>21</v>
      </c>
      <c r="X150" t="s">
        <v>21</v>
      </c>
      <c r="Y150" t="b">
        <v>1</v>
      </c>
      <c r="Z150">
        <v>4830</v>
      </c>
    </row>
    <row r="151" spans="1:26" hidden="1" x14ac:dyDescent="0.25">
      <c r="A151">
        <f>COUNTIF($P$2:P151,P151)</f>
        <v>12</v>
      </c>
      <c r="B151">
        <f>COUNTIF($A$2:A151,1)</f>
        <v>12</v>
      </c>
      <c r="C151" t="str">
        <f t="shared" si="10"/>
        <v>CRS</v>
      </c>
      <c r="D151" t="str">
        <f t="shared" si="11"/>
        <v>CRSIntegrator</v>
      </c>
      <c r="E151">
        <f>COUNTIF($R$2:R151,R151)</f>
        <v>12</v>
      </c>
      <c r="F151">
        <f>COUNTIF($E$2:E151,1)</f>
        <v>13</v>
      </c>
      <c r="G151" t="str">
        <f t="shared" si="12"/>
        <v>crs.service.afa</v>
      </c>
      <c r="H151" t="str">
        <f t="shared" si="13"/>
        <v>CRScrs.service.afaIntegrator</v>
      </c>
      <c r="I151" t="str">
        <f t="shared" si="14"/>
        <v>CRScrs.service.afacrs.track.request</v>
      </c>
      <c r="J151">
        <f>IF(I151="",0,COUNTIF($I$2:I151,I151))</f>
        <v>3</v>
      </c>
      <c r="K151">
        <f>COUNTIF($J$2:J151,1)</f>
        <v>22</v>
      </c>
      <c r="N151">
        <v>1</v>
      </c>
      <c r="O151" t="s">
        <v>23</v>
      </c>
      <c r="P151" t="s">
        <v>101</v>
      </c>
      <c r="Q151" t="s">
        <v>102</v>
      </c>
      <c r="R151" t="s">
        <v>103</v>
      </c>
      <c r="S151" t="s">
        <v>104</v>
      </c>
      <c r="T151" t="s">
        <v>105</v>
      </c>
      <c r="U151" t="s">
        <v>106</v>
      </c>
      <c r="V151" t="s">
        <v>112</v>
      </c>
      <c r="W151" t="s">
        <v>21</v>
      </c>
      <c r="X151" t="s">
        <v>21</v>
      </c>
      <c r="Y151" t="b">
        <v>1</v>
      </c>
      <c r="Z151">
        <v>4830</v>
      </c>
    </row>
    <row r="152" spans="1:26" hidden="1" x14ac:dyDescent="0.25">
      <c r="A152">
        <f>COUNTIF($P$2:P152,P152)</f>
        <v>13</v>
      </c>
      <c r="B152">
        <f>COUNTIF($A$2:A152,1)</f>
        <v>12</v>
      </c>
      <c r="C152" t="str">
        <f t="shared" si="10"/>
        <v>CRS</v>
      </c>
      <c r="D152" t="str">
        <f t="shared" si="11"/>
        <v>CRSParent</v>
      </c>
      <c r="E152">
        <f>COUNTIF($R$2:R152,R152)</f>
        <v>13</v>
      </c>
      <c r="F152">
        <f>COUNTIF($E$2:E152,1)</f>
        <v>13</v>
      </c>
      <c r="G152" t="str">
        <f t="shared" si="12"/>
        <v>crs.service.afa</v>
      </c>
      <c r="H152" t="str">
        <f t="shared" si="13"/>
        <v>CRScrs.service.afaParent</v>
      </c>
      <c r="I152" t="str">
        <f t="shared" si="14"/>
        <v/>
      </c>
      <c r="J152">
        <f>IF(I152="",0,COUNTIF($I$2:I152,I152))</f>
        <v>0</v>
      </c>
      <c r="K152">
        <f>COUNTIF($J$2:J152,1)</f>
        <v>22</v>
      </c>
      <c r="N152">
        <v>25</v>
      </c>
      <c r="O152" t="s">
        <v>15</v>
      </c>
      <c r="P152" t="s">
        <v>101</v>
      </c>
      <c r="Q152" t="s">
        <v>102</v>
      </c>
      <c r="R152" t="s">
        <v>103</v>
      </c>
      <c r="S152" t="s">
        <v>104</v>
      </c>
      <c r="T152" t="s">
        <v>105</v>
      </c>
      <c r="U152" t="s">
        <v>106</v>
      </c>
      <c r="W152" t="s">
        <v>22</v>
      </c>
    </row>
    <row r="153" spans="1:26" hidden="1" x14ac:dyDescent="0.25">
      <c r="A153">
        <f>COUNTIF($P$2:P153,P153)</f>
        <v>14</v>
      </c>
      <c r="B153">
        <f>COUNTIF($A$2:A153,1)</f>
        <v>12</v>
      </c>
      <c r="C153" t="str">
        <f t="shared" si="10"/>
        <v>CRS</v>
      </c>
      <c r="D153" t="str">
        <f t="shared" si="11"/>
        <v>CRSParent</v>
      </c>
      <c r="E153">
        <f>COUNTIF($R$2:R153,R153)</f>
        <v>14</v>
      </c>
      <c r="F153">
        <f>COUNTIF($E$2:E153,1)</f>
        <v>13</v>
      </c>
      <c r="G153" t="str">
        <f t="shared" si="12"/>
        <v>crs.service.afa</v>
      </c>
      <c r="H153" t="str">
        <f t="shared" si="13"/>
        <v>CRScrs.service.afaParent</v>
      </c>
      <c r="I153" t="str">
        <f t="shared" si="14"/>
        <v/>
      </c>
      <c r="J153">
        <f>IF(I153="",0,COUNTIF($I$2:I153,I153))</f>
        <v>0</v>
      </c>
      <c r="K153">
        <f>COUNTIF($J$2:J153,1)</f>
        <v>22</v>
      </c>
      <c r="N153">
        <v>107</v>
      </c>
      <c r="O153" t="s">
        <v>15</v>
      </c>
      <c r="P153" t="s">
        <v>101</v>
      </c>
      <c r="Q153" t="s">
        <v>102</v>
      </c>
      <c r="R153" t="s">
        <v>103</v>
      </c>
      <c r="S153" t="s">
        <v>104</v>
      </c>
      <c r="T153" t="s">
        <v>105</v>
      </c>
      <c r="U153" t="s">
        <v>106</v>
      </c>
      <c r="W153" t="s">
        <v>21</v>
      </c>
    </row>
    <row r="154" spans="1:26" hidden="1" x14ac:dyDescent="0.25">
      <c r="A154">
        <f>COUNTIF($P$2:P154,P154)</f>
        <v>15</v>
      </c>
      <c r="B154">
        <f>COUNTIF($A$2:A154,1)</f>
        <v>12</v>
      </c>
      <c r="C154" t="str">
        <f t="shared" si="10"/>
        <v>CRS</v>
      </c>
      <c r="D154" t="str">
        <f t="shared" si="11"/>
        <v>CRSDevice</v>
      </c>
      <c r="E154">
        <f>COUNTIF($R$2:R154,R154)</f>
        <v>15</v>
      </c>
      <c r="F154">
        <f>COUNTIF($E$2:E154,1)</f>
        <v>13</v>
      </c>
      <c r="G154" t="str">
        <f t="shared" si="12"/>
        <v>crs.service.afa</v>
      </c>
      <c r="H154" t="str">
        <f t="shared" si="13"/>
        <v>CRScrs.service.afaDevice</v>
      </c>
      <c r="I154" t="str">
        <f t="shared" si="14"/>
        <v/>
      </c>
      <c r="J154">
        <f>IF(I154="",0,COUNTIF($I$2:I154,I154))</f>
        <v>0</v>
      </c>
      <c r="K154">
        <f>COUNTIF($J$2:J154,1)</f>
        <v>22</v>
      </c>
      <c r="N154">
        <v>8</v>
      </c>
      <c r="O154" t="s">
        <v>31</v>
      </c>
      <c r="P154" t="s">
        <v>101</v>
      </c>
      <c r="Q154" t="s">
        <v>102</v>
      </c>
      <c r="R154" t="s">
        <v>103</v>
      </c>
      <c r="S154" t="s">
        <v>104</v>
      </c>
      <c r="T154" t="s">
        <v>105</v>
      </c>
      <c r="U154" t="s">
        <v>106</v>
      </c>
      <c r="W154" t="s">
        <v>21</v>
      </c>
    </row>
    <row r="155" spans="1:26" hidden="1" x14ac:dyDescent="0.25">
      <c r="A155">
        <f>COUNTIF($P$2:P155,P155)</f>
        <v>16</v>
      </c>
      <c r="B155">
        <f>COUNTIF($A$2:A155,1)</f>
        <v>12</v>
      </c>
      <c r="C155" t="str">
        <f t="shared" si="10"/>
        <v>CRS</v>
      </c>
      <c r="D155" t="str">
        <f t="shared" si="11"/>
        <v>CRSIntegrator</v>
      </c>
      <c r="E155">
        <f>COUNTIF($R$2:R155,R155)</f>
        <v>16</v>
      </c>
      <c r="F155">
        <f>COUNTIF($E$2:E155,1)</f>
        <v>13</v>
      </c>
      <c r="G155" t="str">
        <f t="shared" si="12"/>
        <v>crs.service.afa</v>
      </c>
      <c r="H155" t="str">
        <f t="shared" si="13"/>
        <v>CRScrs.service.afaIntegrator</v>
      </c>
      <c r="I155" t="str">
        <f t="shared" si="14"/>
        <v/>
      </c>
      <c r="J155">
        <f>IF(I155="",0,COUNTIF($I$2:I155,I155))</f>
        <v>0</v>
      </c>
      <c r="K155">
        <f>COUNTIF($J$2:J155,1)</f>
        <v>22</v>
      </c>
      <c r="N155">
        <v>131</v>
      </c>
      <c r="O155" t="s">
        <v>23</v>
      </c>
      <c r="P155" t="s">
        <v>101</v>
      </c>
      <c r="Q155" t="s">
        <v>102</v>
      </c>
      <c r="R155" t="s">
        <v>103</v>
      </c>
      <c r="S155" t="s">
        <v>104</v>
      </c>
      <c r="T155" t="s">
        <v>105</v>
      </c>
      <c r="U155" t="s">
        <v>106</v>
      </c>
      <c r="W155" t="s">
        <v>21</v>
      </c>
    </row>
    <row r="156" spans="1:26" hidden="1" x14ac:dyDescent="0.25">
      <c r="A156">
        <f>COUNTIF($P$2:P156,P156)</f>
        <v>17</v>
      </c>
      <c r="B156">
        <f>COUNTIF($A$2:A156,1)</f>
        <v>12</v>
      </c>
      <c r="C156" t="str">
        <f t="shared" si="10"/>
        <v>CRS</v>
      </c>
      <c r="D156" t="str">
        <f t="shared" si="11"/>
        <v>CRSDevice</v>
      </c>
      <c r="E156">
        <f>COUNTIF($R$2:R156,R156)</f>
        <v>17</v>
      </c>
      <c r="F156">
        <f>COUNTIF($E$2:E156,1)</f>
        <v>13</v>
      </c>
      <c r="G156" t="str">
        <f t="shared" si="12"/>
        <v>crs.service.afa</v>
      </c>
      <c r="H156" t="str">
        <f t="shared" si="13"/>
        <v>CRScrs.service.afaDevice</v>
      </c>
      <c r="I156" t="str">
        <f t="shared" si="14"/>
        <v/>
      </c>
      <c r="J156">
        <f>IF(I156="",0,COUNTIF($I$2:I156,I156))</f>
        <v>0</v>
      </c>
      <c r="K156">
        <f>COUNTIF($J$2:J156,1)</f>
        <v>22</v>
      </c>
      <c r="N156">
        <v>17</v>
      </c>
      <c r="O156" t="s">
        <v>31</v>
      </c>
      <c r="P156" t="s">
        <v>101</v>
      </c>
      <c r="Q156" t="s">
        <v>102</v>
      </c>
      <c r="R156" t="s">
        <v>103</v>
      </c>
      <c r="S156" t="s">
        <v>104</v>
      </c>
      <c r="T156" t="s">
        <v>105</v>
      </c>
      <c r="U156" t="s">
        <v>106</v>
      </c>
      <c r="W156" t="s">
        <v>21</v>
      </c>
    </row>
    <row r="157" spans="1:26" hidden="1" x14ac:dyDescent="0.25">
      <c r="A157">
        <f>COUNTIF($P$2:P157,P157)</f>
        <v>18</v>
      </c>
      <c r="B157">
        <f>COUNTIF($A$2:A157,1)</f>
        <v>12</v>
      </c>
      <c r="C157" t="str">
        <f t="shared" si="10"/>
        <v>CRS</v>
      </c>
      <c r="D157" t="str">
        <f t="shared" si="11"/>
        <v>CRSParent</v>
      </c>
      <c r="E157">
        <f>COUNTIF($R$2:R157,R157)</f>
        <v>18</v>
      </c>
      <c r="F157">
        <f>COUNTIF($E$2:E157,1)</f>
        <v>13</v>
      </c>
      <c r="G157" t="str">
        <f t="shared" si="12"/>
        <v>crs.service.afa</v>
      </c>
      <c r="H157" t="str">
        <f t="shared" si="13"/>
        <v>CRScrs.service.afaParent</v>
      </c>
      <c r="I157" t="str">
        <f t="shared" si="14"/>
        <v/>
      </c>
      <c r="J157">
        <f>IF(I157="",0,COUNTIF($I$2:I157,I157))</f>
        <v>0</v>
      </c>
      <c r="K157">
        <f>COUNTIF($J$2:J157,1)</f>
        <v>22</v>
      </c>
      <c r="N157">
        <v>1</v>
      </c>
      <c r="O157" t="s">
        <v>15</v>
      </c>
      <c r="P157" t="s">
        <v>101</v>
      </c>
      <c r="Q157" t="s">
        <v>102</v>
      </c>
      <c r="R157" t="s">
        <v>103</v>
      </c>
      <c r="S157" t="s">
        <v>104</v>
      </c>
      <c r="T157" t="s">
        <v>105</v>
      </c>
      <c r="U157" t="s">
        <v>106</v>
      </c>
      <c r="W157" t="s">
        <v>21</v>
      </c>
    </row>
    <row r="158" spans="1:26" hidden="1" x14ac:dyDescent="0.25">
      <c r="A158">
        <f>COUNTIF($P$2:P158,P158)</f>
        <v>19</v>
      </c>
      <c r="B158">
        <f>COUNTIF($A$2:A158,1)</f>
        <v>12</v>
      </c>
      <c r="C158" t="str">
        <f t="shared" si="10"/>
        <v>CRS</v>
      </c>
      <c r="D158" t="str">
        <f t="shared" si="11"/>
        <v>CRSWeb Service</v>
      </c>
      <c r="E158">
        <f>COUNTIF($R$2:R158,R158)</f>
        <v>19</v>
      </c>
      <c r="F158">
        <f>COUNTIF($E$2:E158,1)</f>
        <v>13</v>
      </c>
      <c r="G158" t="str">
        <f t="shared" si="12"/>
        <v>crs.service.afa</v>
      </c>
      <c r="H158" t="str">
        <f t="shared" si="13"/>
        <v>CRScrs.service.afaWeb Service</v>
      </c>
      <c r="I158" t="str">
        <f t="shared" si="14"/>
        <v/>
      </c>
      <c r="J158">
        <f>IF(I158="",0,COUNTIF($I$2:I158,I158))</f>
        <v>0</v>
      </c>
      <c r="K158">
        <f>COUNTIF($J$2:J158,1)</f>
        <v>22</v>
      </c>
      <c r="N158">
        <v>1</v>
      </c>
      <c r="O158" t="s">
        <v>81</v>
      </c>
      <c r="P158" t="s">
        <v>101</v>
      </c>
      <c r="Q158" t="s">
        <v>102</v>
      </c>
      <c r="R158" t="s">
        <v>103</v>
      </c>
      <c r="S158" t="s">
        <v>104</v>
      </c>
      <c r="T158" t="s">
        <v>105</v>
      </c>
      <c r="U158" t="s">
        <v>106</v>
      </c>
      <c r="W158" t="s">
        <v>22</v>
      </c>
    </row>
    <row r="159" spans="1:26" hidden="1" x14ac:dyDescent="0.25">
      <c r="A159">
        <f>COUNTIF($P$2:P159,P159)</f>
        <v>20</v>
      </c>
      <c r="B159">
        <f>COUNTIF($A$2:A159,1)</f>
        <v>12</v>
      </c>
      <c r="C159" t="str">
        <f t="shared" si="10"/>
        <v>CRS</v>
      </c>
      <c r="D159" t="str">
        <f t="shared" si="11"/>
        <v>CRSDevice</v>
      </c>
      <c r="E159">
        <f>COUNTIF($R$2:R159,R159)</f>
        <v>20</v>
      </c>
      <c r="F159">
        <f>COUNTIF($E$2:E159,1)</f>
        <v>13</v>
      </c>
      <c r="G159" t="str">
        <f t="shared" si="12"/>
        <v>crs.service.afa</v>
      </c>
      <c r="H159" t="str">
        <f t="shared" si="13"/>
        <v>CRScrs.service.afaDevice</v>
      </c>
      <c r="I159" t="str">
        <f t="shared" si="14"/>
        <v/>
      </c>
      <c r="J159">
        <f>IF(I159="",0,COUNTIF($I$2:I159,I159))</f>
        <v>0</v>
      </c>
      <c r="K159">
        <f>COUNTIF($J$2:J159,1)</f>
        <v>22</v>
      </c>
      <c r="N159">
        <v>15</v>
      </c>
      <c r="O159" t="s">
        <v>31</v>
      </c>
      <c r="P159" t="s">
        <v>101</v>
      </c>
      <c r="Q159" t="s">
        <v>102</v>
      </c>
      <c r="R159" t="s">
        <v>103</v>
      </c>
      <c r="S159" t="s">
        <v>104</v>
      </c>
      <c r="T159" t="s">
        <v>105</v>
      </c>
      <c r="U159" t="s">
        <v>106</v>
      </c>
      <c r="W159" t="s">
        <v>22</v>
      </c>
    </row>
    <row r="160" spans="1:26" hidden="1" x14ac:dyDescent="0.25">
      <c r="A160">
        <f>COUNTIF($P$2:P160,P160)</f>
        <v>21</v>
      </c>
      <c r="B160">
        <f>COUNTIF($A$2:A160,1)</f>
        <v>12</v>
      </c>
      <c r="C160" t="str">
        <f t="shared" si="10"/>
        <v>CRS</v>
      </c>
      <c r="D160" t="str">
        <f t="shared" si="11"/>
        <v>CRSIntegrator</v>
      </c>
      <c r="E160">
        <f>COUNTIF($R$2:R160,R160)</f>
        <v>21</v>
      </c>
      <c r="F160">
        <f>COUNTIF($E$2:E160,1)</f>
        <v>13</v>
      </c>
      <c r="G160" t="str">
        <f t="shared" si="12"/>
        <v>crs.service.afa</v>
      </c>
      <c r="H160" t="str">
        <f t="shared" si="13"/>
        <v>CRScrs.service.afaIntegrator</v>
      </c>
      <c r="I160" t="str">
        <f t="shared" si="14"/>
        <v/>
      </c>
      <c r="J160">
        <f>IF(I160="",0,COUNTIF($I$2:I160,I160))</f>
        <v>0</v>
      </c>
      <c r="K160">
        <f>COUNTIF($J$2:J160,1)</f>
        <v>22</v>
      </c>
      <c r="N160">
        <v>27</v>
      </c>
      <c r="O160" t="s">
        <v>23</v>
      </c>
      <c r="P160" t="s">
        <v>101</v>
      </c>
      <c r="Q160" t="s">
        <v>102</v>
      </c>
      <c r="R160" t="s">
        <v>103</v>
      </c>
      <c r="S160" t="s">
        <v>104</v>
      </c>
      <c r="T160" t="s">
        <v>105</v>
      </c>
      <c r="U160" t="s">
        <v>106</v>
      </c>
      <c r="W160" t="s">
        <v>22</v>
      </c>
    </row>
    <row r="161" spans="1:26" hidden="1" x14ac:dyDescent="0.25">
      <c r="A161">
        <f>COUNTIF($P$2:P161,P161)</f>
        <v>22</v>
      </c>
      <c r="B161">
        <f>COUNTIF($A$2:A161,1)</f>
        <v>12</v>
      </c>
      <c r="C161" t="str">
        <f t="shared" si="10"/>
        <v>CRS</v>
      </c>
      <c r="D161" t="str">
        <f t="shared" si="11"/>
        <v>CRSIntegrator</v>
      </c>
      <c r="E161">
        <f>COUNTIF($R$2:R161,R161)</f>
        <v>1</v>
      </c>
      <c r="F161">
        <f>COUNTIF($E$2:E161,1)</f>
        <v>14</v>
      </c>
      <c r="G161" t="str">
        <f t="shared" si="12"/>
        <v>crs.services.crs</v>
      </c>
      <c r="H161" t="str">
        <f t="shared" si="13"/>
        <v>CRScrs.services.crsIntegrator</v>
      </c>
      <c r="I161" t="str">
        <f t="shared" si="14"/>
        <v>CRScrs.services.crsafa.disposable.income.threshold.percentage</v>
      </c>
      <c r="J161">
        <f>IF(I161="",0,COUNTIF($I$2:I161,I161))</f>
        <v>1</v>
      </c>
      <c r="K161">
        <f>COUNTIF($J$2:J161,1)</f>
        <v>23</v>
      </c>
      <c r="N161">
        <v>1</v>
      </c>
      <c r="O161" t="s">
        <v>23</v>
      </c>
      <c r="P161" t="s">
        <v>101</v>
      </c>
      <c r="Q161" t="s">
        <v>102</v>
      </c>
      <c r="R161" t="s">
        <v>113</v>
      </c>
      <c r="S161" t="s">
        <v>102</v>
      </c>
      <c r="T161" t="s">
        <v>102</v>
      </c>
      <c r="U161" t="s">
        <v>20</v>
      </c>
      <c r="V161" t="s">
        <v>107</v>
      </c>
      <c r="W161" t="s">
        <v>21</v>
      </c>
      <c r="X161" t="s">
        <v>21</v>
      </c>
      <c r="Y161">
        <v>50</v>
      </c>
      <c r="Z161">
        <v>3378</v>
      </c>
    </row>
    <row r="162" spans="1:26" hidden="1" x14ac:dyDescent="0.25">
      <c r="A162">
        <f>COUNTIF($P$2:P162,P162)</f>
        <v>23</v>
      </c>
      <c r="B162">
        <f>COUNTIF($A$2:A162,1)</f>
        <v>12</v>
      </c>
      <c r="C162" t="str">
        <f t="shared" si="10"/>
        <v>CRS</v>
      </c>
      <c r="D162" t="str">
        <f t="shared" si="11"/>
        <v>CRSWeb Service</v>
      </c>
      <c r="E162">
        <f>COUNTIF($R$2:R162,R162)</f>
        <v>2</v>
      </c>
      <c r="F162">
        <f>COUNTIF($E$2:E162,1)</f>
        <v>14</v>
      </c>
      <c r="G162" t="str">
        <f t="shared" si="12"/>
        <v>crs.services.crs</v>
      </c>
      <c r="H162" t="str">
        <f t="shared" si="13"/>
        <v>CRScrs.services.crsWeb Service</v>
      </c>
      <c r="I162" t="str">
        <f t="shared" si="14"/>
        <v>CRScrs.services.crsafa.disposable.income.threshold.percentage</v>
      </c>
      <c r="J162">
        <f>IF(I162="",0,COUNTIF($I$2:I162,I162))</f>
        <v>2</v>
      </c>
      <c r="K162">
        <f>COUNTIF($J$2:J162,1)</f>
        <v>23</v>
      </c>
      <c r="N162">
        <v>1</v>
      </c>
      <c r="O162" t="s">
        <v>81</v>
      </c>
      <c r="P162" t="s">
        <v>101</v>
      </c>
      <c r="Q162" t="s">
        <v>102</v>
      </c>
      <c r="R162" t="s">
        <v>113</v>
      </c>
      <c r="S162" t="s">
        <v>102</v>
      </c>
      <c r="T162" t="s">
        <v>102</v>
      </c>
      <c r="U162" t="s">
        <v>20</v>
      </c>
      <c r="V162" t="s">
        <v>107</v>
      </c>
      <c r="W162" t="s">
        <v>21</v>
      </c>
      <c r="X162" t="s">
        <v>21</v>
      </c>
      <c r="Y162">
        <v>50</v>
      </c>
      <c r="Z162">
        <v>3378</v>
      </c>
    </row>
    <row r="163" spans="1:26" hidden="1" x14ac:dyDescent="0.25">
      <c r="A163">
        <f>COUNTIF($P$2:P163,P163)</f>
        <v>24</v>
      </c>
      <c r="B163">
        <f>COUNTIF($A$2:A163,1)</f>
        <v>12</v>
      </c>
      <c r="C163" t="str">
        <f t="shared" si="10"/>
        <v>CRS</v>
      </c>
      <c r="D163" t="str">
        <f t="shared" si="11"/>
        <v>CRSWeb Service</v>
      </c>
      <c r="E163">
        <f>COUNTIF($R$2:R163,R163)</f>
        <v>3</v>
      </c>
      <c r="F163">
        <f>COUNTIF($E$2:E163,1)</f>
        <v>14</v>
      </c>
      <c r="G163" t="str">
        <f t="shared" si="12"/>
        <v>crs.services.crs</v>
      </c>
      <c r="H163" t="str">
        <f t="shared" si="13"/>
        <v>CRScrs.services.crsWeb Service</v>
      </c>
      <c r="I163" t="str">
        <f t="shared" si="14"/>
        <v>CRScrs.services.crsafa.threshold.percentage</v>
      </c>
      <c r="J163">
        <f>IF(I163="",0,COUNTIF($I$2:I163,I163))</f>
        <v>1</v>
      </c>
      <c r="K163">
        <f>COUNTIF($J$2:J163,1)</f>
        <v>24</v>
      </c>
      <c r="N163">
        <v>1</v>
      </c>
      <c r="O163" t="s">
        <v>81</v>
      </c>
      <c r="P163" t="s">
        <v>101</v>
      </c>
      <c r="Q163" t="s">
        <v>102</v>
      </c>
      <c r="R163" t="s">
        <v>113</v>
      </c>
      <c r="S163" t="s">
        <v>102</v>
      </c>
      <c r="T163" t="s">
        <v>102</v>
      </c>
      <c r="U163" t="s">
        <v>20</v>
      </c>
      <c r="V163" t="s">
        <v>108</v>
      </c>
      <c r="W163" t="s">
        <v>21</v>
      </c>
      <c r="X163" t="s">
        <v>21</v>
      </c>
      <c r="Y163">
        <v>70</v>
      </c>
      <c r="Z163">
        <v>3377</v>
      </c>
    </row>
    <row r="164" spans="1:26" hidden="1" x14ac:dyDescent="0.25">
      <c r="A164">
        <f>COUNTIF($P$2:P164,P164)</f>
        <v>25</v>
      </c>
      <c r="B164">
        <f>COUNTIF($A$2:A164,1)</f>
        <v>12</v>
      </c>
      <c r="C164" t="str">
        <f t="shared" si="10"/>
        <v>CRS</v>
      </c>
      <c r="D164" t="str">
        <f t="shared" si="11"/>
        <v>CRSIntegrator</v>
      </c>
      <c r="E164">
        <f>COUNTIF($R$2:R164,R164)</f>
        <v>4</v>
      </c>
      <c r="F164">
        <f>COUNTIF($E$2:E164,1)</f>
        <v>14</v>
      </c>
      <c r="G164" t="str">
        <f t="shared" si="12"/>
        <v>crs.services.crs</v>
      </c>
      <c r="H164" t="str">
        <f t="shared" si="13"/>
        <v>CRScrs.services.crsIntegrator</v>
      </c>
      <c r="I164" t="str">
        <f t="shared" si="14"/>
        <v>CRScrs.services.crsafa.threshold.percentage</v>
      </c>
      <c r="J164">
        <f>IF(I164="",0,COUNTIF($I$2:I164,I164))</f>
        <v>2</v>
      </c>
      <c r="K164">
        <f>COUNTIF($J$2:J164,1)</f>
        <v>24</v>
      </c>
      <c r="N164">
        <v>1</v>
      </c>
      <c r="O164" t="s">
        <v>23</v>
      </c>
      <c r="P164" t="s">
        <v>101</v>
      </c>
      <c r="Q164" t="s">
        <v>102</v>
      </c>
      <c r="R164" t="s">
        <v>113</v>
      </c>
      <c r="S164" t="s">
        <v>102</v>
      </c>
      <c r="T164" t="s">
        <v>102</v>
      </c>
      <c r="U164" t="s">
        <v>20</v>
      </c>
      <c r="V164" t="s">
        <v>108</v>
      </c>
      <c r="W164" t="s">
        <v>21</v>
      </c>
      <c r="X164" t="s">
        <v>21</v>
      </c>
      <c r="Y164">
        <v>70</v>
      </c>
      <c r="Z164">
        <v>3377</v>
      </c>
    </row>
    <row r="165" spans="1:26" hidden="1" x14ac:dyDescent="0.25">
      <c r="A165">
        <f>COUNTIF($P$2:P165,P165)</f>
        <v>26</v>
      </c>
      <c r="B165">
        <f>COUNTIF($A$2:A165,1)</f>
        <v>12</v>
      </c>
      <c r="C165" t="str">
        <f t="shared" si="10"/>
        <v>CRS</v>
      </c>
      <c r="D165" t="str">
        <f t="shared" si="11"/>
        <v>CRSWeb Service</v>
      </c>
      <c r="E165">
        <f>COUNTIF($R$2:R165,R165)</f>
        <v>5</v>
      </c>
      <c r="F165">
        <f>COUNTIF($E$2:E165,1)</f>
        <v>14</v>
      </c>
      <c r="G165" t="str">
        <f t="shared" si="12"/>
        <v>crs.services.crs</v>
      </c>
      <c r="H165" t="str">
        <f t="shared" si="13"/>
        <v>CRScrs.services.crsWeb Service</v>
      </c>
      <c r="I165" t="str">
        <f t="shared" si="14"/>
        <v>CRScrs.services.crsafa.track.request</v>
      </c>
      <c r="J165">
        <f>IF(I165="",0,COUNTIF($I$2:I165,I165))</f>
        <v>1</v>
      </c>
      <c r="K165">
        <f>COUNTIF($J$2:J165,1)</f>
        <v>25</v>
      </c>
      <c r="N165">
        <v>1</v>
      </c>
      <c r="O165" t="s">
        <v>81</v>
      </c>
      <c r="P165" t="s">
        <v>101</v>
      </c>
      <c r="Q165" t="s">
        <v>102</v>
      </c>
      <c r="R165" t="s">
        <v>113</v>
      </c>
      <c r="S165" t="s">
        <v>102</v>
      </c>
      <c r="T165" t="s">
        <v>102</v>
      </c>
      <c r="U165" t="s">
        <v>20</v>
      </c>
      <c r="V165" t="s">
        <v>109</v>
      </c>
      <c r="W165" t="s">
        <v>21</v>
      </c>
      <c r="X165" t="s">
        <v>21</v>
      </c>
      <c r="Y165" t="b">
        <v>1</v>
      </c>
      <c r="Z165">
        <v>3376</v>
      </c>
    </row>
    <row r="166" spans="1:26" hidden="1" x14ac:dyDescent="0.25">
      <c r="A166">
        <f>COUNTIF($P$2:P166,P166)</f>
        <v>27</v>
      </c>
      <c r="B166">
        <f>COUNTIF($A$2:A166,1)</f>
        <v>12</v>
      </c>
      <c r="C166" t="str">
        <f t="shared" si="10"/>
        <v>CRS</v>
      </c>
      <c r="D166" t="str">
        <f t="shared" si="11"/>
        <v>CRSIntegrator</v>
      </c>
      <c r="E166">
        <f>COUNTIF($R$2:R166,R166)</f>
        <v>6</v>
      </c>
      <c r="F166">
        <f>COUNTIF($E$2:E166,1)</f>
        <v>14</v>
      </c>
      <c r="G166" t="str">
        <f t="shared" si="12"/>
        <v>crs.services.crs</v>
      </c>
      <c r="H166" t="str">
        <f t="shared" si="13"/>
        <v>CRScrs.services.crsIntegrator</v>
      </c>
      <c r="I166" t="str">
        <f t="shared" si="14"/>
        <v>CRScrs.services.crsafa.track.request</v>
      </c>
      <c r="J166">
        <f>IF(I166="",0,COUNTIF($I$2:I166,I166))</f>
        <v>2</v>
      </c>
      <c r="K166">
        <f>COUNTIF($J$2:J166,1)</f>
        <v>25</v>
      </c>
      <c r="N166">
        <v>1</v>
      </c>
      <c r="O166" t="s">
        <v>23</v>
      </c>
      <c r="P166" t="s">
        <v>101</v>
      </c>
      <c r="Q166" t="s">
        <v>102</v>
      </c>
      <c r="R166" t="s">
        <v>113</v>
      </c>
      <c r="S166" t="s">
        <v>102</v>
      </c>
      <c r="T166" t="s">
        <v>102</v>
      </c>
      <c r="U166" t="s">
        <v>20</v>
      </c>
      <c r="V166" t="s">
        <v>109</v>
      </c>
      <c r="W166" t="s">
        <v>21</v>
      </c>
      <c r="X166" t="s">
        <v>21</v>
      </c>
      <c r="Y166" t="b">
        <v>1</v>
      </c>
      <c r="Z166">
        <v>3376</v>
      </c>
    </row>
    <row r="167" spans="1:26" hidden="1" x14ac:dyDescent="0.25">
      <c r="A167">
        <f>COUNTIF($P$2:P167,P167)</f>
        <v>28</v>
      </c>
      <c r="B167">
        <f>COUNTIF($A$2:A167,1)</f>
        <v>12</v>
      </c>
      <c r="C167" t="str">
        <f t="shared" si="10"/>
        <v>CRS</v>
      </c>
      <c r="D167" t="str">
        <f t="shared" si="11"/>
        <v>CRSParent</v>
      </c>
      <c r="E167">
        <f>COUNTIF($R$2:R167,R167)</f>
        <v>7</v>
      </c>
      <c r="F167">
        <f>COUNTIF($E$2:E167,1)</f>
        <v>14</v>
      </c>
      <c r="G167" t="str">
        <f t="shared" si="12"/>
        <v>crs.services.crs</v>
      </c>
      <c r="H167" t="str">
        <f t="shared" si="13"/>
        <v>CRScrs.services.crsParent</v>
      </c>
      <c r="I167" t="str">
        <f t="shared" si="14"/>
        <v>CRScrs.services.crscrs.cpb.enquiry.done.by</v>
      </c>
      <c r="J167">
        <f>IF(I167="",0,COUNTIF($I$2:I167,I167))</f>
        <v>1</v>
      </c>
      <c r="K167">
        <f>COUNTIF($J$2:J167,1)</f>
        <v>26</v>
      </c>
      <c r="N167">
        <v>26</v>
      </c>
      <c r="O167" t="s">
        <v>15</v>
      </c>
      <c r="P167" t="s">
        <v>101</v>
      </c>
      <c r="Q167" t="s">
        <v>102</v>
      </c>
      <c r="R167" t="s">
        <v>113</v>
      </c>
      <c r="S167" t="s">
        <v>102</v>
      </c>
      <c r="T167" t="s">
        <v>102</v>
      </c>
      <c r="U167" t="s">
        <v>20</v>
      </c>
      <c r="V167" t="s">
        <v>110</v>
      </c>
      <c r="W167" t="s">
        <v>21</v>
      </c>
      <c r="X167" t="s">
        <v>21</v>
      </c>
      <c r="Y167" t="s">
        <v>111</v>
      </c>
      <c r="Z167">
        <v>5018</v>
      </c>
    </row>
    <row r="168" spans="1:26" hidden="1" x14ac:dyDescent="0.25">
      <c r="A168">
        <f>COUNTIF($P$2:P168,P168)</f>
        <v>29</v>
      </c>
      <c r="B168">
        <f>COUNTIF($A$2:A168,1)</f>
        <v>12</v>
      </c>
      <c r="C168" t="str">
        <f t="shared" si="10"/>
        <v>CRS</v>
      </c>
      <c r="D168" t="str">
        <f t="shared" si="11"/>
        <v>CRSWeb Service</v>
      </c>
      <c r="E168">
        <f>COUNTIF($R$2:R168,R168)</f>
        <v>8</v>
      </c>
      <c r="F168">
        <f>COUNTIF($E$2:E168,1)</f>
        <v>14</v>
      </c>
      <c r="G168" t="str">
        <f t="shared" si="12"/>
        <v>crs.services.crs</v>
      </c>
      <c r="H168" t="str">
        <f t="shared" si="13"/>
        <v>CRScrs.services.crsWeb Service</v>
      </c>
      <c r="I168" t="str">
        <f t="shared" si="14"/>
        <v>CRScrs.services.crscrs.cpb.enquiry.done.by</v>
      </c>
      <c r="J168">
        <f>IF(I168="",0,COUNTIF($I$2:I168,I168))</f>
        <v>2</v>
      </c>
      <c r="K168">
        <f>COUNTIF($J$2:J168,1)</f>
        <v>26</v>
      </c>
      <c r="N168">
        <v>1</v>
      </c>
      <c r="O168" t="s">
        <v>81</v>
      </c>
      <c r="P168" t="s">
        <v>101</v>
      </c>
      <c r="Q168" t="s">
        <v>102</v>
      </c>
      <c r="R168" t="s">
        <v>113</v>
      </c>
      <c r="S168" t="s">
        <v>102</v>
      </c>
      <c r="T168" t="s">
        <v>102</v>
      </c>
      <c r="U168" t="s">
        <v>20</v>
      </c>
      <c r="V168" t="s">
        <v>110</v>
      </c>
      <c r="W168" t="s">
        <v>21</v>
      </c>
      <c r="X168" t="s">
        <v>21</v>
      </c>
      <c r="Y168" t="s">
        <v>111</v>
      </c>
      <c r="Z168">
        <v>5018</v>
      </c>
    </row>
    <row r="169" spans="1:26" hidden="1" x14ac:dyDescent="0.25">
      <c r="A169">
        <f>COUNTIF($P$2:P169,P169)</f>
        <v>30</v>
      </c>
      <c r="B169">
        <f>COUNTIF($A$2:A169,1)</f>
        <v>12</v>
      </c>
      <c r="C169" t="str">
        <f t="shared" si="10"/>
        <v>CRS</v>
      </c>
      <c r="D169" t="str">
        <f t="shared" si="11"/>
        <v>CRSIntegrator</v>
      </c>
      <c r="E169">
        <f>COUNTIF($R$2:R169,R169)</f>
        <v>9</v>
      </c>
      <c r="F169">
        <f>COUNTIF($E$2:E169,1)</f>
        <v>14</v>
      </c>
      <c r="G169" t="str">
        <f t="shared" si="12"/>
        <v>crs.services.crs</v>
      </c>
      <c r="H169" t="str">
        <f t="shared" si="13"/>
        <v>CRScrs.services.crsIntegrator</v>
      </c>
      <c r="I169" t="str">
        <f t="shared" si="14"/>
        <v>CRScrs.services.crscrs.cpb.enquiry.done.by</v>
      </c>
      <c r="J169">
        <f>IF(I169="",0,COUNTIF($I$2:I169,I169))</f>
        <v>3</v>
      </c>
      <c r="K169">
        <f>COUNTIF($J$2:J169,1)</f>
        <v>26</v>
      </c>
      <c r="N169">
        <v>2</v>
      </c>
      <c r="O169" t="s">
        <v>23</v>
      </c>
      <c r="P169" t="s">
        <v>101</v>
      </c>
      <c r="Q169" t="s">
        <v>102</v>
      </c>
      <c r="R169" t="s">
        <v>113</v>
      </c>
      <c r="S169" t="s">
        <v>102</v>
      </c>
      <c r="T169" t="s">
        <v>102</v>
      </c>
      <c r="U169" t="s">
        <v>20</v>
      </c>
      <c r="V169" t="s">
        <v>110</v>
      </c>
      <c r="W169" t="s">
        <v>21</v>
      </c>
      <c r="X169" t="s">
        <v>21</v>
      </c>
      <c r="Y169" t="s">
        <v>111</v>
      </c>
      <c r="Z169">
        <v>5018</v>
      </c>
    </row>
    <row r="170" spans="1:26" hidden="1" x14ac:dyDescent="0.25">
      <c r="A170">
        <f>COUNTIF($P$2:P170,P170)</f>
        <v>31</v>
      </c>
      <c r="B170">
        <f>COUNTIF($A$2:A170,1)</f>
        <v>12</v>
      </c>
      <c r="C170" t="str">
        <f t="shared" si="10"/>
        <v>CRS</v>
      </c>
      <c r="D170" t="str">
        <f t="shared" si="11"/>
        <v>CRSIntegrator</v>
      </c>
      <c r="E170">
        <f>COUNTIF($R$2:R170,R170)</f>
        <v>10</v>
      </c>
      <c r="F170">
        <f>COUNTIF($E$2:E170,1)</f>
        <v>14</v>
      </c>
      <c r="G170" t="str">
        <f t="shared" si="12"/>
        <v>crs.services.crs</v>
      </c>
      <c r="H170" t="str">
        <f t="shared" si="13"/>
        <v>CRScrs.services.crsIntegrator</v>
      </c>
      <c r="I170" t="str">
        <f t="shared" si="14"/>
        <v>CRScrs.services.crscrs.track.request</v>
      </c>
      <c r="J170">
        <f>IF(I170="",0,COUNTIF($I$2:I170,I170))</f>
        <v>1</v>
      </c>
      <c r="K170">
        <f>COUNTIF($J$2:J170,1)</f>
        <v>27</v>
      </c>
      <c r="N170">
        <v>1</v>
      </c>
      <c r="O170" t="s">
        <v>23</v>
      </c>
      <c r="P170" t="s">
        <v>101</v>
      </c>
      <c r="Q170" t="s">
        <v>102</v>
      </c>
      <c r="R170" t="s">
        <v>113</v>
      </c>
      <c r="S170" t="s">
        <v>102</v>
      </c>
      <c r="T170" t="s">
        <v>102</v>
      </c>
      <c r="U170" t="s">
        <v>20</v>
      </c>
      <c r="V170" t="s">
        <v>112</v>
      </c>
      <c r="W170" t="s">
        <v>21</v>
      </c>
      <c r="X170" t="s">
        <v>21</v>
      </c>
      <c r="Y170" t="b">
        <v>1</v>
      </c>
      <c r="Z170">
        <v>4830</v>
      </c>
    </row>
    <row r="171" spans="1:26" hidden="1" x14ac:dyDescent="0.25">
      <c r="A171">
        <f>COUNTIF($P$2:P171,P171)</f>
        <v>32</v>
      </c>
      <c r="B171">
        <f>COUNTIF($A$2:A171,1)</f>
        <v>12</v>
      </c>
      <c r="C171" t="str">
        <f t="shared" si="10"/>
        <v>CRS</v>
      </c>
      <c r="D171" t="str">
        <f t="shared" si="11"/>
        <v>CRSDevice</v>
      </c>
      <c r="E171">
        <f>COUNTIF($R$2:R171,R171)</f>
        <v>11</v>
      </c>
      <c r="F171">
        <f>COUNTIF($E$2:E171,1)</f>
        <v>14</v>
      </c>
      <c r="G171" t="str">
        <f t="shared" si="12"/>
        <v>crs.services.crs</v>
      </c>
      <c r="H171" t="str">
        <f t="shared" si="13"/>
        <v>CRScrs.services.crsDevice</v>
      </c>
      <c r="I171" t="str">
        <f t="shared" si="14"/>
        <v>CRScrs.services.crscrs.track.request</v>
      </c>
      <c r="J171">
        <f>IF(I171="",0,COUNTIF($I$2:I171,I171))</f>
        <v>2</v>
      </c>
      <c r="K171">
        <f>COUNTIF($J$2:J171,1)</f>
        <v>27</v>
      </c>
      <c r="N171">
        <v>46</v>
      </c>
      <c r="O171" t="s">
        <v>31</v>
      </c>
      <c r="P171" t="s">
        <v>101</v>
      </c>
      <c r="Q171" t="s">
        <v>102</v>
      </c>
      <c r="R171" t="s">
        <v>113</v>
      </c>
      <c r="S171" t="s">
        <v>102</v>
      </c>
      <c r="T171" t="s">
        <v>102</v>
      </c>
      <c r="U171" t="s">
        <v>20</v>
      </c>
      <c r="V171" t="s">
        <v>112</v>
      </c>
      <c r="W171" t="s">
        <v>21</v>
      </c>
      <c r="X171" t="s">
        <v>21</v>
      </c>
      <c r="Y171" t="b">
        <v>1</v>
      </c>
      <c r="Z171">
        <v>4830</v>
      </c>
    </row>
    <row r="172" spans="1:26" hidden="1" x14ac:dyDescent="0.25">
      <c r="A172">
        <f>COUNTIF($P$2:P172,P172)</f>
        <v>33</v>
      </c>
      <c r="B172">
        <f>COUNTIF($A$2:A172,1)</f>
        <v>12</v>
      </c>
      <c r="C172" t="str">
        <f t="shared" si="10"/>
        <v>CRS</v>
      </c>
      <c r="D172" t="str">
        <f t="shared" si="11"/>
        <v>CRSWeb Service</v>
      </c>
      <c r="E172">
        <f>COUNTIF($R$2:R172,R172)</f>
        <v>12</v>
      </c>
      <c r="F172">
        <f>COUNTIF($E$2:E172,1)</f>
        <v>14</v>
      </c>
      <c r="G172" t="str">
        <f t="shared" si="12"/>
        <v>crs.services.crs</v>
      </c>
      <c r="H172" t="str">
        <f t="shared" si="13"/>
        <v>CRScrs.services.crsWeb Service</v>
      </c>
      <c r="I172" t="str">
        <f t="shared" si="14"/>
        <v>CRScrs.services.crscrs.track.request</v>
      </c>
      <c r="J172">
        <f>IF(I172="",0,COUNTIF($I$2:I172,I172))</f>
        <v>3</v>
      </c>
      <c r="K172">
        <f>COUNTIF($J$2:J172,1)</f>
        <v>27</v>
      </c>
      <c r="N172">
        <v>1</v>
      </c>
      <c r="O172" t="s">
        <v>81</v>
      </c>
      <c r="P172" t="s">
        <v>101</v>
      </c>
      <c r="Q172" t="s">
        <v>102</v>
      </c>
      <c r="R172" t="s">
        <v>113</v>
      </c>
      <c r="S172" t="s">
        <v>102</v>
      </c>
      <c r="T172" t="s">
        <v>102</v>
      </c>
      <c r="U172" t="s">
        <v>20</v>
      </c>
      <c r="V172" t="s">
        <v>112</v>
      </c>
      <c r="W172" t="s">
        <v>21</v>
      </c>
      <c r="X172" t="s">
        <v>21</v>
      </c>
      <c r="Y172" t="b">
        <v>1</v>
      </c>
      <c r="Z172">
        <v>4830</v>
      </c>
    </row>
    <row r="173" spans="1:26" hidden="1" x14ac:dyDescent="0.25">
      <c r="A173">
        <f>COUNTIF($P$2:P173,P173)</f>
        <v>34</v>
      </c>
      <c r="B173">
        <f>COUNTIF($A$2:A173,1)</f>
        <v>12</v>
      </c>
      <c r="C173" t="str">
        <f t="shared" si="10"/>
        <v>CRS</v>
      </c>
      <c r="D173" t="str">
        <f t="shared" si="11"/>
        <v>CRSIntegrator</v>
      </c>
      <c r="E173">
        <f>COUNTIF($R$2:R173,R173)</f>
        <v>13</v>
      </c>
      <c r="F173">
        <f>COUNTIF($E$2:E173,1)</f>
        <v>14</v>
      </c>
      <c r="G173" t="str">
        <f t="shared" si="12"/>
        <v>crs.services.crs</v>
      </c>
      <c r="H173" t="str">
        <f t="shared" si="13"/>
        <v>CRScrs.services.crsIntegrator</v>
      </c>
      <c r="I173" t="str">
        <f t="shared" si="14"/>
        <v/>
      </c>
      <c r="J173">
        <f>IF(I173="",0,COUNTIF($I$2:I173,I173))</f>
        <v>0</v>
      </c>
      <c r="K173">
        <f>COUNTIF($J$2:J173,1)</f>
        <v>27</v>
      </c>
      <c r="N173">
        <v>129</v>
      </c>
      <c r="O173" t="s">
        <v>23</v>
      </c>
      <c r="P173" t="s">
        <v>101</v>
      </c>
      <c r="Q173" t="s">
        <v>102</v>
      </c>
      <c r="R173" t="s">
        <v>113</v>
      </c>
      <c r="S173" t="s">
        <v>102</v>
      </c>
      <c r="T173" t="s">
        <v>102</v>
      </c>
      <c r="U173" t="s">
        <v>20</v>
      </c>
      <c r="W173" t="s">
        <v>22</v>
      </c>
    </row>
    <row r="174" spans="1:26" hidden="1" x14ac:dyDescent="0.25">
      <c r="A174">
        <f>COUNTIF($P$2:P174,P174)</f>
        <v>35</v>
      </c>
      <c r="B174">
        <f>COUNTIF($A$2:A174,1)</f>
        <v>12</v>
      </c>
      <c r="C174" t="str">
        <f t="shared" si="10"/>
        <v>CRS</v>
      </c>
      <c r="D174" t="str">
        <f t="shared" si="11"/>
        <v>CRSParent</v>
      </c>
      <c r="E174">
        <f>COUNTIF($R$2:R174,R174)</f>
        <v>14</v>
      </c>
      <c r="F174">
        <f>COUNTIF($E$2:E174,1)</f>
        <v>14</v>
      </c>
      <c r="G174" t="str">
        <f t="shared" si="12"/>
        <v>crs.services.crs</v>
      </c>
      <c r="H174" t="str">
        <f t="shared" si="13"/>
        <v>CRScrs.services.crsParent</v>
      </c>
      <c r="I174" t="str">
        <f t="shared" si="14"/>
        <v/>
      </c>
      <c r="J174">
        <f>IF(I174="",0,COUNTIF($I$2:I174,I174))</f>
        <v>0</v>
      </c>
      <c r="K174">
        <f>COUNTIF($J$2:J174,1)</f>
        <v>27</v>
      </c>
      <c r="N174">
        <v>1</v>
      </c>
      <c r="O174" t="s">
        <v>15</v>
      </c>
      <c r="P174" t="s">
        <v>101</v>
      </c>
      <c r="Q174" t="s">
        <v>102</v>
      </c>
      <c r="R174" t="s">
        <v>113</v>
      </c>
      <c r="S174" t="s">
        <v>102</v>
      </c>
      <c r="T174" t="s">
        <v>102</v>
      </c>
      <c r="U174" t="s">
        <v>20</v>
      </c>
      <c r="W174" t="s">
        <v>21</v>
      </c>
    </row>
    <row r="175" spans="1:26" hidden="1" x14ac:dyDescent="0.25">
      <c r="A175">
        <f>COUNTIF($P$2:P175,P175)</f>
        <v>36</v>
      </c>
      <c r="B175">
        <f>COUNTIF($A$2:A175,1)</f>
        <v>12</v>
      </c>
      <c r="C175" t="str">
        <f t="shared" si="10"/>
        <v>CRS</v>
      </c>
      <c r="D175" t="str">
        <f t="shared" si="11"/>
        <v>CRSDevice</v>
      </c>
      <c r="E175">
        <f>COUNTIF($R$2:R175,R175)</f>
        <v>15</v>
      </c>
      <c r="F175">
        <f>COUNTIF($E$2:E175,1)</f>
        <v>14</v>
      </c>
      <c r="G175" t="str">
        <f t="shared" si="12"/>
        <v>crs.services.crs</v>
      </c>
      <c r="H175" t="str">
        <f t="shared" si="13"/>
        <v>CRScrs.services.crsDevice</v>
      </c>
      <c r="I175" t="str">
        <f t="shared" si="14"/>
        <v/>
      </c>
      <c r="J175">
        <f>IF(I175="",0,COUNTIF($I$2:I175,I175))</f>
        <v>0</v>
      </c>
      <c r="K175">
        <f>COUNTIF($J$2:J175,1)</f>
        <v>27</v>
      </c>
      <c r="N175">
        <v>17</v>
      </c>
      <c r="O175" t="s">
        <v>31</v>
      </c>
      <c r="P175" t="s">
        <v>101</v>
      </c>
      <c r="Q175" t="s">
        <v>102</v>
      </c>
      <c r="R175" t="s">
        <v>113</v>
      </c>
      <c r="S175" t="s">
        <v>102</v>
      </c>
      <c r="T175" t="s">
        <v>102</v>
      </c>
      <c r="U175" t="s">
        <v>20</v>
      </c>
      <c r="W175" t="s">
        <v>21</v>
      </c>
    </row>
    <row r="176" spans="1:26" hidden="1" x14ac:dyDescent="0.25">
      <c r="A176">
        <f>COUNTIF($P$2:P176,P176)</f>
        <v>37</v>
      </c>
      <c r="B176">
        <f>COUNTIF($A$2:A176,1)</f>
        <v>12</v>
      </c>
      <c r="C176" t="str">
        <f t="shared" si="10"/>
        <v>CRS</v>
      </c>
      <c r="D176" t="str">
        <f t="shared" si="11"/>
        <v>CRSIntegrator</v>
      </c>
      <c r="E176">
        <f>COUNTIF($R$2:R176,R176)</f>
        <v>16</v>
      </c>
      <c r="F176">
        <f>COUNTIF($E$2:E176,1)</f>
        <v>14</v>
      </c>
      <c r="G176" t="str">
        <f t="shared" si="12"/>
        <v>crs.services.crs</v>
      </c>
      <c r="H176" t="str">
        <f t="shared" si="13"/>
        <v>CRScrs.services.crsIntegrator</v>
      </c>
      <c r="I176" t="str">
        <f t="shared" si="14"/>
        <v/>
      </c>
      <c r="J176">
        <f>IF(I176="",0,COUNTIF($I$2:I176,I176))</f>
        <v>0</v>
      </c>
      <c r="K176">
        <f>COUNTIF($J$2:J176,1)</f>
        <v>27</v>
      </c>
      <c r="N176">
        <v>131</v>
      </c>
      <c r="O176" t="s">
        <v>23</v>
      </c>
      <c r="P176" t="s">
        <v>101</v>
      </c>
      <c r="Q176" t="s">
        <v>102</v>
      </c>
      <c r="R176" t="s">
        <v>113</v>
      </c>
      <c r="S176" t="s">
        <v>102</v>
      </c>
      <c r="T176" t="s">
        <v>102</v>
      </c>
      <c r="U176" t="s">
        <v>20</v>
      </c>
      <c r="W176" t="s">
        <v>21</v>
      </c>
    </row>
    <row r="177" spans="1:26" hidden="1" x14ac:dyDescent="0.25">
      <c r="A177">
        <f>COUNTIF($P$2:P177,P177)</f>
        <v>38</v>
      </c>
      <c r="B177">
        <f>COUNTIF($A$2:A177,1)</f>
        <v>12</v>
      </c>
      <c r="C177" t="str">
        <f t="shared" si="10"/>
        <v>CRS</v>
      </c>
      <c r="D177" t="str">
        <f t="shared" si="11"/>
        <v>CRSDevice</v>
      </c>
      <c r="E177">
        <f>COUNTIF($R$2:R177,R177)</f>
        <v>17</v>
      </c>
      <c r="F177">
        <f>COUNTIF($E$2:E177,1)</f>
        <v>14</v>
      </c>
      <c r="G177" t="str">
        <f t="shared" si="12"/>
        <v>crs.services.crs</v>
      </c>
      <c r="H177" t="str">
        <f t="shared" si="13"/>
        <v>CRScrs.services.crsDevice</v>
      </c>
      <c r="I177" t="str">
        <f t="shared" si="14"/>
        <v/>
      </c>
      <c r="J177">
        <f>IF(I177="",0,COUNTIF($I$2:I177,I177))</f>
        <v>0</v>
      </c>
      <c r="K177">
        <f>COUNTIF($J$2:J177,1)</f>
        <v>27</v>
      </c>
      <c r="N177">
        <v>8</v>
      </c>
      <c r="O177" t="s">
        <v>31</v>
      </c>
      <c r="P177" t="s">
        <v>101</v>
      </c>
      <c r="Q177" t="s">
        <v>102</v>
      </c>
      <c r="R177" t="s">
        <v>113</v>
      </c>
      <c r="S177" t="s">
        <v>102</v>
      </c>
      <c r="T177" t="s">
        <v>102</v>
      </c>
      <c r="U177" t="s">
        <v>20</v>
      </c>
      <c r="W177" t="s">
        <v>21</v>
      </c>
    </row>
    <row r="178" spans="1:26" hidden="1" x14ac:dyDescent="0.25">
      <c r="A178">
        <f>COUNTIF($P$2:P178,P178)</f>
        <v>39</v>
      </c>
      <c r="B178">
        <f>COUNTIF($A$2:A178,1)</f>
        <v>12</v>
      </c>
      <c r="C178" t="str">
        <f t="shared" si="10"/>
        <v>CRS</v>
      </c>
      <c r="D178" t="str">
        <f t="shared" si="11"/>
        <v>CRSParent</v>
      </c>
      <c r="E178">
        <f>COUNTIF($R$2:R178,R178)</f>
        <v>18</v>
      </c>
      <c r="F178">
        <f>COUNTIF($E$2:E178,1)</f>
        <v>14</v>
      </c>
      <c r="G178" t="str">
        <f t="shared" si="12"/>
        <v>crs.services.crs</v>
      </c>
      <c r="H178" t="str">
        <f t="shared" si="13"/>
        <v>CRScrs.services.crsParent</v>
      </c>
      <c r="I178" t="str">
        <f t="shared" si="14"/>
        <v/>
      </c>
      <c r="J178">
        <f>IF(I178="",0,COUNTIF($I$2:I178,I178))</f>
        <v>0</v>
      </c>
      <c r="K178">
        <f>COUNTIF($J$2:J178,1)</f>
        <v>27</v>
      </c>
      <c r="N178">
        <v>107</v>
      </c>
      <c r="O178" t="s">
        <v>15</v>
      </c>
      <c r="P178" t="s">
        <v>101</v>
      </c>
      <c r="Q178" t="s">
        <v>102</v>
      </c>
      <c r="R178" t="s">
        <v>113</v>
      </c>
      <c r="S178" t="s">
        <v>102</v>
      </c>
      <c r="T178" t="s">
        <v>102</v>
      </c>
      <c r="U178" t="s">
        <v>20</v>
      </c>
      <c r="W178" t="s">
        <v>21</v>
      </c>
    </row>
    <row r="179" spans="1:26" hidden="1" x14ac:dyDescent="0.25">
      <c r="A179">
        <f>COUNTIF($P$2:P179,P179)</f>
        <v>40</v>
      </c>
      <c r="B179">
        <f>COUNTIF($A$2:A179,1)</f>
        <v>12</v>
      </c>
      <c r="C179" t="str">
        <f t="shared" si="10"/>
        <v>CRS</v>
      </c>
      <c r="D179" t="str">
        <f t="shared" si="11"/>
        <v>CRSWeb Service</v>
      </c>
      <c r="E179">
        <f>COUNTIF($R$2:R179,R179)</f>
        <v>19</v>
      </c>
      <c r="F179">
        <f>COUNTIF($E$2:E179,1)</f>
        <v>14</v>
      </c>
      <c r="G179" t="str">
        <f t="shared" si="12"/>
        <v>crs.services.crs</v>
      </c>
      <c r="H179" t="str">
        <f t="shared" si="13"/>
        <v>CRScrs.services.crsWeb Service</v>
      </c>
      <c r="I179" t="str">
        <f t="shared" si="14"/>
        <v/>
      </c>
      <c r="J179">
        <f>IF(I179="",0,COUNTIF($I$2:I179,I179))</f>
        <v>0</v>
      </c>
      <c r="K179">
        <f>COUNTIF($J$2:J179,1)</f>
        <v>27</v>
      </c>
      <c r="N179">
        <v>1</v>
      </c>
      <c r="O179" t="s">
        <v>81</v>
      </c>
      <c r="P179" t="s">
        <v>101</v>
      </c>
      <c r="Q179" t="s">
        <v>102</v>
      </c>
      <c r="R179" t="s">
        <v>113</v>
      </c>
      <c r="S179" t="s">
        <v>102</v>
      </c>
      <c r="T179" t="s">
        <v>102</v>
      </c>
      <c r="U179" t="s">
        <v>20</v>
      </c>
      <c r="W179" t="s">
        <v>22</v>
      </c>
    </row>
    <row r="180" spans="1:26" hidden="1" x14ac:dyDescent="0.25">
      <c r="A180">
        <f>COUNTIF($P$2:P180,P180)</f>
        <v>41</v>
      </c>
      <c r="B180">
        <f>COUNTIF($A$2:A180,1)</f>
        <v>12</v>
      </c>
      <c r="C180" t="str">
        <f t="shared" si="10"/>
        <v>CRS</v>
      </c>
      <c r="D180" t="str">
        <f t="shared" si="11"/>
        <v>CRSParent</v>
      </c>
      <c r="E180">
        <f>COUNTIF($R$2:R180,R180)</f>
        <v>20</v>
      </c>
      <c r="F180">
        <f>COUNTIF($E$2:E180,1)</f>
        <v>14</v>
      </c>
      <c r="G180" t="str">
        <f t="shared" si="12"/>
        <v>crs.services.crs</v>
      </c>
      <c r="H180" t="str">
        <f t="shared" si="13"/>
        <v>CRScrs.services.crsParent</v>
      </c>
      <c r="I180" t="str">
        <f t="shared" si="14"/>
        <v/>
      </c>
      <c r="J180">
        <f>IF(I180="",0,COUNTIF($I$2:I180,I180))</f>
        <v>0</v>
      </c>
      <c r="K180">
        <f>COUNTIF($J$2:J180,1)</f>
        <v>27</v>
      </c>
      <c r="N180">
        <v>2</v>
      </c>
      <c r="O180" t="s">
        <v>15</v>
      </c>
      <c r="P180" t="s">
        <v>101</v>
      </c>
      <c r="Q180" t="s">
        <v>102</v>
      </c>
      <c r="R180" t="s">
        <v>113</v>
      </c>
      <c r="S180" t="s">
        <v>102</v>
      </c>
      <c r="T180" t="s">
        <v>102</v>
      </c>
      <c r="U180" t="s">
        <v>20</v>
      </c>
      <c r="W180" t="s">
        <v>22</v>
      </c>
    </row>
    <row r="181" spans="1:26" hidden="1" x14ac:dyDescent="0.25">
      <c r="A181">
        <f>COUNTIF($P$2:P181,P181)</f>
        <v>42</v>
      </c>
      <c r="B181">
        <f>COUNTIF($A$2:A181,1)</f>
        <v>12</v>
      </c>
      <c r="C181" t="str">
        <f t="shared" si="10"/>
        <v>CRS</v>
      </c>
      <c r="D181" t="str">
        <f t="shared" si="11"/>
        <v>CRSDevice</v>
      </c>
      <c r="E181">
        <f>COUNTIF($R$2:R181,R181)</f>
        <v>21</v>
      </c>
      <c r="F181">
        <f>COUNTIF($E$2:E181,1)</f>
        <v>14</v>
      </c>
      <c r="G181" t="str">
        <f t="shared" si="12"/>
        <v>crs.services.crs</v>
      </c>
      <c r="H181" t="str">
        <f t="shared" si="13"/>
        <v>CRScrs.services.crsDevice</v>
      </c>
      <c r="I181" t="str">
        <f t="shared" si="14"/>
        <v/>
      </c>
      <c r="J181">
        <f>IF(I181="",0,COUNTIF($I$2:I181,I181))</f>
        <v>0</v>
      </c>
      <c r="K181">
        <f>COUNTIF($J$2:J181,1)</f>
        <v>27</v>
      </c>
      <c r="N181">
        <v>36</v>
      </c>
      <c r="O181" t="s">
        <v>31</v>
      </c>
      <c r="P181" t="s">
        <v>101</v>
      </c>
      <c r="Q181" t="s">
        <v>102</v>
      </c>
      <c r="R181" t="s">
        <v>113</v>
      </c>
      <c r="S181" t="s">
        <v>102</v>
      </c>
      <c r="T181" t="s">
        <v>102</v>
      </c>
      <c r="U181" t="s">
        <v>20</v>
      </c>
      <c r="W181" t="s">
        <v>22</v>
      </c>
    </row>
    <row r="182" spans="1:26" hidden="1" x14ac:dyDescent="0.25">
      <c r="A182">
        <f>COUNTIF($P$2:P182,P182)</f>
        <v>43</v>
      </c>
      <c r="B182">
        <f>COUNTIF($A$2:A182,1)</f>
        <v>12</v>
      </c>
      <c r="C182" t="str">
        <f t="shared" si="10"/>
        <v>CRS</v>
      </c>
      <c r="D182" t="str">
        <f t="shared" si="11"/>
        <v>CRSDevice</v>
      </c>
      <c r="E182">
        <f>COUNTIF($R$2:R182,R182)</f>
        <v>22</v>
      </c>
      <c r="F182">
        <f>COUNTIF($E$2:E182,1)</f>
        <v>14</v>
      </c>
      <c r="G182" t="str">
        <f t="shared" si="12"/>
        <v>crs.services.crs</v>
      </c>
      <c r="H182" t="str">
        <f t="shared" si="13"/>
        <v>CRScrs.services.crsDevice</v>
      </c>
      <c r="I182" t="str">
        <f t="shared" si="14"/>
        <v/>
      </c>
      <c r="J182">
        <f>IF(I182="",0,COUNTIF($I$2:I182,I182))</f>
        <v>0</v>
      </c>
      <c r="K182">
        <f>COUNTIF($J$2:J182,1)</f>
        <v>27</v>
      </c>
      <c r="N182">
        <v>8</v>
      </c>
      <c r="O182" t="s">
        <v>31</v>
      </c>
      <c r="P182" t="s">
        <v>101</v>
      </c>
      <c r="Q182" t="s">
        <v>102</v>
      </c>
      <c r="R182" t="s">
        <v>113</v>
      </c>
      <c r="S182" t="s">
        <v>102</v>
      </c>
      <c r="T182" t="s">
        <v>102</v>
      </c>
      <c r="U182" t="s">
        <v>20</v>
      </c>
      <c r="W182" t="s">
        <v>22</v>
      </c>
    </row>
    <row r="183" spans="1:26" hidden="1" x14ac:dyDescent="0.25">
      <c r="A183">
        <f>COUNTIF($P$2:P183,P183)</f>
        <v>44</v>
      </c>
      <c r="B183">
        <f>COUNTIF($A$2:A183,1)</f>
        <v>12</v>
      </c>
      <c r="C183" t="str">
        <f t="shared" si="10"/>
        <v>CRS</v>
      </c>
      <c r="D183" t="str">
        <f t="shared" si="11"/>
        <v>CRSParent</v>
      </c>
      <c r="E183">
        <f>COUNTIF($R$2:R183,R183)</f>
        <v>23</v>
      </c>
      <c r="F183">
        <f>COUNTIF($E$2:E183,1)</f>
        <v>14</v>
      </c>
      <c r="G183" t="str">
        <f t="shared" si="12"/>
        <v>crs.services.crs</v>
      </c>
      <c r="H183" t="str">
        <f t="shared" si="13"/>
        <v>CRScrs.services.crsParent</v>
      </c>
      <c r="I183" t="str">
        <f t="shared" si="14"/>
        <v/>
      </c>
      <c r="J183">
        <f>IF(I183="",0,COUNTIF($I$2:I183,I183))</f>
        <v>0</v>
      </c>
      <c r="K183">
        <f>COUNTIF($J$2:J183,1)</f>
        <v>27</v>
      </c>
      <c r="N183">
        <v>128</v>
      </c>
      <c r="O183" t="s">
        <v>15</v>
      </c>
      <c r="P183" t="s">
        <v>101</v>
      </c>
      <c r="Q183" t="s">
        <v>102</v>
      </c>
      <c r="R183" t="s">
        <v>113</v>
      </c>
      <c r="S183" t="s">
        <v>102</v>
      </c>
      <c r="T183" t="s">
        <v>102</v>
      </c>
      <c r="U183" t="s">
        <v>20</v>
      </c>
      <c r="W183" t="s">
        <v>22</v>
      </c>
    </row>
    <row r="184" spans="1:26" hidden="1" x14ac:dyDescent="0.25">
      <c r="A184">
        <f>COUNTIF($P$2:P184,P184)</f>
        <v>45</v>
      </c>
      <c r="B184">
        <f>COUNTIF($A$2:A184,1)</f>
        <v>12</v>
      </c>
      <c r="C184" t="str">
        <f t="shared" si="10"/>
        <v>CRS</v>
      </c>
      <c r="D184" t="str">
        <f t="shared" si="11"/>
        <v>CRSWeb Service</v>
      </c>
      <c r="E184">
        <f>COUNTIF($R$2:R184,R184)</f>
        <v>1</v>
      </c>
      <c r="F184">
        <f>COUNTIF($E$2:E184,1)</f>
        <v>15</v>
      </c>
      <c r="G184" t="str">
        <f t="shared" si="12"/>
        <v>crs.services.report</v>
      </c>
      <c r="H184" t="str">
        <f t="shared" si="13"/>
        <v>CRScrs.services.reportWeb Service</v>
      </c>
      <c r="I184" t="str">
        <f t="shared" si="14"/>
        <v>CRScrs.services.reportafa.disposable.income.threshold.percentage</v>
      </c>
      <c r="J184">
        <f>IF(I184="",0,COUNTIF($I$2:I184,I184))</f>
        <v>1</v>
      </c>
      <c r="K184">
        <f>COUNTIF($J$2:J184,1)</f>
        <v>28</v>
      </c>
      <c r="N184">
        <v>1</v>
      </c>
      <c r="O184" t="s">
        <v>81</v>
      </c>
      <c r="P184" t="s">
        <v>101</v>
      </c>
      <c r="Q184" t="s">
        <v>102</v>
      </c>
      <c r="R184" t="s">
        <v>114</v>
      </c>
      <c r="S184" t="s">
        <v>115</v>
      </c>
      <c r="T184" t="s">
        <v>116</v>
      </c>
      <c r="U184" t="s">
        <v>117</v>
      </c>
      <c r="V184" t="s">
        <v>107</v>
      </c>
      <c r="W184" t="s">
        <v>21</v>
      </c>
      <c r="X184" t="s">
        <v>21</v>
      </c>
      <c r="Y184">
        <v>50</v>
      </c>
      <c r="Z184">
        <v>3378</v>
      </c>
    </row>
    <row r="185" spans="1:26" hidden="1" x14ac:dyDescent="0.25">
      <c r="A185">
        <f>COUNTIF($P$2:P185,P185)</f>
        <v>46</v>
      </c>
      <c r="B185">
        <f>COUNTIF($A$2:A185,1)</f>
        <v>12</v>
      </c>
      <c r="C185" t="str">
        <f t="shared" si="10"/>
        <v>CRS</v>
      </c>
      <c r="D185" t="str">
        <f t="shared" si="11"/>
        <v>CRSIntegrator</v>
      </c>
      <c r="E185">
        <f>COUNTIF($R$2:R185,R185)</f>
        <v>2</v>
      </c>
      <c r="F185">
        <f>COUNTIF($E$2:E185,1)</f>
        <v>15</v>
      </c>
      <c r="G185" t="str">
        <f t="shared" si="12"/>
        <v>crs.services.report</v>
      </c>
      <c r="H185" t="str">
        <f t="shared" si="13"/>
        <v>CRScrs.services.reportIntegrator</v>
      </c>
      <c r="I185" t="str">
        <f t="shared" si="14"/>
        <v>CRScrs.services.reportafa.disposable.income.threshold.percentage</v>
      </c>
      <c r="J185">
        <f>IF(I185="",0,COUNTIF($I$2:I185,I185))</f>
        <v>2</v>
      </c>
      <c r="K185">
        <f>COUNTIF($J$2:J185,1)</f>
        <v>28</v>
      </c>
      <c r="N185">
        <v>1</v>
      </c>
      <c r="O185" t="s">
        <v>23</v>
      </c>
      <c r="P185" t="s">
        <v>101</v>
      </c>
      <c r="Q185" t="s">
        <v>102</v>
      </c>
      <c r="R185" t="s">
        <v>114</v>
      </c>
      <c r="S185" t="s">
        <v>115</v>
      </c>
      <c r="T185" t="s">
        <v>116</v>
      </c>
      <c r="U185" t="s">
        <v>117</v>
      </c>
      <c r="V185" t="s">
        <v>107</v>
      </c>
      <c r="W185" t="s">
        <v>21</v>
      </c>
      <c r="X185" t="s">
        <v>21</v>
      </c>
      <c r="Y185">
        <v>50</v>
      </c>
      <c r="Z185">
        <v>3378</v>
      </c>
    </row>
    <row r="186" spans="1:26" hidden="1" x14ac:dyDescent="0.25">
      <c r="A186">
        <f>COUNTIF($P$2:P186,P186)</f>
        <v>47</v>
      </c>
      <c r="B186">
        <f>COUNTIF($A$2:A186,1)</f>
        <v>12</v>
      </c>
      <c r="C186" t="str">
        <f t="shared" si="10"/>
        <v>CRS</v>
      </c>
      <c r="D186" t="str">
        <f t="shared" si="11"/>
        <v>CRSWeb Service</v>
      </c>
      <c r="E186">
        <f>COUNTIF($R$2:R186,R186)</f>
        <v>3</v>
      </c>
      <c r="F186">
        <f>COUNTIF($E$2:E186,1)</f>
        <v>15</v>
      </c>
      <c r="G186" t="str">
        <f t="shared" si="12"/>
        <v>crs.services.report</v>
      </c>
      <c r="H186" t="str">
        <f t="shared" si="13"/>
        <v>CRScrs.services.reportWeb Service</v>
      </c>
      <c r="I186" t="str">
        <f t="shared" si="14"/>
        <v>CRScrs.services.reportafa.threshold.percentage</v>
      </c>
      <c r="J186">
        <f>IF(I186="",0,COUNTIF($I$2:I186,I186))</f>
        <v>1</v>
      </c>
      <c r="K186">
        <f>COUNTIF($J$2:J186,1)</f>
        <v>29</v>
      </c>
      <c r="N186">
        <v>1</v>
      </c>
      <c r="O186" t="s">
        <v>81</v>
      </c>
      <c r="P186" t="s">
        <v>101</v>
      </c>
      <c r="Q186" t="s">
        <v>102</v>
      </c>
      <c r="R186" t="s">
        <v>114</v>
      </c>
      <c r="S186" t="s">
        <v>115</v>
      </c>
      <c r="T186" t="s">
        <v>116</v>
      </c>
      <c r="U186" t="s">
        <v>117</v>
      </c>
      <c r="V186" t="s">
        <v>108</v>
      </c>
      <c r="W186" t="s">
        <v>21</v>
      </c>
      <c r="X186" t="s">
        <v>21</v>
      </c>
      <c r="Y186">
        <v>70</v>
      </c>
      <c r="Z186">
        <v>3377</v>
      </c>
    </row>
    <row r="187" spans="1:26" hidden="1" x14ac:dyDescent="0.25">
      <c r="A187">
        <f>COUNTIF($P$2:P187,P187)</f>
        <v>48</v>
      </c>
      <c r="B187">
        <f>COUNTIF($A$2:A187,1)</f>
        <v>12</v>
      </c>
      <c r="C187" t="str">
        <f t="shared" si="10"/>
        <v>CRS</v>
      </c>
      <c r="D187" t="str">
        <f t="shared" si="11"/>
        <v>CRSIntegrator</v>
      </c>
      <c r="E187">
        <f>COUNTIF($R$2:R187,R187)</f>
        <v>4</v>
      </c>
      <c r="F187">
        <f>COUNTIF($E$2:E187,1)</f>
        <v>15</v>
      </c>
      <c r="G187" t="str">
        <f t="shared" si="12"/>
        <v>crs.services.report</v>
      </c>
      <c r="H187" t="str">
        <f t="shared" si="13"/>
        <v>CRScrs.services.reportIntegrator</v>
      </c>
      <c r="I187" t="str">
        <f t="shared" si="14"/>
        <v>CRScrs.services.reportafa.threshold.percentage</v>
      </c>
      <c r="J187">
        <f>IF(I187="",0,COUNTIF($I$2:I187,I187))</f>
        <v>2</v>
      </c>
      <c r="K187">
        <f>COUNTIF($J$2:J187,1)</f>
        <v>29</v>
      </c>
      <c r="N187">
        <v>1</v>
      </c>
      <c r="O187" t="s">
        <v>23</v>
      </c>
      <c r="P187" t="s">
        <v>101</v>
      </c>
      <c r="Q187" t="s">
        <v>102</v>
      </c>
      <c r="R187" t="s">
        <v>114</v>
      </c>
      <c r="S187" t="s">
        <v>115</v>
      </c>
      <c r="T187" t="s">
        <v>116</v>
      </c>
      <c r="U187" t="s">
        <v>117</v>
      </c>
      <c r="V187" t="s">
        <v>108</v>
      </c>
      <c r="W187" t="s">
        <v>21</v>
      </c>
      <c r="X187" t="s">
        <v>21</v>
      </c>
      <c r="Y187">
        <v>70</v>
      </c>
      <c r="Z187">
        <v>3377</v>
      </c>
    </row>
    <row r="188" spans="1:26" hidden="1" x14ac:dyDescent="0.25">
      <c r="A188">
        <f>COUNTIF($P$2:P188,P188)</f>
        <v>49</v>
      </c>
      <c r="B188">
        <f>COUNTIF($A$2:A188,1)</f>
        <v>12</v>
      </c>
      <c r="C188" t="str">
        <f t="shared" si="10"/>
        <v>CRS</v>
      </c>
      <c r="D188" t="str">
        <f t="shared" si="11"/>
        <v>CRSWeb Service</v>
      </c>
      <c r="E188">
        <f>COUNTIF($R$2:R188,R188)</f>
        <v>5</v>
      </c>
      <c r="F188">
        <f>COUNTIF($E$2:E188,1)</f>
        <v>15</v>
      </c>
      <c r="G188" t="str">
        <f t="shared" si="12"/>
        <v>crs.services.report</v>
      </c>
      <c r="H188" t="str">
        <f t="shared" si="13"/>
        <v>CRScrs.services.reportWeb Service</v>
      </c>
      <c r="I188" t="str">
        <f t="shared" si="14"/>
        <v>CRScrs.services.reportafa.track.request</v>
      </c>
      <c r="J188">
        <f>IF(I188="",0,COUNTIF($I$2:I188,I188))</f>
        <v>1</v>
      </c>
      <c r="K188">
        <f>COUNTIF($J$2:J188,1)</f>
        <v>30</v>
      </c>
      <c r="N188">
        <v>1</v>
      </c>
      <c r="O188" t="s">
        <v>81</v>
      </c>
      <c r="P188" t="s">
        <v>101</v>
      </c>
      <c r="Q188" t="s">
        <v>102</v>
      </c>
      <c r="R188" t="s">
        <v>114</v>
      </c>
      <c r="S188" t="s">
        <v>115</v>
      </c>
      <c r="T188" t="s">
        <v>116</v>
      </c>
      <c r="U188" t="s">
        <v>117</v>
      </c>
      <c r="V188" t="s">
        <v>109</v>
      </c>
      <c r="W188" t="s">
        <v>21</v>
      </c>
      <c r="X188" t="s">
        <v>21</v>
      </c>
      <c r="Y188" t="b">
        <v>1</v>
      </c>
      <c r="Z188">
        <v>3376</v>
      </c>
    </row>
    <row r="189" spans="1:26" hidden="1" x14ac:dyDescent="0.25">
      <c r="A189">
        <f>COUNTIF($P$2:P189,P189)</f>
        <v>50</v>
      </c>
      <c r="B189">
        <f>COUNTIF($A$2:A189,1)</f>
        <v>12</v>
      </c>
      <c r="C189" t="str">
        <f t="shared" si="10"/>
        <v>CRS</v>
      </c>
      <c r="D189" t="str">
        <f t="shared" si="11"/>
        <v>CRSIntegrator</v>
      </c>
      <c r="E189">
        <f>COUNTIF($R$2:R189,R189)</f>
        <v>6</v>
      </c>
      <c r="F189">
        <f>COUNTIF($E$2:E189,1)</f>
        <v>15</v>
      </c>
      <c r="G189" t="str">
        <f t="shared" si="12"/>
        <v>crs.services.report</v>
      </c>
      <c r="H189" t="str">
        <f t="shared" si="13"/>
        <v>CRScrs.services.reportIntegrator</v>
      </c>
      <c r="I189" t="str">
        <f t="shared" si="14"/>
        <v>CRScrs.services.reportafa.track.request</v>
      </c>
      <c r="J189">
        <f>IF(I189="",0,COUNTIF($I$2:I189,I189))</f>
        <v>2</v>
      </c>
      <c r="K189">
        <f>COUNTIF($J$2:J189,1)</f>
        <v>30</v>
      </c>
      <c r="N189">
        <v>1</v>
      </c>
      <c r="O189" t="s">
        <v>23</v>
      </c>
      <c r="P189" t="s">
        <v>101</v>
      </c>
      <c r="Q189" t="s">
        <v>102</v>
      </c>
      <c r="R189" t="s">
        <v>114</v>
      </c>
      <c r="S189" t="s">
        <v>115</v>
      </c>
      <c r="T189" t="s">
        <v>116</v>
      </c>
      <c r="U189" t="s">
        <v>117</v>
      </c>
      <c r="V189" t="s">
        <v>109</v>
      </c>
      <c r="W189" t="s">
        <v>21</v>
      </c>
      <c r="X189" t="s">
        <v>21</v>
      </c>
      <c r="Y189" t="b">
        <v>1</v>
      </c>
      <c r="Z189">
        <v>3376</v>
      </c>
    </row>
    <row r="190" spans="1:26" hidden="1" x14ac:dyDescent="0.25">
      <c r="A190">
        <f>COUNTIF($P$2:P190,P190)</f>
        <v>51</v>
      </c>
      <c r="B190">
        <f>COUNTIF($A$2:A190,1)</f>
        <v>12</v>
      </c>
      <c r="C190" t="str">
        <f t="shared" si="10"/>
        <v>CRS</v>
      </c>
      <c r="D190" t="str">
        <f t="shared" si="11"/>
        <v>CRSParent</v>
      </c>
      <c r="E190">
        <f>COUNTIF($R$2:R190,R190)</f>
        <v>7</v>
      </c>
      <c r="F190">
        <f>COUNTIF($E$2:E190,1)</f>
        <v>15</v>
      </c>
      <c r="G190" t="str">
        <f t="shared" si="12"/>
        <v>crs.services.report</v>
      </c>
      <c r="H190" t="str">
        <f t="shared" si="13"/>
        <v>CRScrs.services.reportParent</v>
      </c>
      <c r="I190" t="str">
        <f t="shared" si="14"/>
        <v>CRScrs.services.reportcrs.cpb.enquiry.done.by</v>
      </c>
      <c r="J190">
        <f>IF(I190="",0,COUNTIF($I$2:I190,I190))</f>
        <v>1</v>
      </c>
      <c r="K190">
        <f>COUNTIF($J$2:J190,1)</f>
        <v>31</v>
      </c>
      <c r="N190">
        <v>26</v>
      </c>
      <c r="O190" t="s">
        <v>15</v>
      </c>
      <c r="P190" t="s">
        <v>101</v>
      </c>
      <c r="Q190" t="s">
        <v>102</v>
      </c>
      <c r="R190" t="s">
        <v>114</v>
      </c>
      <c r="S190" t="s">
        <v>115</v>
      </c>
      <c r="T190" t="s">
        <v>116</v>
      </c>
      <c r="U190" t="s">
        <v>117</v>
      </c>
      <c r="V190" t="s">
        <v>110</v>
      </c>
      <c r="W190" t="s">
        <v>21</v>
      </c>
      <c r="X190" t="s">
        <v>21</v>
      </c>
      <c r="Y190" t="s">
        <v>111</v>
      </c>
      <c r="Z190">
        <v>5018</v>
      </c>
    </row>
    <row r="191" spans="1:26" hidden="1" x14ac:dyDescent="0.25">
      <c r="A191">
        <f>COUNTIF($P$2:P191,P191)</f>
        <v>52</v>
      </c>
      <c r="B191">
        <f>COUNTIF($A$2:A191,1)</f>
        <v>12</v>
      </c>
      <c r="C191" t="str">
        <f t="shared" si="10"/>
        <v>CRS</v>
      </c>
      <c r="D191" t="str">
        <f t="shared" si="11"/>
        <v>CRSIntegrator</v>
      </c>
      <c r="E191">
        <f>COUNTIF($R$2:R191,R191)</f>
        <v>8</v>
      </c>
      <c r="F191">
        <f>COUNTIF($E$2:E191,1)</f>
        <v>15</v>
      </c>
      <c r="G191" t="str">
        <f t="shared" si="12"/>
        <v>crs.services.report</v>
      </c>
      <c r="H191" t="str">
        <f t="shared" si="13"/>
        <v>CRScrs.services.reportIntegrator</v>
      </c>
      <c r="I191" t="str">
        <f t="shared" si="14"/>
        <v>CRScrs.services.reportcrs.cpb.enquiry.done.by</v>
      </c>
      <c r="J191">
        <f>IF(I191="",0,COUNTIF($I$2:I191,I191))</f>
        <v>2</v>
      </c>
      <c r="K191">
        <f>COUNTIF($J$2:J191,1)</f>
        <v>31</v>
      </c>
      <c r="N191">
        <v>2</v>
      </c>
      <c r="O191" t="s">
        <v>23</v>
      </c>
      <c r="P191" t="s">
        <v>101</v>
      </c>
      <c r="Q191" t="s">
        <v>102</v>
      </c>
      <c r="R191" t="s">
        <v>114</v>
      </c>
      <c r="S191" t="s">
        <v>115</v>
      </c>
      <c r="T191" t="s">
        <v>116</v>
      </c>
      <c r="U191" t="s">
        <v>117</v>
      </c>
      <c r="V191" t="s">
        <v>110</v>
      </c>
      <c r="W191" t="s">
        <v>21</v>
      </c>
      <c r="X191" t="s">
        <v>21</v>
      </c>
      <c r="Y191" t="s">
        <v>111</v>
      </c>
      <c r="Z191">
        <v>5018</v>
      </c>
    </row>
    <row r="192" spans="1:26" hidden="1" x14ac:dyDescent="0.25">
      <c r="A192">
        <f>COUNTIF($P$2:P192,P192)</f>
        <v>53</v>
      </c>
      <c r="B192">
        <f>COUNTIF($A$2:A192,1)</f>
        <v>12</v>
      </c>
      <c r="C192" t="str">
        <f t="shared" si="10"/>
        <v>CRS</v>
      </c>
      <c r="D192" t="str">
        <f t="shared" si="11"/>
        <v>CRSWeb Service</v>
      </c>
      <c r="E192">
        <f>COUNTIF($R$2:R192,R192)</f>
        <v>9</v>
      </c>
      <c r="F192">
        <f>COUNTIF($E$2:E192,1)</f>
        <v>15</v>
      </c>
      <c r="G192" t="str">
        <f t="shared" si="12"/>
        <v>crs.services.report</v>
      </c>
      <c r="H192" t="str">
        <f t="shared" si="13"/>
        <v>CRScrs.services.reportWeb Service</v>
      </c>
      <c r="I192" t="str">
        <f t="shared" si="14"/>
        <v>CRScrs.services.reportcrs.cpb.enquiry.done.by</v>
      </c>
      <c r="J192">
        <f>IF(I192="",0,COUNTIF($I$2:I192,I192))</f>
        <v>3</v>
      </c>
      <c r="K192">
        <f>COUNTIF($J$2:J192,1)</f>
        <v>31</v>
      </c>
      <c r="N192">
        <v>1</v>
      </c>
      <c r="O192" t="s">
        <v>81</v>
      </c>
      <c r="P192" t="s">
        <v>101</v>
      </c>
      <c r="Q192" t="s">
        <v>102</v>
      </c>
      <c r="R192" t="s">
        <v>114</v>
      </c>
      <c r="S192" t="s">
        <v>115</v>
      </c>
      <c r="T192" t="s">
        <v>116</v>
      </c>
      <c r="U192" t="s">
        <v>117</v>
      </c>
      <c r="V192" t="s">
        <v>110</v>
      </c>
      <c r="W192" t="s">
        <v>21</v>
      </c>
      <c r="X192" t="s">
        <v>21</v>
      </c>
      <c r="Y192" t="s">
        <v>111</v>
      </c>
      <c r="Z192">
        <v>5018</v>
      </c>
    </row>
    <row r="193" spans="1:26" hidden="1" x14ac:dyDescent="0.25">
      <c r="A193">
        <f>COUNTIF($P$2:P193,P193)</f>
        <v>54</v>
      </c>
      <c r="B193">
        <f>COUNTIF($A$2:A193,1)</f>
        <v>12</v>
      </c>
      <c r="C193" t="str">
        <f t="shared" si="10"/>
        <v>CRS</v>
      </c>
      <c r="D193" t="str">
        <f t="shared" si="11"/>
        <v>CRSIntegrator</v>
      </c>
      <c r="E193">
        <f>COUNTIF($R$2:R193,R193)</f>
        <v>10</v>
      </c>
      <c r="F193">
        <f>COUNTIF($E$2:E193,1)</f>
        <v>15</v>
      </c>
      <c r="G193" t="str">
        <f t="shared" si="12"/>
        <v>crs.services.report</v>
      </c>
      <c r="H193" t="str">
        <f t="shared" si="13"/>
        <v>CRScrs.services.reportIntegrator</v>
      </c>
      <c r="I193" t="str">
        <f t="shared" si="14"/>
        <v>CRScrs.services.reportcrs.track.request</v>
      </c>
      <c r="J193">
        <f>IF(I193="",0,COUNTIF($I$2:I193,I193))</f>
        <v>1</v>
      </c>
      <c r="K193">
        <f>COUNTIF($J$2:J193,1)</f>
        <v>32</v>
      </c>
      <c r="N193">
        <v>1</v>
      </c>
      <c r="O193" t="s">
        <v>23</v>
      </c>
      <c r="P193" t="s">
        <v>101</v>
      </c>
      <c r="Q193" t="s">
        <v>102</v>
      </c>
      <c r="R193" t="s">
        <v>114</v>
      </c>
      <c r="S193" t="s">
        <v>115</v>
      </c>
      <c r="T193" t="s">
        <v>116</v>
      </c>
      <c r="U193" t="s">
        <v>117</v>
      </c>
      <c r="V193" t="s">
        <v>112</v>
      </c>
      <c r="W193" t="s">
        <v>21</v>
      </c>
      <c r="X193" t="s">
        <v>21</v>
      </c>
      <c r="Y193" t="b">
        <v>1</v>
      </c>
      <c r="Z193">
        <v>4830</v>
      </c>
    </row>
    <row r="194" spans="1:26" hidden="1" x14ac:dyDescent="0.25">
      <c r="A194">
        <f>COUNTIF($P$2:P194,P194)</f>
        <v>55</v>
      </c>
      <c r="B194">
        <f>COUNTIF($A$2:A194,1)</f>
        <v>12</v>
      </c>
      <c r="C194" t="str">
        <f t="shared" si="10"/>
        <v>CRS</v>
      </c>
      <c r="D194" t="str">
        <f t="shared" si="11"/>
        <v>CRSDevice</v>
      </c>
      <c r="E194">
        <f>COUNTIF($R$2:R194,R194)</f>
        <v>11</v>
      </c>
      <c r="F194">
        <f>COUNTIF($E$2:E194,1)</f>
        <v>15</v>
      </c>
      <c r="G194" t="str">
        <f t="shared" si="12"/>
        <v>crs.services.report</v>
      </c>
      <c r="H194" t="str">
        <f t="shared" si="13"/>
        <v>CRScrs.services.reportDevice</v>
      </c>
      <c r="I194" t="str">
        <f t="shared" si="14"/>
        <v>CRScrs.services.reportcrs.track.request</v>
      </c>
      <c r="J194">
        <f>IF(I194="",0,COUNTIF($I$2:I194,I194))</f>
        <v>2</v>
      </c>
      <c r="K194">
        <f>COUNTIF($J$2:J194,1)</f>
        <v>32</v>
      </c>
      <c r="N194">
        <v>46</v>
      </c>
      <c r="O194" t="s">
        <v>31</v>
      </c>
      <c r="P194" t="s">
        <v>101</v>
      </c>
      <c r="Q194" t="s">
        <v>102</v>
      </c>
      <c r="R194" t="s">
        <v>114</v>
      </c>
      <c r="S194" t="s">
        <v>115</v>
      </c>
      <c r="T194" t="s">
        <v>116</v>
      </c>
      <c r="U194" t="s">
        <v>117</v>
      </c>
      <c r="V194" t="s">
        <v>112</v>
      </c>
      <c r="W194" t="s">
        <v>21</v>
      </c>
      <c r="X194" t="s">
        <v>21</v>
      </c>
      <c r="Y194" t="b">
        <v>1</v>
      </c>
      <c r="Z194">
        <v>4830</v>
      </c>
    </row>
    <row r="195" spans="1:26" hidden="1" x14ac:dyDescent="0.25">
      <c r="A195">
        <f>COUNTIF($P$2:P195,P195)</f>
        <v>56</v>
      </c>
      <c r="B195">
        <f>COUNTIF($A$2:A195,1)</f>
        <v>12</v>
      </c>
      <c r="C195" t="str">
        <f t="shared" ref="C195:C258" si="15">IF(A195=1,P195,C194)</f>
        <v>CRS</v>
      </c>
      <c r="D195" t="str">
        <f t="shared" ref="D195:D258" si="16">C195&amp;O195</f>
        <v>CRSWeb Service</v>
      </c>
      <c r="E195">
        <f>COUNTIF($R$2:R195,R195)</f>
        <v>12</v>
      </c>
      <c r="F195">
        <f>COUNTIF($E$2:E195,1)</f>
        <v>15</v>
      </c>
      <c r="G195" t="str">
        <f t="shared" ref="G195:G258" si="17">IF(E195=1,R195,G194)</f>
        <v>crs.services.report</v>
      </c>
      <c r="H195" t="str">
        <f t="shared" ref="H195:H258" si="18">C195&amp;G195&amp;O195</f>
        <v>CRScrs.services.reportWeb Service</v>
      </c>
      <c r="I195" t="str">
        <f t="shared" ref="I195:I258" si="19">IF(V195="","",P195&amp;R195&amp;V195)</f>
        <v>CRScrs.services.reportcrs.track.request</v>
      </c>
      <c r="J195">
        <f>IF(I195="",0,COUNTIF($I$2:I195,I195))</f>
        <v>3</v>
      </c>
      <c r="K195">
        <f>COUNTIF($J$2:J195,1)</f>
        <v>32</v>
      </c>
      <c r="N195">
        <v>1</v>
      </c>
      <c r="O195" t="s">
        <v>81</v>
      </c>
      <c r="P195" t="s">
        <v>101</v>
      </c>
      <c r="Q195" t="s">
        <v>102</v>
      </c>
      <c r="R195" t="s">
        <v>114</v>
      </c>
      <c r="S195" t="s">
        <v>115</v>
      </c>
      <c r="T195" t="s">
        <v>116</v>
      </c>
      <c r="U195" t="s">
        <v>117</v>
      </c>
      <c r="V195" t="s">
        <v>112</v>
      </c>
      <c r="W195" t="s">
        <v>21</v>
      </c>
      <c r="X195" t="s">
        <v>21</v>
      </c>
      <c r="Y195" t="b">
        <v>1</v>
      </c>
      <c r="Z195">
        <v>4830</v>
      </c>
    </row>
    <row r="196" spans="1:26" hidden="1" x14ac:dyDescent="0.25">
      <c r="A196">
        <f>COUNTIF($P$2:P196,P196)</f>
        <v>57</v>
      </c>
      <c r="B196">
        <f>COUNTIF($A$2:A196,1)</f>
        <v>12</v>
      </c>
      <c r="C196" t="str">
        <f t="shared" si="15"/>
        <v>CRS</v>
      </c>
      <c r="D196" t="str">
        <f t="shared" si="16"/>
        <v>CRSDevice</v>
      </c>
      <c r="E196">
        <f>COUNTIF($R$2:R196,R196)</f>
        <v>13</v>
      </c>
      <c r="F196">
        <f>COUNTIF($E$2:E196,1)</f>
        <v>15</v>
      </c>
      <c r="G196" t="str">
        <f t="shared" si="17"/>
        <v>crs.services.report</v>
      </c>
      <c r="H196" t="str">
        <f t="shared" si="18"/>
        <v>CRScrs.services.reportDevice</v>
      </c>
      <c r="I196" t="str">
        <f t="shared" si="19"/>
        <v/>
      </c>
      <c r="J196">
        <f>IF(I196="",0,COUNTIF($I$2:I196,I196))</f>
        <v>0</v>
      </c>
      <c r="K196">
        <f>COUNTIF($J$2:J196,1)</f>
        <v>32</v>
      </c>
      <c r="N196">
        <v>8</v>
      </c>
      <c r="O196" t="s">
        <v>31</v>
      </c>
      <c r="P196" t="s">
        <v>101</v>
      </c>
      <c r="Q196" t="s">
        <v>102</v>
      </c>
      <c r="R196" t="s">
        <v>114</v>
      </c>
      <c r="S196" t="s">
        <v>115</v>
      </c>
      <c r="T196" t="s">
        <v>116</v>
      </c>
      <c r="U196" t="s">
        <v>117</v>
      </c>
      <c r="W196" t="s">
        <v>22</v>
      </c>
    </row>
    <row r="197" spans="1:26" hidden="1" x14ac:dyDescent="0.25">
      <c r="A197">
        <f>COUNTIF($P$2:P197,P197)</f>
        <v>58</v>
      </c>
      <c r="B197">
        <f>COUNTIF($A$2:A197,1)</f>
        <v>12</v>
      </c>
      <c r="C197" t="str">
        <f t="shared" si="15"/>
        <v>CRS</v>
      </c>
      <c r="D197" t="str">
        <f t="shared" si="16"/>
        <v>CRSIntegrator</v>
      </c>
      <c r="E197">
        <f>COUNTIF($R$2:R197,R197)</f>
        <v>14</v>
      </c>
      <c r="F197">
        <f>COUNTIF($E$2:E197,1)</f>
        <v>15</v>
      </c>
      <c r="G197" t="str">
        <f t="shared" si="17"/>
        <v>crs.services.report</v>
      </c>
      <c r="H197" t="str">
        <f t="shared" si="18"/>
        <v>CRScrs.services.reportIntegrator</v>
      </c>
      <c r="I197" t="str">
        <f t="shared" si="19"/>
        <v/>
      </c>
      <c r="J197">
        <f>IF(I197="",0,COUNTIF($I$2:I197,I197))</f>
        <v>0</v>
      </c>
      <c r="K197">
        <f>COUNTIF($J$2:J197,1)</f>
        <v>32</v>
      </c>
      <c r="N197">
        <v>110</v>
      </c>
      <c r="O197" t="s">
        <v>23</v>
      </c>
      <c r="P197" t="s">
        <v>101</v>
      </c>
      <c r="Q197" t="s">
        <v>102</v>
      </c>
      <c r="R197" t="s">
        <v>114</v>
      </c>
      <c r="S197" t="s">
        <v>115</v>
      </c>
      <c r="T197" t="s">
        <v>116</v>
      </c>
      <c r="U197" t="s">
        <v>117</v>
      </c>
      <c r="W197" t="s">
        <v>22</v>
      </c>
    </row>
    <row r="198" spans="1:26" hidden="1" x14ac:dyDescent="0.25">
      <c r="A198">
        <f>COUNTIF($P$2:P198,P198)</f>
        <v>59</v>
      </c>
      <c r="B198">
        <f>COUNTIF($A$2:A198,1)</f>
        <v>12</v>
      </c>
      <c r="C198" t="str">
        <f t="shared" si="15"/>
        <v>CRS</v>
      </c>
      <c r="D198" t="str">
        <f t="shared" si="16"/>
        <v>CRSParent</v>
      </c>
      <c r="E198">
        <f>COUNTIF($R$2:R198,R198)</f>
        <v>15</v>
      </c>
      <c r="F198">
        <f>COUNTIF($E$2:E198,1)</f>
        <v>15</v>
      </c>
      <c r="G198" t="str">
        <f t="shared" si="17"/>
        <v>crs.services.report</v>
      </c>
      <c r="H198" t="str">
        <f t="shared" si="18"/>
        <v>CRScrs.services.reportParent</v>
      </c>
      <c r="I198" t="str">
        <f t="shared" si="19"/>
        <v/>
      </c>
      <c r="J198">
        <f>IF(I198="",0,COUNTIF($I$2:I198,I198))</f>
        <v>0</v>
      </c>
      <c r="K198">
        <f>COUNTIF($J$2:J198,1)</f>
        <v>32</v>
      </c>
      <c r="N198">
        <v>107</v>
      </c>
      <c r="O198" t="s">
        <v>15</v>
      </c>
      <c r="P198" t="s">
        <v>101</v>
      </c>
      <c r="Q198" t="s">
        <v>102</v>
      </c>
      <c r="R198" t="s">
        <v>114</v>
      </c>
      <c r="S198" t="s">
        <v>115</v>
      </c>
      <c r="T198" t="s">
        <v>116</v>
      </c>
      <c r="U198" t="s">
        <v>117</v>
      </c>
      <c r="W198" t="s">
        <v>21</v>
      </c>
    </row>
    <row r="199" spans="1:26" hidden="1" x14ac:dyDescent="0.25">
      <c r="A199">
        <f>COUNTIF($P$2:P199,P199)</f>
        <v>60</v>
      </c>
      <c r="B199">
        <f>COUNTIF($A$2:A199,1)</f>
        <v>12</v>
      </c>
      <c r="C199" t="str">
        <f t="shared" si="15"/>
        <v>CRS</v>
      </c>
      <c r="D199" t="str">
        <f t="shared" si="16"/>
        <v>CRSDevice</v>
      </c>
      <c r="E199">
        <f>COUNTIF($R$2:R199,R199)</f>
        <v>16</v>
      </c>
      <c r="F199">
        <f>COUNTIF($E$2:E199,1)</f>
        <v>15</v>
      </c>
      <c r="G199" t="str">
        <f t="shared" si="17"/>
        <v>crs.services.report</v>
      </c>
      <c r="H199" t="str">
        <f t="shared" si="18"/>
        <v>CRScrs.services.reportDevice</v>
      </c>
      <c r="I199" t="str">
        <f t="shared" si="19"/>
        <v/>
      </c>
      <c r="J199">
        <f>IF(I199="",0,COUNTIF($I$2:I199,I199))</f>
        <v>0</v>
      </c>
      <c r="K199">
        <f>COUNTIF($J$2:J199,1)</f>
        <v>32</v>
      </c>
      <c r="N199">
        <v>8</v>
      </c>
      <c r="O199" t="s">
        <v>31</v>
      </c>
      <c r="P199" t="s">
        <v>101</v>
      </c>
      <c r="Q199" t="s">
        <v>102</v>
      </c>
      <c r="R199" t="s">
        <v>114</v>
      </c>
      <c r="S199" t="s">
        <v>115</v>
      </c>
      <c r="T199" t="s">
        <v>116</v>
      </c>
      <c r="U199" t="s">
        <v>117</v>
      </c>
      <c r="W199" t="s">
        <v>21</v>
      </c>
    </row>
    <row r="200" spans="1:26" hidden="1" x14ac:dyDescent="0.25">
      <c r="A200">
        <f>COUNTIF($P$2:P200,P200)</f>
        <v>61</v>
      </c>
      <c r="B200">
        <f>COUNTIF($A$2:A200,1)</f>
        <v>12</v>
      </c>
      <c r="C200" t="str">
        <f t="shared" si="15"/>
        <v>CRS</v>
      </c>
      <c r="D200" t="str">
        <f t="shared" si="16"/>
        <v>CRSIntegrator</v>
      </c>
      <c r="E200">
        <f>COUNTIF($R$2:R200,R200)</f>
        <v>17</v>
      </c>
      <c r="F200">
        <f>COUNTIF($E$2:E200,1)</f>
        <v>15</v>
      </c>
      <c r="G200" t="str">
        <f t="shared" si="17"/>
        <v>crs.services.report</v>
      </c>
      <c r="H200" t="str">
        <f t="shared" si="18"/>
        <v>CRScrs.services.reportIntegrator</v>
      </c>
      <c r="I200" t="str">
        <f t="shared" si="19"/>
        <v/>
      </c>
      <c r="J200">
        <f>IF(I200="",0,COUNTIF($I$2:I200,I200))</f>
        <v>0</v>
      </c>
      <c r="K200">
        <f>COUNTIF($J$2:J200,1)</f>
        <v>32</v>
      </c>
      <c r="N200">
        <v>131</v>
      </c>
      <c r="O200" t="s">
        <v>23</v>
      </c>
      <c r="P200" t="s">
        <v>101</v>
      </c>
      <c r="Q200" t="s">
        <v>102</v>
      </c>
      <c r="R200" t="s">
        <v>114</v>
      </c>
      <c r="S200" t="s">
        <v>115</v>
      </c>
      <c r="T200" t="s">
        <v>116</v>
      </c>
      <c r="U200" t="s">
        <v>117</v>
      </c>
      <c r="W200" t="s">
        <v>21</v>
      </c>
    </row>
    <row r="201" spans="1:26" hidden="1" x14ac:dyDescent="0.25">
      <c r="A201">
        <f>COUNTIF($P$2:P201,P201)</f>
        <v>62</v>
      </c>
      <c r="B201">
        <f>COUNTIF($A$2:A201,1)</f>
        <v>12</v>
      </c>
      <c r="C201" t="str">
        <f t="shared" si="15"/>
        <v>CRS</v>
      </c>
      <c r="D201" t="str">
        <f t="shared" si="16"/>
        <v>CRSDevice</v>
      </c>
      <c r="E201">
        <f>COUNTIF($R$2:R201,R201)</f>
        <v>18</v>
      </c>
      <c r="F201">
        <f>COUNTIF($E$2:E201,1)</f>
        <v>15</v>
      </c>
      <c r="G201" t="str">
        <f t="shared" si="17"/>
        <v>crs.services.report</v>
      </c>
      <c r="H201" t="str">
        <f t="shared" si="18"/>
        <v>CRScrs.services.reportDevice</v>
      </c>
      <c r="I201" t="str">
        <f t="shared" si="19"/>
        <v/>
      </c>
      <c r="J201">
        <f>IF(I201="",0,COUNTIF($I$2:I201,I201))</f>
        <v>0</v>
      </c>
      <c r="K201">
        <f>COUNTIF($J$2:J201,1)</f>
        <v>32</v>
      </c>
      <c r="N201">
        <v>17</v>
      </c>
      <c r="O201" t="s">
        <v>31</v>
      </c>
      <c r="P201" t="s">
        <v>101</v>
      </c>
      <c r="Q201" t="s">
        <v>102</v>
      </c>
      <c r="R201" t="s">
        <v>114</v>
      </c>
      <c r="S201" t="s">
        <v>115</v>
      </c>
      <c r="T201" t="s">
        <v>116</v>
      </c>
      <c r="U201" t="s">
        <v>117</v>
      </c>
      <c r="W201" t="s">
        <v>21</v>
      </c>
    </row>
    <row r="202" spans="1:26" hidden="1" x14ac:dyDescent="0.25">
      <c r="A202">
        <f>COUNTIF($P$2:P202,P202)</f>
        <v>63</v>
      </c>
      <c r="B202">
        <f>COUNTIF($A$2:A202,1)</f>
        <v>12</v>
      </c>
      <c r="C202" t="str">
        <f t="shared" si="15"/>
        <v>CRS</v>
      </c>
      <c r="D202" t="str">
        <f t="shared" si="16"/>
        <v>CRSParent</v>
      </c>
      <c r="E202">
        <f>COUNTIF($R$2:R202,R202)</f>
        <v>19</v>
      </c>
      <c r="F202">
        <f>COUNTIF($E$2:E202,1)</f>
        <v>15</v>
      </c>
      <c r="G202" t="str">
        <f t="shared" si="17"/>
        <v>crs.services.report</v>
      </c>
      <c r="H202" t="str">
        <f t="shared" si="18"/>
        <v>CRScrs.services.reportParent</v>
      </c>
      <c r="I202" t="str">
        <f t="shared" si="19"/>
        <v/>
      </c>
      <c r="J202">
        <f>IF(I202="",0,COUNTIF($I$2:I202,I202))</f>
        <v>0</v>
      </c>
      <c r="K202">
        <f>COUNTIF($J$2:J202,1)</f>
        <v>32</v>
      </c>
      <c r="N202">
        <v>1</v>
      </c>
      <c r="O202" t="s">
        <v>15</v>
      </c>
      <c r="P202" t="s">
        <v>101</v>
      </c>
      <c r="Q202" t="s">
        <v>102</v>
      </c>
      <c r="R202" t="s">
        <v>114</v>
      </c>
      <c r="S202" t="s">
        <v>115</v>
      </c>
      <c r="T202" t="s">
        <v>116</v>
      </c>
      <c r="U202" t="s">
        <v>117</v>
      </c>
      <c r="W202" t="s">
        <v>21</v>
      </c>
    </row>
    <row r="203" spans="1:26" hidden="1" x14ac:dyDescent="0.25">
      <c r="A203">
        <f>COUNTIF($P$2:P203,P203)</f>
        <v>64</v>
      </c>
      <c r="B203">
        <f>COUNTIF($A$2:A203,1)</f>
        <v>12</v>
      </c>
      <c r="C203" t="str">
        <f t="shared" si="15"/>
        <v>CRS</v>
      </c>
      <c r="D203" t="str">
        <f t="shared" si="16"/>
        <v>CRSWeb Service</v>
      </c>
      <c r="E203">
        <f>COUNTIF($R$2:R203,R203)</f>
        <v>20</v>
      </c>
      <c r="F203">
        <f>COUNTIF($E$2:E203,1)</f>
        <v>15</v>
      </c>
      <c r="G203" t="str">
        <f t="shared" si="17"/>
        <v>crs.services.report</v>
      </c>
      <c r="H203" t="str">
        <f t="shared" si="18"/>
        <v>CRScrs.services.reportWeb Service</v>
      </c>
      <c r="I203" t="str">
        <f t="shared" si="19"/>
        <v/>
      </c>
      <c r="J203">
        <f>IF(I203="",0,COUNTIF($I$2:I203,I203))</f>
        <v>0</v>
      </c>
      <c r="K203">
        <f>COUNTIF($J$2:J203,1)</f>
        <v>32</v>
      </c>
      <c r="N203">
        <v>1</v>
      </c>
      <c r="O203" t="s">
        <v>81</v>
      </c>
      <c r="P203" t="s">
        <v>101</v>
      </c>
      <c r="Q203" t="s">
        <v>102</v>
      </c>
      <c r="R203" t="s">
        <v>114</v>
      </c>
      <c r="S203" t="s">
        <v>115</v>
      </c>
      <c r="T203" t="s">
        <v>116</v>
      </c>
      <c r="U203" t="s">
        <v>117</v>
      </c>
      <c r="W203" t="s">
        <v>22</v>
      </c>
    </row>
    <row r="204" spans="1:26" hidden="1" x14ac:dyDescent="0.25">
      <c r="A204">
        <f>COUNTIF($P$2:P204,P204)</f>
        <v>65</v>
      </c>
      <c r="B204">
        <f>COUNTIF($A$2:A204,1)</f>
        <v>12</v>
      </c>
      <c r="C204" t="str">
        <f t="shared" si="15"/>
        <v>CRS</v>
      </c>
      <c r="D204" t="str">
        <f t="shared" si="16"/>
        <v>CRSDevice</v>
      </c>
      <c r="E204">
        <f>COUNTIF($R$2:R204,R204)</f>
        <v>21</v>
      </c>
      <c r="F204">
        <f>COUNTIF($E$2:E204,1)</f>
        <v>15</v>
      </c>
      <c r="G204" t="str">
        <f t="shared" si="17"/>
        <v>crs.services.report</v>
      </c>
      <c r="H204" t="str">
        <f t="shared" si="18"/>
        <v>CRScrs.services.reportDevice</v>
      </c>
      <c r="I204" t="str">
        <f t="shared" si="19"/>
        <v/>
      </c>
      <c r="J204">
        <f>IF(I204="",0,COUNTIF($I$2:I204,I204))</f>
        <v>0</v>
      </c>
      <c r="K204">
        <f>COUNTIF($J$2:J204,1)</f>
        <v>32</v>
      </c>
      <c r="N204">
        <v>32</v>
      </c>
      <c r="O204" t="s">
        <v>31</v>
      </c>
      <c r="P204" t="s">
        <v>101</v>
      </c>
      <c r="Q204" t="s">
        <v>102</v>
      </c>
      <c r="R204" t="s">
        <v>114</v>
      </c>
      <c r="S204" t="s">
        <v>115</v>
      </c>
      <c r="T204" t="s">
        <v>116</v>
      </c>
      <c r="U204" t="s">
        <v>117</v>
      </c>
      <c r="W204" t="s">
        <v>22</v>
      </c>
    </row>
    <row r="205" spans="1:26" hidden="1" x14ac:dyDescent="0.25">
      <c r="A205">
        <f>COUNTIF($P$2:P205,P205)</f>
        <v>66</v>
      </c>
      <c r="B205">
        <f>COUNTIF($A$2:A205,1)</f>
        <v>12</v>
      </c>
      <c r="C205" t="str">
        <f t="shared" si="15"/>
        <v>CRS</v>
      </c>
      <c r="D205" t="str">
        <f t="shared" si="16"/>
        <v>CRSParent</v>
      </c>
      <c r="E205">
        <f>COUNTIF($R$2:R205,R205)</f>
        <v>22</v>
      </c>
      <c r="F205">
        <f>COUNTIF($E$2:E205,1)</f>
        <v>15</v>
      </c>
      <c r="G205" t="str">
        <f t="shared" si="17"/>
        <v>crs.services.report</v>
      </c>
      <c r="H205" t="str">
        <f t="shared" si="18"/>
        <v>CRScrs.services.reportParent</v>
      </c>
      <c r="I205" t="str">
        <f t="shared" si="19"/>
        <v/>
      </c>
      <c r="J205">
        <f>IF(I205="",0,COUNTIF($I$2:I205,I205))</f>
        <v>0</v>
      </c>
      <c r="K205">
        <f>COUNTIF($J$2:J205,1)</f>
        <v>32</v>
      </c>
      <c r="N205">
        <v>109</v>
      </c>
      <c r="O205" t="s">
        <v>15</v>
      </c>
      <c r="P205" t="s">
        <v>101</v>
      </c>
      <c r="Q205" t="s">
        <v>102</v>
      </c>
      <c r="R205" t="s">
        <v>114</v>
      </c>
      <c r="S205" t="s">
        <v>115</v>
      </c>
      <c r="T205" t="s">
        <v>116</v>
      </c>
      <c r="U205" t="s">
        <v>117</v>
      </c>
      <c r="W205" t="s">
        <v>22</v>
      </c>
    </row>
    <row r="206" spans="1:26" hidden="1" x14ac:dyDescent="0.25">
      <c r="A206">
        <f>COUNTIF($P$2:P206,P206)</f>
        <v>1</v>
      </c>
      <c r="B206">
        <f>COUNTIF($A$2:A206,1)</f>
        <v>13</v>
      </c>
      <c r="C206" t="str">
        <f t="shared" si="15"/>
        <v>CVS</v>
      </c>
      <c r="D206" t="str">
        <f t="shared" si="16"/>
        <v>CVSDevice</v>
      </c>
      <c r="E206">
        <f>COUNTIF($R$2:R206,R206)</f>
        <v>1</v>
      </c>
      <c r="F206">
        <f>COUNTIF($E$2:E206,1)</f>
        <v>16</v>
      </c>
      <c r="G206" t="str">
        <f t="shared" si="17"/>
        <v>cvs.services.cvs</v>
      </c>
      <c r="H206" t="str">
        <f t="shared" si="18"/>
        <v>CVScvs.services.cvsDevice</v>
      </c>
      <c r="I206" t="str">
        <f t="shared" si="19"/>
        <v>CVScvs.services.cvscvs.track.request</v>
      </c>
      <c r="J206">
        <f>IF(I206="",0,COUNTIF($I$2:I206,I206))</f>
        <v>1</v>
      </c>
      <c r="K206">
        <f>COUNTIF($J$2:J206,1)</f>
        <v>33</v>
      </c>
      <c r="N206">
        <v>42</v>
      </c>
      <c r="O206" t="s">
        <v>31</v>
      </c>
      <c r="P206" t="s">
        <v>118</v>
      </c>
      <c r="Q206" t="s">
        <v>119</v>
      </c>
      <c r="R206" t="s">
        <v>120</v>
      </c>
      <c r="S206" t="s">
        <v>121</v>
      </c>
      <c r="T206" t="s">
        <v>122</v>
      </c>
      <c r="U206" t="s">
        <v>20</v>
      </c>
      <c r="V206" t="s">
        <v>123</v>
      </c>
      <c r="W206" t="s">
        <v>21</v>
      </c>
      <c r="X206" t="s">
        <v>21</v>
      </c>
      <c r="Y206" t="b">
        <v>1</v>
      </c>
      <c r="Z206">
        <v>5042</v>
      </c>
    </row>
    <row r="207" spans="1:26" hidden="1" x14ac:dyDescent="0.25">
      <c r="A207">
        <f>COUNTIF($P$2:P207,P207)</f>
        <v>2</v>
      </c>
      <c r="B207">
        <f>COUNTIF($A$2:A207,1)</f>
        <v>13</v>
      </c>
      <c r="C207" t="str">
        <f t="shared" si="15"/>
        <v>CVS</v>
      </c>
      <c r="D207" t="str">
        <f t="shared" si="16"/>
        <v>CVSIntegrator</v>
      </c>
      <c r="E207">
        <f>COUNTIF($R$2:R207,R207)</f>
        <v>2</v>
      </c>
      <c r="F207">
        <f>COUNTIF($E$2:E207,1)</f>
        <v>16</v>
      </c>
      <c r="G207" t="str">
        <f t="shared" si="17"/>
        <v>cvs.services.cvs</v>
      </c>
      <c r="H207" t="str">
        <f t="shared" si="18"/>
        <v>CVScvs.services.cvsIntegrator</v>
      </c>
      <c r="I207" t="str">
        <f t="shared" si="19"/>
        <v>CVScvs.services.cvscvs.track.request</v>
      </c>
      <c r="J207">
        <f>IF(I207="",0,COUNTIF($I$2:I207,I207))</f>
        <v>2</v>
      </c>
      <c r="K207">
        <f>COUNTIF($J$2:J207,1)</f>
        <v>33</v>
      </c>
      <c r="N207">
        <v>1</v>
      </c>
      <c r="O207" t="s">
        <v>23</v>
      </c>
      <c r="P207" t="s">
        <v>118</v>
      </c>
      <c r="Q207" t="s">
        <v>119</v>
      </c>
      <c r="R207" t="s">
        <v>120</v>
      </c>
      <c r="S207" t="s">
        <v>121</v>
      </c>
      <c r="T207" t="s">
        <v>122</v>
      </c>
      <c r="U207" t="s">
        <v>20</v>
      </c>
      <c r="V207" t="s">
        <v>123</v>
      </c>
      <c r="W207" t="s">
        <v>21</v>
      </c>
      <c r="X207" t="s">
        <v>21</v>
      </c>
      <c r="Y207" t="b">
        <v>1</v>
      </c>
      <c r="Z207">
        <v>5042</v>
      </c>
    </row>
    <row r="208" spans="1:26" hidden="1" x14ac:dyDescent="0.25">
      <c r="A208">
        <f>COUNTIF($P$2:P208,P208)</f>
        <v>3</v>
      </c>
      <c r="B208">
        <f>COUNTIF($A$2:A208,1)</f>
        <v>13</v>
      </c>
      <c r="C208" t="str">
        <f t="shared" si="15"/>
        <v>CVS</v>
      </c>
      <c r="D208" t="str">
        <f t="shared" si="16"/>
        <v>CVSParent</v>
      </c>
      <c r="E208">
        <f>COUNTIF($R$2:R208,R208)</f>
        <v>3</v>
      </c>
      <c r="F208">
        <f>COUNTIF($E$2:E208,1)</f>
        <v>16</v>
      </c>
      <c r="G208" t="str">
        <f t="shared" si="17"/>
        <v>cvs.services.cvs</v>
      </c>
      <c r="H208" t="str">
        <f t="shared" si="18"/>
        <v>CVScvs.services.cvsParent</v>
      </c>
      <c r="I208" t="str">
        <f t="shared" si="19"/>
        <v>CVScvs.services.cvscvs.track.request</v>
      </c>
      <c r="J208">
        <f>IF(I208="",0,COUNTIF($I$2:I208,I208))</f>
        <v>3</v>
      </c>
      <c r="K208">
        <f>COUNTIF($J$2:J208,1)</f>
        <v>33</v>
      </c>
      <c r="N208">
        <v>2</v>
      </c>
      <c r="O208" t="s">
        <v>15</v>
      </c>
      <c r="P208" t="s">
        <v>118</v>
      </c>
      <c r="Q208" t="s">
        <v>119</v>
      </c>
      <c r="R208" t="s">
        <v>120</v>
      </c>
      <c r="S208" t="s">
        <v>121</v>
      </c>
      <c r="T208" t="s">
        <v>122</v>
      </c>
      <c r="U208" t="s">
        <v>20</v>
      </c>
      <c r="V208" t="s">
        <v>123</v>
      </c>
      <c r="W208" t="s">
        <v>21</v>
      </c>
      <c r="X208" t="s">
        <v>21</v>
      </c>
      <c r="Y208" t="b">
        <v>1</v>
      </c>
      <c r="Z208">
        <v>5042</v>
      </c>
    </row>
    <row r="209" spans="1:26" hidden="1" x14ac:dyDescent="0.25">
      <c r="A209">
        <f>COUNTIF($P$2:P209,P209)</f>
        <v>4</v>
      </c>
      <c r="B209">
        <f>COUNTIF($A$2:A209,1)</f>
        <v>13</v>
      </c>
      <c r="C209" t="str">
        <f t="shared" si="15"/>
        <v>CVS</v>
      </c>
      <c r="D209" t="str">
        <f t="shared" si="16"/>
        <v>CVSIntegrator</v>
      </c>
      <c r="E209">
        <f>COUNTIF($R$2:R209,R209)</f>
        <v>4</v>
      </c>
      <c r="F209">
        <f>COUNTIF($E$2:E209,1)</f>
        <v>16</v>
      </c>
      <c r="G209" t="str">
        <f t="shared" si="17"/>
        <v>cvs.services.cvs</v>
      </c>
      <c r="H209" t="str">
        <f t="shared" si="18"/>
        <v>CVScvs.services.cvsIntegrator</v>
      </c>
      <c r="I209" t="str">
        <f t="shared" si="19"/>
        <v/>
      </c>
      <c r="J209">
        <f>IF(I209="",0,COUNTIF($I$2:I209,I209))</f>
        <v>0</v>
      </c>
      <c r="K209">
        <f>COUNTIF($J$2:J209,1)</f>
        <v>33</v>
      </c>
      <c r="N209">
        <v>23</v>
      </c>
      <c r="O209" t="s">
        <v>23</v>
      </c>
      <c r="P209" t="s">
        <v>118</v>
      </c>
      <c r="Q209" t="s">
        <v>119</v>
      </c>
      <c r="R209" t="s">
        <v>120</v>
      </c>
      <c r="S209" t="s">
        <v>121</v>
      </c>
      <c r="T209" t="s">
        <v>122</v>
      </c>
      <c r="U209" t="s">
        <v>20</v>
      </c>
      <c r="W209" t="s">
        <v>22</v>
      </c>
    </row>
    <row r="210" spans="1:26" hidden="1" x14ac:dyDescent="0.25">
      <c r="A210">
        <f>COUNTIF($P$2:P210,P210)</f>
        <v>5</v>
      </c>
      <c r="B210">
        <f>COUNTIF($A$2:A210,1)</f>
        <v>13</v>
      </c>
      <c r="C210" t="str">
        <f t="shared" si="15"/>
        <v>CVS</v>
      </c>
      <c r="D210" t="str">
        <f t="shared" si="16"/>
        <v>CVSParent</v>
      </c>
      <c r="E210">
        <f>COUNTIF($R$2:R210,R210)</f>
        <v>5</v>
      </c>
      <c r="F210">
        <f>COUNTIF($E$2:E210,1)</f>
        <v>16</v>
      </c>
      <c r="G210" t="str">
        <f t="shared" si="17"/>
        <v>cvs.services.cvs</v>
      </c>
      <c r="H210" t="str">
        <f t="shared" si="18"/>
        <v>CVScvs.services.cvsParent</v>
      </c>
      <c r="I210" t="str">
        <f t="shared" si="19"/>
        <v/>
      </c>
      <c r="J210">
        <f>IF(I210="",0,COUNTIF($I$2:I210,I210))</f>
        <v>0</v>
      </c>
      <c r="K210">
        <f>COUNTIF($J$2:J210,1)</f>
        <v>33</v>
      </c>
      <c r="N210">
        <v>21</v>
      </c>
      <c r="O210" t="s">
        <v>15</v>
      </c>
      <c r="P210" t="s">
        <v>118</v>
      </c>
      <c r="Q210" t="s">
        <v>119</v>
      </c>
      <c r="R210" t="s">
        <v>120</v>
      </c>
      <c r="S210" t="s">
        <v>121</v>
      </c>
      <c r="T210" t="s">
        <v>122</v>
      </c>
      <c r="U210" t="s">
        <v>20</v>
      </c>
      <c r="W210" t="s">
        <v>22</v>
      </c>
    </row>
    <row r="211" spans="1:26" hidden="1" x14ac:dyDescent="0.25">
      <c r="A211">
        <f>COUNTIF($P$2:P211,P211)</f>
        <v>6</v>
      </c>
      <c r="B211">
        <f>COUNTIF($A$2:A211,1)</f>
        <v>13</v>
      </c>
      <c r="C211" t="str">
        <f t="shared" si="15"/>
        <v>CVS</v>
      </c>
      <c r="D211" t="str">
        <f t="shared" si="16"/>
        <v>CVSDevice</v>
      </c>
      <c r="E211">
        <f>COUNTIF($R$2:R211,R211)</f>
        <v>6</v>
      </c>
      <c r="F211">
        <f>COUNTIF($E$2:E211,1)</f>
        <v>16</v>
      </c>
      <c r="G211" t="str">
        <f t="shared" si="17"/>
        <v>cvs.services.cvs</v>
      </c>
      <c r="H211" t="str">
        <f t="shared" si="18"/>
        <v>CVScvs.services.cvsDevice</v>
      </c>
      <c r="I211" t="str">
        <f t="shared" si="19"/>
        <v/>
      </c>
      <c r="J211">
        <f>IF(I211="",0,COUNTIF($I$2:I211,I211))</f>
        <v>0</v>
      </c>
      <c r="K211">
        <f>COUNTIF($J$2:J211,1)</f>
        <v>33</v>
      </c>
      <c r="N211">
        <v>1</v>
      </c>
      <c r="O211" t="s">
        <v>31</v>
      </c>
      <c r="P211" t="s">
        <v>118</v>
      </c>
      <c r="Q211" t="s">
        <v>119</v>
      </c>
      <c r="R211" t="s">
        <v>120</v>
      </c>
      <c r="S211" t="s">
        <v>121</v>
      </c>
      <c r="T211" t="s">
        <v>122</v>
      </c>
      <c r="U211" t="s">
        <v>20</v>
      </c>
      <c r="W211" t="s">
        <v>21</v>
      </c>
    </row>
    <row r="212" spans="1:26" hidden="1" x14ac:dyDescent="0.25">
      <c r="A212">
        <f>COUNTIF($P$2:P212,P212)</f>
        <v>7</v>
      </c>
      <c r="B212">
        <f>COUNTIF($A$2:A212,1)</f>
        <v>13</v>
      </c>
      <c r="C212" t="str">
        <f t="shared" si="15"/>
        <v>CVS</v>
      </c>
      <c r="D212" t="str">
        <f t="shared" si="16"/>
        <v>CVSIntegrator</v>
      </c>
      <c r="E212">
        <f>COUNTIF($R$2:R212,R212)</f>
        <v>7</v>
      </c>
      <c r="F212">
        <f>COUNTIF($E$2:E212,1)</f>
        <v>16</v>
      </c>
      <c r="G212" t="str">
        <f t="shared" si="17"/>
        <v>cvs.services.cvs</v>
      </c>
      <c r="H212" t="str">
        <f t="shared" si="18"/>
        <v>CVScvs.services.cvsIntegrator</v>
      </c>
      <c r="I212" t="str">
        <f t="shared" si="19"/>
        <v/>
      </c>
      <c r="J212">
        <f>IF(I212="",0,COUNTIF($I$2:I212,I212))</f>
        <v>0</v>
      </c>
      <c r="K212">
        <f>COUNTIF($J$2:J212,1)</f>
        <v>33</v>
      </c>
      <c r="N212">
        <v>22</v>
      </c>
      <c r="O212" t="s">
        <v>23</v>
      </c>
      <c r="P212" t="s">
        <v>118</v>
      </c>
      <c r="Q212" t="s">
        <v>119</v>
      </c>
      <c r="R212" t="s">
        <v>120</v>
      </c>
      <c r="S212" t="s">
        <v>121</v>
      </c>
      <c r="T212" t="s">
        <v>122</v>
      </c>
      <c r="U212" t="s">
        <v>20</v>
      </c>
      <c r="W212" t="s">
        <v>21</v>
      </c>
    </row>
    <row r="213" spans="1:26" hidden="1" x14ac:dyDescent="0.25">
      <c r="A213">
        <f>COUNTIF($P$2:P213,P213)</f>
        <v>8</v>
      </c>
      <c r="B213">
        <f>COUNTIF($A$2:A213,1)</f>
        <v>13</v>
      </c>
      <c r="C213" t="str">
        <f t="shared" si="15"/>
        <v>CVS</v>
      </c>
      <c r="D213" t="str">
        <f t="shared" si="16"/>
        <v>CVSParent</v>
      </c>
      <c r="E213">
        <f>COUNTIF($R$2:R213,R213)</f>
        <v>8</v>
      </c>
      <c r="F213">
        <f>COUNTIF($E$2:E213,1)</f>
        <v>16</v>
      </c>
      <c r="G213" t="str">
        <f t="shared" si="17"/>
        <v>cvs.services.cvs</v>
      </c>
      <c r="H213" t="str">
        <f t="shared" si="18"/>
        <v>CVScvs.services.cvsParent</v>
      </c>
      <c r="I213" t="str">
        <f t="shared" si="19"/>
        <v/>
      </c>
      <c r="J213">
        <f>IF(I213="",0,COUNTIF($I$2:I213,I213))</f>
        <v>0</v>
      </c>
      <c r="K213">
        <f>COUNTIF($J$2:J213,1)</f>
        <v>33</v>
      </c>
      <c r="N213">
        <v>19</v>
      </c>
      <c r="O213" t="s">
        <v>15</v>
      </c>
      <c r="P213" t="s">
        <v>118</v>
      </c>
      <c r="Q213" t="s">
        <v>119</v>
      </c>
      <c r="R213" t="s">
        <v>120</v>
      </c>
      <c r="S213" t="s">
        <v>121</v>
      </c>
      <c r="T213" t="s">
        <v>122</v>
      </c>
      <c r="U213" t="s">
        <v>20</v>
      </c>
      <c r="W213" t="s">
        <v>21</v>
      </c>
    </row>
    <row r="214" spans="1:26" hidden="1" x14ac:dyDescent="0.25">
      <c r="A214">
        <f>COUNTIF($P$2:P214,P214)</f>
        <v>9</v>
      </c>
      <c r="B214">
        <f>COUNTIF($A$2:A214,1)</f>
        <v>13</v>
      </c>
      <c r="C214" t="str">
        <f t="shared" si="15"/>
        <v>CVS</v>
      </c>
      <c r="D214" t="str">
        <f t="shared" si="16"/>
        <v>CVSDevice</v>
      </c>
      <c r="E214">
        <f>COUNTIF($R$2:R214,R214)</f>
        <v>9</v>
      </c>
      <c r="F214">
        <f>COUNTIF($E$2:E214,1)</f>
        <v>16</v>
      </c>
      <c r="G214" t="str">
        <f t="shared" si="17"/>
        <v>cvs.services.cvs</v>
      </c>
      <c r="H214" t="str">
        <f t="shared" si="18"/>
        <v>CVScvs.services.cvsDevice</v>
      </c>
      <c r="I214" t="str">
        <f t="shared" si="19"/>
        <v/>
      </c>
      <c r="J214">
        <f>IF(I214="",0,COUNTIF($I$2:I214,I214))</f>
        <v>0</v>
      </c>
      <c r="K214">
        <f>COUNTIF($J$2:J214,1)</f>
        <v>33</v>
      </c>
      <c r="N214">
        <v>2</v>
      </c>
      <c r="O214" t="s">
        <v>31</v>
      </c>
      <c r="P214" t="s">
        <v>118</v>
      </c>
      <c r="Q214" t="s">
        <v>119</v>
      </c>
      <c r="R214" t="s">
        <v>120</v>
      </c>
      <c r="S214" t="s">
        <v>121</v>
      </c>
      <c r="T214" t="s">
        <v>122</v>
      </c>
      <c r="U214" t="s">
        <v>20</v>
      </c>
      <c r="W214" t="s">
        <v>21</v>
      </c>
    </row>
    <row r="215" spans="1:26" hidden="1" x14ac:dyDescent="0.25">
      <c r="A215">
        <f>COUNTIF($P$2:P215,P215)</f>
        <v>10</v>
      </c>
      <c r="B215">
        <f>COUNTIF($A$2:A215,1)</f>
        <v>13</v>
      </c>
      <c r="C215" t="str">
        <f t="shared" si="15"/>
        <v>CVS</v>
      </c>
      <c r="D215" t="str">
        <f t="shared" si="16"/>
        <v>CVSDevice</v>
      </c>
      <c r="E215">
        <f>COUNTIF($R$2:R215,R215)</f>
        <v>10</v>
      </c>
      <c r="F215">
        <f>COUNTIF($E$2:E215,1)</f>
        <v>16</v>
      </c>
      <c r="G215" t="str">
        <f t="shared" si="17"/>
        <v>cvs.services.cvs</v>
      </c>
      <c r="H215" t="str">
        <f t="shared" si="18"/>
        <v>CVScvs.services.cvsDevice</v>
      </c>
      <c r="I215" t="str">
        <f t="shared" si="19"/>
        <v/>
      </c>
      <c r="J215">
        <f>IF(I215="",0,COUNTIF($I$2:I215,I215))</f>
        <v>0</v>
      </c>
      <c r="K215">
        <f>COUNTIF($J$2:J215,1)</f>
        <v>33</v>
      </c>
      <c r="N215">
        <v>40</v>
      </c>
      <c r="O215" t="s">
        <v>31</v>
      </c>
      <c r="P215" t="s">
        <v>118</v>
      </c>
      <c r="Q215" t="s">
        <v>119</v>
      </c>
      <c r="R215" t="s">
        <v>120</v>
      </c>
      <c r="S215" t="s">
        <v>121</v>
      </c>
      <c r="T215" t="s">
        <v>122</v>
      </c>
      <c r="U215" t="s">
        <v>20</v>
      </c>
      <c r="W215" t="s">
        <v>22</v>
      </c>
    </row>
    <row r="216" spans="1:26" hidden="1" x14ac:dyDescent="0.25">
      <c r="A216">
        <f>COUNTIF($P$2:P216,P216)</f>
        <v>11</v>
      </c>
      <c r="B216">
        <f>COUNTIF($A$2:A216,1)</f>
        <v>13</v>
      </c>
      <c r="C216" t="str">
        <f t="shared" si="15"/>
        <v>CVS</v>
      </c>
      <c r="D216" t="str">
        <f t="shared" si="16"/>
        <v>CVSDevice</v>
      </c>
      <c r="E216">
        <f>COUNTIF($R$2:R216,R216)</f>
        <v>11</v>
      </c>
      <c r="F216">
        <f>COUNTIF($E$2:E216,1)</f>
        <v>16</v>
      </c>
      <c r="G216" t="str">
        <f t="shared" si="17"/>
        <v>cvs.services.cvs</v>
      </c>
      <c r="H216" t="str">
        <f t="shared" si="18"/>
        <v>CVScvs.services.cvsDevice</v>
      </c>
      <c r="I216" t="str">
        <f t="shared" si="19"/>
        <v/>
      </c>
      <c r="J216">
        <f>IF(I216="",0,COUNTIF($I$2:I216,I216))</f>
        <v>0</v>
      </c>
      <c r="K216">
        <f>COUNTIF($J$2:J216,1)</f>
        <v>33</v>
      </c>
      <c r="N216">
        <v>1</v>
      </c>
      <c r="O216" t="s">
        <v>31</v>
      </c>
      <c r="P216" t="s">
        <v>118</v>
      </c>
      <c r="Q216" t="s">
        <v>119</v>
      </c>
      <c r="R216" t="s">
        <v>120</v>
      </c>
      <c r="S216" t="s">
        <v>121</v>
      </c>
      <c r="T216" t="s">
        <v>122</v>
      </c>
      <c r="U216" t="s">
        <v>20</v>
      </c>
      <c r="W216" t="s">
        <v>22</v>
      </c>
    </row>
    <row r="217" spans="1:26" hidden="1" x14ac:dyDescent="0.25">
      <c r="A217">
        <f>COUNTIF($P$2:P217,P217)</f>
        <v>1</v>
      </c>
      <c r="B217">
        <f>COUNTIF($A$2:A217,1)</f>
        <v>14</v>
      </c>
      <c r="C217" t="str">
        <f t="shared" si="15"/>
        <v>FMS</v>
      </c>
      <c r="D217" t="str">
        <f t="shared" si="16"/>
        <v>FMSWeb Service</v>
      </c>
      <c r="E217">
        <f>COUNTIF($R$2:R217,R217)</f>
        <v>1</v>
      </c>
      <c r="F217">
        <f>COUNTIF($E$2:E217,1)</f>
        <v>17</v>
      </c>
      <c r="G217" t="str">
        <f t="shared" si="17"/>
        <v>fms.services.match</v>
      </c>
      <c r="H217" t="str">
        <f t="shared" si="18"/>
        <v>FMSfms.services.matchWeb Service</v>
      </c>
      <c r="I217" t="str">
        <f t="shared" si="19"/>
        <v/>
      </c>
      <c r="J217">
        <f>IF(I217="",0,COUNTIF($I$2:I217,I217))</f>
        <v>0</v>
      </c>
      <c r="K217">
        <f>COUNTIF($J$2:J217,1)</f>
        <v>33</v>
      </c>
      <c r="N217">
        <v>1</v>
      </c>
      <c r="O217" t="s">
        <v>81</v>
      </c>
      <c r="P217" t="s">
        <v>124</v>
      </c>
      <c r="Q217" t="s">
        <v>125</v>
      </c>
      <c r="R217" t="s">
        <v>126</v>
      </c>
      <c r="S217" t="s">
        <v>127</v>
      </c>
      <c r="T217" t="s">
        <v>128</v>
      </c>
      <c r="U217" t="s">
        <v>129</v>
      </c>
      <c r="W217" t="s">
        <v>22</v>
      </c>
    </row>
    <row r="218" spans="1:26" hidden="1" x14ac:dyDescent="0.25">
      <c r="A218">
        <f>COUNTIF($P$2:P218,P218)</f>
        <v>2</v>
      </c>
      <c r="B218">
        <f>COUNTIF($A$2:A218,1)</f>
        <v>14</v>
      </c>
      <c r="C218" t="str">
        <f t="shared" si="15"/>
        <v>FMS</v>
      </c>
      <c r="D218" t="str">
        <f t="shared" si="16"/>
        <v>FMSWeb Service</v>
      </c>
      <c r="E218">
        <f>COUNTIF($R$2:R218,R218)</f>
        <v>2</v>
      </c>
      <c r="F218">
        <f>COUNTIF($E$2:E218,1)</f>
        <v>17</v>
      </c>
      <c r="G218" t="str">
        <f t="shared" si="17"/>
        <v>fms.services.match</v>
      </c>
      <c r="H218" t="str">
        <f t="shared" si="18"/>
        <v>FMSfms.services.matchWeb Service</v>
      </c>
      <c r="I218" t="str">
        <f t="shared" si="19"/>
        <v/>
      </c>
      <c r="J218">
        <f>IF(I218="",0,COUNTIF($I$2:I218,I218))</f>
        <v>0</v>
      </c>
      <c r="K218">
        <f>COUNTIF($J$2:J218,1)</f>
        <v>33</v>
      </c>
      <c r="N218">
        <v>1</v>
      </c>
      <c r="O218" t="s">
        <v>81</v>
      </c>
      <c r="P218" t="s">
        <v>124</v>
      </c>
      <c r="Q218" t="s">
        <v>125</v>
      </c>
      <c r="R218" t="s">
        <v>126</v>
      </c>
      <c r="S218" t="s">
        <v>127</v>
      </c>
      <c r="T218" t="s">
        <v>128</v>
      </c>
      <c r="U218" t="s">
        <v>129</v>
      </c>
      <c r="W218" t="s">
        <v>21</v>
      </c>
    </row>
    <row r="219" spans="1:26" hidden="1" x14ac:dyDescent="0.25">
      <c r="A219">
        <f>COUNTIF($P$2:P219,P219)</f>
        <v>3</v>
      </c>
      <c r="B219">
        <f>COUNTIF($A$2:A219,1)</f>
        <v>14</v>
      </c>
      <c r="C219" t="str">
        <f t="shared" si="15"/>
        <v>FMS</v>
      </c>
      <c r="D219" t="str">
        <f t="shared" si="16"/>
        <v>FMSWeb Service</v>
      </c>
      <c r="E219">
        <f>COUNTIF($R$2:R219,R219)</f>
        <v>1</v>
      </c>
      <c r="F219">
        <f>COUNTIF($E$2:E219,1)</f>
        <v>18</v>
      </c>
      <c r="G219" t="str">
        <f t="shared" si="17"/>
        <v>fms.services.register</v>
      </c>
      <c r="H219" t="str">
        <f t="shared" si="18"/>
        <v>FMSfms.services.registerWeb Service</v>
      </c>
      <c r="I219" t="str">
        <f t="shared" si="19"/>
        <v/>
      </c>
      <c r="J219">
        <f>IF(I219="",0,COUNTIF($I$2:I219,I219))</f>
        <v>0</v>
      </c>
      <c r="K219">
        <f>COUNTIF($J$2:J219,1)</f>
        <v>33</v>
      </c>
      <c r="N219">
        <v>1</v>
      </c>
      <c r="O219" t="s">
        <v>81</v>
      </c>
      <c r="P219" t="s">
        <v>124</v>
      </c>
      <c r="Q219" t="s">
        <v>125</v>
      </c>
      <c r="R219" t="s">
        <v>130</v>
      </c>
      <c r="S219" t="s">
        <v>131</v>
      </c>
      <c r="T219" t="s">
        <v>132</v>
      </c>
      <c r="U219" t="s">
        <v>133</v>
      </c>
      <c r="W219" t="s">
        <v>21</v>
      </c>
    </row>
    <row r="220" spans="1:26" hidden="1" x14ac:dyDescent="0.25">
      <c r="A220">
        <f>COUNTIF($P$2:P220,P220)</f>
        <v>4</v>
      </c>
      <c r="B220">
        <f>COUNTIF($A$2:A220,1)</f>
        <v>14</v>
      </c>
      <c r="C220" t="str">
        <f t="shared" si="15"/>
        <v>FMS</v>
      </c>
      <c r="D220" t="str">
        <f t="shared" si="16"/>
        <v>FMSWeb Service</v>
      </c>
      <c r="E220">
        <f>COUNTIF($R$2:R220,R220)</f>
        <v>2</v>
      </c>
      <c r="F220">
        <f>COUNTIF($E$2:E220,1)</f>
        <v>18</v>
      </c>
      <c r="G220" t="str">
        <f t="shared" si="17"/>
        <v>fms.services.register</v>
      </c>
      <c r="H220" t="str">
        <f t="shared" si="18"/>
        <v>FMSfms.services.registerWeb Service</v>
      </c>
      <c r="I220" t="str">
        <f t="shared" si="19"/>
        <v/>
      </c>
      <c r="J220">
        <f>IF(I220="",0,COUNTIF($I$2:I220,I220))</f>
        <v>0</v>
      </c>
      <c r="K220">
        <f>COUNTIF($J$2:J220,1)</f>
        <v>33</v>
      </c>
      <c r="N220">
        <v>1</v>
      </c>
      <c r="O220" t="s">
        <v>81</v>
      </c>
      <c r="P220" t="s">
        <v>124</v>
      </c>
      <c r="Q220" t="s">
        <v>125</v>
      </c>
      <c r="R220" t="s">
        <v>130</v>
      </c>
      <c r="S220" t="s">
        <v>131</v>
      </c>
      <c r="T220" t="s">
        <v>132</v>
      </c>
      <c r="U220" t="s">
        <v>133</v>
      </c>
      <c r="W220" t="s">
        <v>22</v>
      </c>
    </row>
    <row r="221" spans="1:26" hidden="1" x14ac:dyDescent="0.25">
      <c r="A221">
        <f>COUNTIF($P$2:P221,P221)</f>
        <v>1</v>
      </c>
      <c r="B221">
        <f>COUNTIF($A$2:A221,1)</f>
        <v>15</v>
      </c>
      <c r="C221" t="str">
        <f t="shared" si="15"/>
        <v>FVS</v>
      </c>
      <c r="D221" t="str">
        <f t="shared" si="16"/>
        <v>FVSParent</v>
      </c>
      <c r="E221">
        <f>COUNTIF($R$2:R221,R221)</f>
        <v>1</v>
      </c>
      <c r="F221">
        <f>COUNTIF($E$2:E221,1)</f>
        <v>19</v>
      </c>
      <c r="G221" t="str">
        <f t="shared" si="17"/>
        <v>fvs.services.fvs</v>
      </c>
      <c r="H221" t="str">
        <f t="shared" si="18"/>
        <v>FVSfvs.services.fvsParent</v>
      </c>
      <c r="I221" t="str">
        <f t="shared" si="19"/>
        <v>FVSfvs.services.fvsfvs.track.request</v>
      </c>
      <c r="J221">
        <f>IF(I221="",0,COUNTIF($I$2:I221,I221))</f>
        <v>1</v>
      </c>
      <c r="K221">
        <f>COUNTIF($J$2:J221,1)</f>
        <v>34</v>
      </c>
      <c r="N221">
        <v>1</v>
      </c>
      <c r="O221" t="s">
        <v>15</v>
      </c>
      <c r="P221" t="s">
        <v>134</v>
      </c>
      <c r="Q221" t="s">
        <v>135</v>
      </c>
      <c r="R221" t="s">
        <v>136</v>
      </c>
      <c r="S221" t="s">
        <v>135</v>
      </c>
      <c r="T221" t="s">
        <v>135</v>
      </c>
      <c r="U221" t="s">
        <v>20</v>
      </c>
      <c r="V221" t="s">
        <v>137</v>
      </c>
      <c r="W221" t="s">
        <v>21</v>
      </c>
      <c r="X221" t="s">
        <v>21</v>
      </c>
      <c r="Y221" t="b">
        <v>1</v>
      </c>
      <c r="Z221">
        <v>4834</v>
      </c>
    </row>
    <row r="222" spans="1:26" hidden="1" x14ac:dyDescent="0.25">
      <c r="A222">
        <f>COUNTIF($P$2:P222,P222)</f>
        <v>2</v>
      </c>
      <c r="B222">
        <f>COUNTIF($A$2:A222,1)</f>
        <v>15</v>
      </c>
      <c r="C222" t="str">
        <f t="shared" si="15"/>
        <v>FVS</v>
      </c>
      <c r="D222" t="str">
        <f t="shared" si="16"/>
        <v>FVSDevice</v>
      </c>
      <c r="E222">
        <f>COUNTIF($R$2:R222,R222)</f>
        <v>2</v>
      </c>
      <c r="F222">
        <f>COUNTIF($E$2:E222,1)</f>
        <v>19</v>
      </c>
      <c r="G222" t="str">
        <f t="shared" si="17"/>
        <v>fvs.services.fvs</v>
      </c>
      <c r="H222" t="str">
        <f t="shared" si="18"/>
        <v>FVSfvs.services.fvsDevice</v>
      </c>
      <c r="I222" t="str">
        <f t="shared" si="19"/>
        <v>FVSfvs.services.fvsfvs.track.request</v>
      </c>
      <c r="J222">
        <f>IF(I222="",0,COUNTIF($I$2:I222,I222))</f>
        <v>2</v>
      </c>
      <c r="K222">
        <f>COUNTIF($J$2:J222,1)</f>
        <v>34</v>
      </c>
      <c r="N222">
        <v>51</v>
      </c>
      <c r="O222" t="s">
        <v>31</v>
      </c>
      <c r="P222" t="s">
        <v>134</v>
      </c>
      <c r="Q222" t="s">
        <v>135</v>
      </c>
      <c r="R222" t="s">
        <v>136</v>
      </c>
      <c r="S222" t="s">
        <v>135</v>
      </c>
      <c r="T222" t="s">
        <v>135</v>
      </c>
      <c r="U222" t="s">
        <v>20</v>
      </c>
      <c r="V222" t="s">
        <v>137</v>
      </c>
      <c r="W222" t="s">
        <v>21</v>
      </c>
      <c r="X222" t="s">
        <v>21</v>
      </c>
      <c r="Y222" t="b">
        <v>1</v>
      </c>
      <c r="Z222">
        <v>4834</v>
      </c>
    </row>
    <row r="223" spans="1:26" hidden="1" x14ac:dyDescent="0.25">
      <c r="A223">
        <f>COUNTIF($P$2:P223,P223)</f>
        <v>3</v>
      </c>
      <c r="B223">
        <f>COUNTIF($A$2:A223,1)</f>
        <v>15</v>
      </c>
      <c r="C223" t="str">
        <f t="shared" si="15"/>
        <v>FVS</v>
      </c>
      <c r="D223" t="str">
        <f t="shared" si="16"/>
        <v>FVSParent</v>
      </c>
      <c r="E223">
        <f>COUNTIF($R$2:R223,R223)</f>
        <v>3</v>
      </c>
      <c r="F223">
        <f>COUNTIF($E$2:E223,1)</f>
        <v>19</v>
      </c>
      <c r="G223" t="str">
        <f t="shared" si="17"/>
        <v>fvs.services.fvs</v>
      </c>
      <c r="H223" t="str">
        <f t="shared" si="18"/>
        <v>FVSfvs.services.fvsParent</v>
      </c>
      <c r="I223" t="str">
        <f t="shared" si="19"/>
        <v/>
      </c>
      <c r="J223">
        <f>IF(I223="",0,COUNTIF($I$2:I223,I223))</f>
        <v>0</v>
      </c>
      <c r="K223">
        <f>COUNTIF($J$2:J223,1)</f>
        <v>34</v>
      </c>
      <c r="N223">
        <v>2</v>
      </c>
      <c r="O223" t="s">
        <v>15</v>
      </c>
      <c r="P223" t="s">
        <v>134</v>
      </c>
      <c r="Q223" t="s">
        <v>135</v>
      </c>
      <c r="R223" t="s">
        <v>136</v>
      </c>
      <c r="S223" t="s">
        <v>135</v>
      </c>
      <c r="T223" t="s">
        <v>135</v>
      </c>
      <c r="U223" t="s">
        <v>20</v>
      </c>
      <c r="W223" t="s">
        <v>22</v>
      </c>
    </row>
    <row r="224" spans="1:26" hidden="1" x14ac:dyDescent="0.25">
      <c r="A224">
        <f>COUNTIF($P$2:P224,P224)</f>
        <v>4</v>
      </c>
      <c r="B224">
        <f>COUNTIF($A$2:A224,1)</f>
        <v>15</v>
      </c>
      <c r="C224" t="str">
        <f t="shared" si="15"/>
        <v>FVS</v>
      </c>
      <c r="D224" t="str">
        <f t="shared" si="16"/>
        <v>FVSParent</v>
      </c>
      <c r="E224">
        <f>COUNTIF($R$2:R224,R224)</f>
        <v>4</v>
      </c>
      <c r="F224">
        <f>COUNTIF($E$2:E224,1)</f>
        <v>19</v>
      </c>
      <c r="G224" t="str">
        <f t="shared" si="17"/>
        <v>fvs.services.fvs</v>
      </c>
      <c r="H224" t="str">
        <f t="shared" si="18"/>
        <v>FVSfvs.services.fvsParent</v>
      </c>
      <c r="I224" t="str">
        <f t="shared" si="19"/>
        <v/>
      </c>
      <c r="J224">
        <f>IF(I224="",0,COUNTIF($I$2:I224,I224))</f>
        <v>0</v>
      </c>
      <c r="K224">
        <f>COUNTIF($J$2:J224,1)</f>
        <v>34</v>
      </c>
      <c r="N224">
        <v>2</v>
      </c>
      <c r="O224" t="s">
        <v>15</v>
      </c>
      <c r="P224" t="s">
        <v>134</v>
      </c>
      <c r="Q224" t="s">
        <v>135</v>
      </c>
      <c r="R224" t="s">
        <v>136</v>
      </c>
      <c r="S224" t="s">
        <v>135</v>
      </c>
      <c r="T224" t="s">
        <v>135</v>
      </c>
      <c r="U224" t="s">
        <v>20</v>
      </c>
      <c r="W224" t="s">
        <v>21</v>
      </c>
    </row>
    <row r="225" spans="1:26" hidden="1" x14ac:dyDescent="0.25">
      <c r="A225">
        <f>COUNTIF($P$2:P225,P225)</f>
        <v>5</v>
      </c>
      <c r="B225">
        <f>COUNTIF($A$2:A225,1)</f>
        <v>15</v>
      </c>
      <c r="C225" t="str">
        <f t="shared" si="15"/>
        <v>FVS</v>
      </c>
      <c r="D225" t="str">
        <f t="shared" si="16"/>
        <v>FVSDevice</v>
      </c>
      <c r="E225">
        <f>COUNTIF($R$2:R225,R225)</f>
        <v>5</v>
      </c>
      <c r="F225">
        <f>COUNTIF($E$2:E225,1)</f>
        <v>19</v>
      </c>
      <c r="G225" t="str">
        <f t="shared" si="17"/>
        <v>fvs.services.fvs</v>
      </c>
      <c r="H225" t="str">
        <f t="shared" si="18"/>
        <v>FVSfvs.services.fvsDevice</v>
      </c>
      <c r="I225" t="str">
        <f t="shared" si="19"/>
        <v/>
      </c>
      <c r="J225">
        <f>IF(I225="",0,COUNTIF($I$2:I225,I225))</f>
        <v>0</v>
      </c>
      <c r="K225">
        <f>COUNTIF($J$2:J225,1)</f>
        <v>34</v>
      </c>
      <c r="N225">
        <v>5</v>
      </c>
      <c r="O225" t="s">
        <v>31</v>
      </c>
      <c r="P225" t="s">
        <v>134</v>
      </c>
      <c r="Q225" t="s">
        <v>135</v>
      </c>
      <c r="R225" t="s">
        <v>136</v>
      </c>
      <c r="S225" t="s">
        <v>135</v>
      </c>
      <c r="T225" t="s">
        <v>135</v>
      </c>
      <c r="U225" t="s">
        <v>20</v>
      </c>
      <c r="W225" t="s">
        <v>21</v>
      </c>
    </row>
    <row r="226" spans="1:26" hidden="1" x14ac:dyDescent="0.25">
      <c r="A226">
        <f>COUNTIF($P$2:P226,P226)</f>
        <v>6</v>
      </c>
      <c r="B226">
        <f>COUNTIF($A$2:A226,1)</f>
        <v>15</v>
      </c>
      <c r="C226" t="str">
        <f t="shared" si="15"/>
        <v>FVS</v>
      </c>
      <c r="D226" t="str">
        <f t="shared" si="16"/>
        <v>FVSPerson</v>
      </c>
      <c r="E226">
        <f>COUNTIF($R$2:R226,R226)</f>
        <v>6</v>
      </c>
      <c r="F226">
        <f>COUNTIF($E$2:E226,1)</f>
        <v>19</v>
      </c>
      <c r="G226" t="str">
        <f t="shared" si="17"/>
        <v>fvs.services.fvs</v>
      </c>
      <c r="H226" t="str">
        <f t="shared" si="18"/>
        <v>FVSfvs.services.fvsPerson</v>
      </c>
      <c r="I226" t="str">
        <f t="shared" si="19"/>
        <v/>
      </c>
      <c r="J226">
        <f>IF(I226="",0,COUNTIF($I$2:I226,I226))</f>
        <v>0</v>
      </c>
      <c r="K226">
        <f>COUNTIF($J$2:J226,1)</f>
        <v>34</v>
      </c>
      <c r="N226">
        <v>1</v>
      </c>
      <c r="O226" t="s">
        <v>24</v>
      </c>
      <c r="P226" t="s">
        <v>134</v>
      </c>
      <c r="Q226" t="s">
        <v>135</v>
      </c>
      <c r="R226" t="s">
        <v>136</v>
      </c>
      <c r="S226" t="s">
        <v>135</v>
      </c>
      <c r="T226" t="s">
        <v>135</v>
      </c>
      <c r="U226" t="s">
        <v>20</v>
      </c>
      <c r="W226" t="s">
        <v>21</v>
      </c>
    </row>
    <row r="227" spans="1:26" hidden="1" x14ac:dyDescent="0.25">
      <c r="A227">
        <f>COUNTIF($P$2:P227,P227)</f>
        <v>7</v>
      </c>
      <c r="B227">
        <f>COUNTIF($A$2:A227,1)</f>
        <v>15</v>
      </c>
      <c r="C227" t="str">
        <f t="shared" si="15"/>
        <v>FVS</v>
      </c>
      <c r="D227" t="str">
        <f t="shared" si="16"/>
        <v>FVSParent</v>
      </c>
      <c r="E227">
        <f>COUNTIF($R$2:R227,R227)</f>
        <v>7</v>
      </c>
      <c r="F227">
        <f>COUNTIF($E$2:E227,1)</f>
        <v>19</v>
      </c>
      <c r="G227" t="str">
        <f t="shared" si="17"/>
        <v>fvs.services.fvs</v>
      </c>
      <c r="H227" t="str">
        <f t="shared" si="18"/>
        <v>FVSfvs.services.fvsParent</v>
      </c>
      <c r="I227" t="str">
        <f t="shared" si="19"/>
        <v/>
      </c>
      <c r="J227">
        <f>IF(I227="",0,COUNTIF($I$2:I227,I227))</f>
        <v>0</v>
      </c>
      <c r="K227">
        <f>COUNTIF($J$2:J227,1)</f>
        <v>34</v>
      </c>
      <c r="N227">
        <v>1</v>
      </c>
      <c r="O227" t="s">
        <v>15</v>
      </c>
      <c r="P227" t="s">
        <v>134</v>
      </c>
      <c r="Q227" t="s">
        <v>135</v>
      </c>
      <c r="R227" t="s">
        <v>136</v>
      </c>
      <c r="S227" t="s">
        <v>135</v>
      </c>
      <c r="T227" t="s">
        <v>135</v>
      </c>
      <c r="U227" t="s">
        <v>20</v>
      </c>
      <c r="W227" t="s">
        <v>21</v>
      </c>
    </row>
    <row r="228" spans="1:26" hidden="1" x14ac:dyDescent="0.25">
      <c r="A228">
        <f>COUNTIF($P$2:P228,P228)</f>
        <v>8</v>
      </c>
      <c r="B228">
        <f>COUNTIF($A$2:A228,1)</f>
        <v>15</v>
      </c>
      <c r="C228" t="str">
        <f t="shared" si="15"/>
        <v>FVS</v>
      </c>
      <c r="D228" t="str">
        <f t="shared" si="16"/>
        <v>FVSIntegrator</v>
      </c>
      <c r="E228">
        <f>COUNTIF($R$2:R228,R228)</f>
        <v>8</v>
      </c>
      <c r="F228">
        <f>COUNTIF($E$2:E228,1)</f>
        <v>19</v>
      </c>
      <c r="G228" t="str">
        <f t="shared" si="17"/>
        <v>fvs.services.fvs</v>
      </c>
      <c r="H228" t="str">
        <f t="shared" si="18"/>
        <v>FVSfvs.services.fvsIntegrator</v>
      </c>
      <c r="I228" t="str">
        <f t="shared" si="19"/>
        <v/>
      </c>
      <c r="J228">
        <f>IF(I228="",0,COUNTIF($I$2:I228,I228))</f>
        <v>0</v>
      </c>
      <c r="K228">
        <f>COUNTIF($J$2:J228,1)</f>
        <v>34</v>
      </c>
      <c r="N228">
        <v>26</v>
      </c>
      <c r="O228" t="s">
        <v>23</v>
      </c>
      <c r="P228" t="s">
        <v>134</v>
      </c>
      <c r="Q228" t="s">
        <v>135</v>
      </c>
      <c r="R228" t="s">
        <v>136</v>
      </c>
      <c r="S228" t="s">
        <v>135</v>
      </c>
      <c r="T228" t="s">
        <v>135</v>
      </c>
      <c r="U228" t="s">
        <v>20</v>
      </c>
      <c r="W228" t="s">
        <v>21</v>
      </c>
    </row>
    <row r="229" spans="1:26" hidden="1" x14ac:dyDescent="0.25">
      <c r="A229">
        <f>COUNTIF($P$2:P229,P229)</f>
        <v>9</v>
      </c>
      <c r="B229">
        <f>COUNTIF($A$2:A229,1)</f>
        <v>15</v>
      </c>
      <c r="C229" t="str">
        <f t="shared" si="15"/>
        <v>FVS</v>
      </c>
      <c r="D229" t="str">
        <f t="shared" si="16"/>
        <v>FVSParent</v>
      </c>
      <c r="E229">
        <f>COUNTIF($R$2:R229,R229)</f>
        <v>9</v>
      </c>
      <c r="F229">
        <f>COUNTIF($E$2:E229,1)</f>
        <v>19</v>
      </c>
      <c r="G229" t="str">
        <f t="shared" si="17"/>
        <v>fvs.services.fvs</v>
      </c>
      <c r="H229" t="str">
        <f t="shared" si="18"/>
        <v>FVSfvs.services.fvsParent</v>
      </c>
      <c r="I229" t="str">
        <f t="shared" si="19"/>
        <v/>
      </c>
      <c r="J229">
        <f>IF(I229="",0,COUNTIF($I$2:I229,I229))</f>
        <v>0</v>
      </c>
      <c r="K229">
        <f>COUNTIF($J$2:J229,1)</f>
        <v>34</v>
      </c>
      <c r="N229">
        <v>26</v>
      </c>
      <c r="O229" t="s">
        <v>15</v>
      </c>
      <c r="P229" t="s">
        <v>134</v>
      </c>
      <c r="Q229" t="s">
        <v>135</v>
      </c>
      <c r="R229" t="s">
        <v>136</v>
      </c>
      <c r="S229" t="s">
        <v>135</v>
      </c>
      <c r="T229" t="s">
        <v>135</v>
      </c>
      <c r="U229" t="s">
        <v>20</v>
      </c>
      <c r="W229" t="s">
        <v>21</v>
      </c>
    </row>
    <row r="230" spans="1:26" hidden="1" x14ac:dyDescent="0.25">
      <c r="A230">
        <f>COUNTIF($P$2:P230,P230)</f>
        <v>10</v>
      </c>
      <c r="B230">
        <f>COUNTIF($A$2:A230,1)</f>
        <v>15</v>
      </c>
      <c r="C230" t="str">
        <f t="shared" si="15"/>
        <v>FVS</v>
      </c>
      <c r="D230" t="str">
        <f t="shared" si="16"/>
        <v>FVSDevice</v>
      </c>
      <c r="E230">
        <f>COUNTIF($R$2:R230,R230)</f>
        <v>10</v>
      </c>
      <c r="F230">
        <f>COUNTIF($E$2:E230,1)</f>
        <v>19</v>
      </c>
      <c r="G230" t="str">
        <f t="shared" si="17"/>
        <v>fvs.services.fvs</v>
      </c>
      <c r="H230" t="str">
        <f t="shared" si="18"/>
        <v>FVSfvs.services.fvsDevice</v>
      </c>
      <c r="I230" t="str">
        <f t="shared" si="19"/>
        <v/>
      </c>
      <c r="J230">
        <f>IF(I230="",0,COUNTIF($I$2:I230,I230))</f>
        <v>0</v>
      </c>
      <c r="K230">
        <f>COUNTIF($J$2:J230,1)</f>
        <v>34</v>
      </c>
      <c r="N230">
        <v>31</v>
      </c>
      <c r="O230" t="s">
        <v>31</v>
      </c>
      <c r="P230" t="s">
        <v>134</v>
      </c>
      <c r="Q230" t="s">
        <v>135</v>
      </c>
      <c r="R230" t="s">
        <v>136</v>
      </c>
      <c r="S230" t="s">
        <v>135</v>
      </c>
      <c r="T230" t="s">
        <v>135</v>
      </c>
      <c r="U230" t="s">
        <v>20</v>
      </c>
      <c r="W230" t="s">
        <v>22</v>
      </c>
    </row>
    <row r="231" spans="1:26" hidden="1" x14ac:dyDescent="0.25">
      <c r="A231">
        <f>COUNTIF($P$2:P231,P231)</f>
        <v>11</v>
      </c>
      <c r="B231">
        <f>COUNTIF($A$2:A231,1)</f>
        <v>15</v>
      </c>
      <c r="C231" t="str">
        <f t="shared" si="15"/>
        <v>FVS</v>
      </c>
      <c r="D231" t="str">
        <f t="shared" si="16"/>
        <v>FVSParent</v>
      </c>
      <c r="E231">
        <f>COUNTIF($R$2:R231,R231)</f>
        <v>11</v>
      </c>
      <c r="F231">
        <f>COUNTIF($E$2:E231,1)</f>
        <v>19</v>
      </c>
      <c r="G231" t="str">
        <f t="shared" si="17"/>
        <v>fvs.services.fvs</v>
      </c>
      <c r="H231" t="str">
        <f t="shared" si="18"/>
        <v>FVSfvs.services.fvsParent</v>
      </c>
      <c r="I231" t="str">
        <f t="shared" si="19"/>
        <v/>
      </c>
      <c r="J231">
        <f>IF(I231="",0,COUNTIF($I$2:I231,I231))</f>
        <v>0</v>
      </c>
      <c r="K231">
        <f>COUNTIF($J$2:J231,1)</f>
        <v>34</v>
      </c>
      <c r="N231">
        <v>19</v>
      </c>
      <c r="O231" t="s">
        <v>15</v>
      </c>
      <c r="P231" t="s">
        <v>134</v>
      </c>
      <c r="Q231" t="s">
        <v>135</v>
      </c>
      <c r="R231" t="s">
        <v>136</v>
      </c>
      <c r="S231" t="s">
        <v>135</v>
      </c>
      <c r="T231" t="s">
        <v>135</v>
      </c>
      <c r="U231" t="s">
        <v>20</v>
      </c>
      <c r="W231" t="s">
        <v>22</v>
      </c>
    </row>
    <row r="232" spans="1:26" hidden="1" x14ac:dyDescent="0.25">
      <c r="A232">
        <f>COUNTIF($P$2:P232,P232)</f>
        <v>12</v>
      </c>
      <c r="B232">
        <f>COUNTIF($A$2:A232,1)</f>
        <v>15</v>
      </c>
      <c r="C232" t="str">
        <f t="shared" si="15"/>
        <v>FVS</v>
      </c>
      <c r="D232" t="str">
        <f t="shared" si="16"/>
        <v>FVSIntegrator</v>
      </c>
      <c r="E232">
        <f>COUNTIF($R$2:R232,R232)</f>
        <v>12</v>
      </c>
      <c r="F232">
        <f>COUNTIF($E$2:E232,1)</f>
        <v>19</v>
      </c>
      <c r="G232" t="str">
        <f t="shared" si="17"/>
        <v>fvs.services.fvs</v>
      </c>
      <c r="H232" t="str">
        <f t="shared" si="18"/>
        <v>FVSfvs.services.fvsIntegrator</v>
      </c>
      <c r="I232" t="str">
        <f t="shared" si="19"/>
        <v/>
      </c>
      <c r="J232">
        <f>IF(I232="",0,COUNTIF($I$2:I232,I232))</f>
        <v>0</v>
      </c>
      <c r="K232">
        <f>COUNTIF($J$2:J232,1)</f>
        <v>34</v>
      </c>
      <c r="N232">
        <v>21</v>
      </c>
      <c r="O232" t="s">
        <v>23</v>
      </c>
      <c r="P232" t="s">
        <v>134</v>
      </c>
      <c r="Q232" t="s">
        <v>135</v>
      </c>
      <c r="R232" t="s">
        <v>136</v>
      </c>
      <c r="S232" t="s">
        <v>135</v>
      </c>
      <c r="T232" t="s">
        <v>135</v>
      </c>
      <c r="U232" t="s">
        <v>20</v>
      </c>
      <c r="W232" t="s">
        <v>22</v>
      </c>
    </row>
    <row r="233" spans="1:26" hidden="1" x14ac:dyDescent="0.25">
      <c r="A233">
        <f>COUNTIF($P$2:P233,P233)</f>
        <v>13</v>
      </c>
      <c r="B233">
        <f>COUNTIF($A$2:A233,1)</f>
        <v>15</v>
      </c>
      <c r="C233" t="str">
        <f t="shared" si="15"/>
        <v>FVS</v>
      </c>
      <c r="D233" t="str">
        <f t="shared" si="16"/>
        <v>FVSWeb Service</v>
      </c>
      <c r="E233">
        <f>COUNTIF($R$2:R233,R233)</f>
        <v>13</v>
      </c>
      <c r="F233">
        <f>COUNTIF($E$2:E233,1)</f>
        <v>19</v>
      </c>
      <c r="G233" t="str">
        <f t="shared" si="17"/>
        <v>fvs.services.fvs</v>
      </c>
      <c r="H233" t="str">
        <f t="shared" si="18"/>
        <v>FVSfvs.services.fvsWeb Service</v>
      </c>
      <c r="I233" t="str">
        <f t="shared" si="19"/>
        <v/>
      </c>
      <c r="J233">
        <f>IF(I233="",0,COUNTIF($I$2:I233,I233))</f>
        <v>0</v>
      </c>
      <c r="K233">
        <f>COUNTIF($J$2:J233,1)</f>
        <v>34</v>
      </c>
      <c r="N233">
        <v>1</v>
      </c>
      <c r="O233" t="s">
        <v>81</v>
      </c>
      <c r="P233" t="s">
        <v>134</v>
      </c>
      <c r="Q233" t="s">
        <v>135</v>
      </c>
      <c r="R233" t="s">
        <v>136</v>
      </c>
      <c r="S233" t="s">
        <v>135</v>
      </c>
      <c r="T233" t="s">
        <v>135</v>
      </c>
      <c r="U233" t="s">
        <v>20</v>
      </c>
      <c r="W233" t="s">
        <v>22</v>
      </c>
    </row>
    <row r="234" spans="1:26" hidden="1" x14ac:dyDescent="0.25">
      <c r="A234">
        <f>COUNTIF($P$2:P234,P234)</f>
        <v>14</v>
      </c>
      <c r="B234">
        <f>COUNTIF($A$2:A234,1)</f>
        <v>15</v>
      </c>
      <c r="C234" t="str">
        <f t="shared" si="15"/>
        <v>FVS</v>
      </c>
      <c r="D234" t="str">
        <f t="shared" si="16"/>
        <v>FVSWeb Service</v>
      </c>
      <c r="E234">
        <f>COUNTIF($R$2:R234,R234)</f>
        <v>14</v>
      </c>
      <c r="F234">
        <f>COUNTIF($E$2:E234,1)</f>
        <v>19</v>
      </c>
      <c r="G234" t="str">
        <f t="shared" si="17"/>
        <v>fvs.services.fvs</v>
      </c>
      <c r="H234" t="str">
        <f t="shared" si="18"/>
        <v>FVSfvs.services.fvsWeb Service</v>
      </c>
      <c r="I234" t="str">
        <f t="shared" si="19"/>
        <v/>
      </c>
      <c r="J234">
        <f>IF(I234="",0,COUNTIF($I$2:I234,I234))</f>
        <v>0</v>
      </c>
      <c r="K234">
        <f>COUNTIF($J$2:J234,1)</f>
        <v>34</v>
      </c>
      <c r="N234">
        <v>1</v>
      </c>
      <c r="O234" t="s">
        <v>81</v>
      </c>
      <c r="P234" t="s">
        <v>134</v>
      </c>
      <c r="Q234" t="s">
        <v>135</v>
      </c>
      <c r="R234" t="s">
        <v>136</v>
      </c>
      <c r="S234" t="s">
        <v>135</v>
      </c>
      <c r="T234" t="s">
        <v>135</v>
      </c>
      <c r="U234" t="s">
        <v>20</v>
      </c>
      <c r="W234" t="s">
        <v>21</v>
      </c>
    </row>
    <row r="235" spans="1:26" hidden="1" x14ac:dyDescent="0.25">
      <c r="A235">
        <f>COUNTIF($P$2:P235,P235)</f>
        <v>15</v>
      </c>
      <c r="B235">
        <f>COUNTIF($A$2:A235,1)</f>
        <v>15</v>
      </c>
      <c r="C235" t="str">
        <f t="shared" si="15"/>
        <v>FVS</v>
      </c>
      <c r="D235" t="str">
        <f t="shared" si="16"/>
        <v>FVSParent</v>
      </c>
      <c r="E235">
        <f>COUNTIF($R$2:R235,R235)</f>
        <v>1</v>
      </c>
      <c r="F235">
        <f>COUNTIF($E$2:E235,1)</f>
        <v>20</v>
      </c>
      <c r="G235" t="str">
        <f t="shared" si="17"/>
        <v>fvs.services.liveness</v>
      </c>
      <c r="H235" t="str">
        <f t="shared" si="18"/>
        <v>FVSfvs.services.livenessParent</v>
      </c>
      <c r="I235" t="str">
        <f t="shared" si="19"/>
        <v>FVSfvs.services.livenessfvs.liveness.logo</v>
      </c>
      <c r="J235">
        <f>IF(I235="",0,COUNTIF($I$2:I235,I235))</f>
        <v>1</v>
      </c>
      <c r="K235">
        <f>COUNTIF($J$2:J235,1)</f>
        <v>35</v>
      </c>
      <c r="N235">
        <v>1</v>
      </c>
      <c r="O235" t="s">
        <v>15</v>
      </c>
      <c r="P235" t="s">
        <v>134</v>
      </c>
      <c r="Q235" t="s">
        <v>135</v>
      </c>
      <c r="R235" t="s">
        <v>138</v>
      </c>
      <c r="S235" t="s">
        <v>139</v>
      </c>
      <c r="T235" t="s">
        <v>139</v>
      </c>
      <c r="U235" t="s">
        <v>140</v>
      </c>
      <c r="V235" t="s">
        <v>141</v>
      </c>
      <c r="W235" t="s">
        <v>22</v>
      </c>
      <c r="X235" t="s">
        <v>22</v>
      </c>
      <c r="Y235" t="s">
        <v>142</v>
      </c>
      <c r="Z235">
        <v>1192</v>
      </c>
    </row>
    <row r="236" spans="1:26" hidden="1" x14ac:dyDescent="0.25">
      <c r="A236">
        <f>COUNTIF($P$2:P236,P236)</f>
        <v>16</v>
      </c>
      <c r="B236">
        <f>COUNTIF($A$2:A236,1)</f>
        <v>15</v>
      </c>
      <c r="C236" t="str">
        <f t="shared" si="15"/>
        <v>FVS</v>
      </c>
      <c r="D236" t="str">
        <f t="shared" si="16"/>
        <v>FVSPerson</v>
      </c>
      <c r="E236">
        <f>COUNTIF($R$2:R236,R236)</f>
        <v>2</v>
      </c>
      <c r="F236">
        <f>COUNTIF($E$2:E236,1)</f>
        <v>20</v>
      </c>
      <c r="G236" t="str">
        <f t="shared" si="17"/>
        <v>fvs.services.liveness</v>
      </c>
      <c r="H236" t="str">
        <f t="shared" si="18"/>
        <v>FVSfvs.services.livenessPerson</v>
      </c>
      <c r="I236" t="str">
        <f t="shared" si="19"/>
        <v>FVSfvs.services.livenessfvs.liveness.logo</v>
      </c>
      <c r="J236">
        <f>IF(I236="",0,COUNTIF($I$2:I236,I236))</f>
        <v>2</v>
      </c>
      <c r="K236">
        <f>COUNTIF($J$2:J236,1)</f>
        <v>35</v>
      </c>
      <c r="N236">
        <v>1</v>
      </c>
      <c r="O236" t="s">
        <v>24</v>
      </c>
      <c r="P236" t="s">
        <v>134</v>
      </c>
      <c r="Q236" t="s">
        <v>135</v>
      </c>
      <c r="R236" t="s">
        <v>138</v>
      </c>
      <c r="S236" t="s">
        <v>139</v>
      </c>
      <c r="T236" t="s">
        <v>139</v>
      </c>
      <c r="U236" t="s">
        <v>140</v>
      </c>
      <c r="V236" t="s">
        <v>141</v>
      </c>
      <c r="W236" t="s">
        <v>22</v>
      </c>
      <c r="X236" t="s">
        <v>22</v>
      </c>
      <c r="Y236" t="s">
        <v>142</v>
      </c>
      <c r="Z236">
        <v>1192</v>
      </c>
    </row>
    <row r="237" spans="1:26" hidden="1" x14ac:dyDescent="0.25">
      <c r="A237">
        <f>COUNTIF($P$2:P237,P237)</f>
        <v>17</v>
      </c>
      <c r="B237">
        <f>COUNTIF($A$2:A237,1)</f>
        <v>15</v>
      </c>
      <c r="C237" t="str">
        <f t="shared" si="15"/>
        <v>FVS</v>
      </c>
      <c r="D237" t="str">
        <f t="shared" si="16"/>
        <v>FVSIntegrator</v>
      </c>
      <c r="E237">
        <f>COUNTIF($R$2:R237,R237)</f>
        <v>3</v>
      </c>
      <c r="F237">
        <f>COUNTIF($E$2:E237,1)</f>
        <v>20</v>
      </c>
      <c r="G237" t="str">
        <f t="shared" si="17"/>
        <v>fvs.services.liveness</v>
      </c>
      <c r="H237" t="str">
        <f t="shared" si="18"/>
        <v>FVSfvs.services.livenessIntegrator</v>
      </c>
      <c r="I237" t="str">
        <f t="shared" si="19"/>
        <v>FVSfvs.services.livenessfvs.liveness.logo</v>
      </c>
      <c r="J237">
        <f>IF(I237="",0,COUNTIF($I$2:I237,I237))</f>
        <v>3</v>
      </c>
      <c r="K237">
        <f>COUNTIF($J$2:J237,1)</f>
        <v>35</v>
      </c>
      <c r="N237">
        <v>1</v>
      </c>
      <c r="O237" t="s">
        <v>23</v>
      </c>
      <c r="P237" t="s">
        <v>134</v>
      </c>
      <c r="Q237" t="s">
        <v>135</v>
      </c>
      <c r="R237" t="s">
        <v>138</v>
      </c>
      <c r="S237" t="s">
        <v>139</v>
      </c>
      <c r="T237" t="s">
        <v>139</v>
      </c>
      <c r="U237" t="s">
        <v>140</v>
      </c>
      <c r="V237" t="s">
        <v>141</v>
      </c>
      <c r="W237" t="s">
        <v>22</v>
      </c>
      <c r="X237" t="s">
        <v>22</v>
      </c>
      <c r="Y237" t="s">
        <v>142</v>
      </c>
      <c r="Z237">
        <v>1192</v>
      </c>
    </row>
    <row r="238" spans="1:26" hidden="1" x14ac:dyDescent="0.25">
      <c r="A238">
        <f>COUNTIF($P$2:P238,P238)</f>
        <v>18</v>
      </c>
      <c r="B238">
        <f>COUNTIF($A$2:A238,1)</f>
        <v>15</v>
      </c>
      <c r="C238" t="str">
        <f t="shared" si="15"/>
        <v>FVS</v>
      </c>
      <c r="D238" t="str">
        <f t="shared" si="16"/>
        <v>FVSIntegrator</v>
      </c>
      <c r="E238">
        <f>COUNTIF($R$2:R238,R238)</f>
        <v>4</v>
      </c>
      <c r="F238">
        <f>COUNTIF($E$2:E238,1)</f>
        <v>20</v>
      </c>
      <c r="G238" t="str">
        <f t="shared" si="17"/>
        <v>fvs.services.liveness</v>
      </c>
      <c r="H238" t="str">
        <f t="shared" si="18"/>
        <v>FVSfvs.services.livenessIntegrator</v>
      </c>
      <c r="I238" t="str">
        <f t="shared" si="19"/>
        <v>FVSfvs.services.livenessfvs.liveness.redirect.url</v>
      </c>
      <c r="J238">
        <f>IF(I238="",0,COUNTIF($I$2:I238,I238))</f>
        <v>1</v>
      </c>
      <c r="K238">
        <f>COUNTIF($J$2:J238,1)</f>
        <v>36</v>
      </c>
      <c r="N238">
        <v>4</v>
      </c>
      <c r="O238" t="s">
        <v>23</v>
      </c>
      <c r="P238" t="s">
        <v>134</v>
      </c>
      <c r="Q238" t="s">
        <v>135</v>
      </c>
      <c r="R238" t="s">
        <v>138</v>
      </c>
      <c r="S238" t="s">
        <v>139</v>
      </c>
      <c r="T238" t="s">
        <v>139</v>
      </c>
      <c r="U238" t="s">
        <v>140</v>
      </c>
      <c r="V238" t="s">
        <v>143</v>
      </c>
      <c r="W238" t="s">
        <v>22</v>
      </c>
      <c r="X238" t="s">
        <v>22</v>
      </c>
      <c r="Y238" t="s">
        <v>65</v>
      </c>
      <c r="Z238">
        <v>1899</v>
      </c>
    </row>
    <row r="239" spans="1:26" hidden="1" x14ac:dyDescent="0.25">
      <c r="A239">
        <f>COUNTIF($P$2:P239,P239)</f>
        <v>19</v>
      </c>
      <c r="B239">
        <f>COUNTIF($A$2:A239,1)</f>
        <v>15</v>
      </c>
      <c r="C239" t="str">
        <f t="shared" si="15"/>
        <v>FVS</v>
      </c>
      <c r="D239" t="str">
        <f t="shared" si="16"/>
        <v>FVSParent</v>
      </c>
      <c r="E239">
        <f>COUNTIF($R$2:R239,R239)</f>
        <v>5</v>
      </c>
      <c r="F239">
        <f>COUNTIF($E$2:E239,1)</f>
        <v>20</v>
      </c>
      <c r="G239" t="str">
        <f t="shared" si="17"/>
        <v>fvs.services.liveness</v>
      </c>
      <c r="H239" t="str">
        <f t="shared" si="18"/>
        <v>FVSfvs.services.livenessParent</v>
      </c>
      <c r="I239" t="str">
        <f t="shared" si="19"/>
        <v>FVSfvs.services.livenessfvs.liveness.redirect.url</v>
      </c>
      <c r="J239">
        <f>IF(I239="",0,COUNTIF($I$2:I239,I239))</f>
        <v>2</v>
      </c>
      <c r="K239">
        <f>COUNTIF($J$2:J239,1)</f>
        <v>36</v>
      </c>
      <c r="N239">
        <v>13</v>
      </c>
      <c r="O239" t="s">
        <v>15</v>
      </c>
      <c r="P239" t="s">
        <v>134</v>
      </c>
      <c r="Q239" t="s">
        <v>135</v>
      </c>
      <c r="R239" t="s">
        <v>138</v>
      </c>
      <c r="S239" t="s">
        <v>139</v>
      </c>
      <c r="T239" t="s">
        <v>139</v>
      </c>
      <c r="U239" t="s">
        <v>140</v>
      </c>
      <c r="V239" t="s">
        <v>143</v>
      </c>
      <c r="W239" t="s">
        <v>22</v>
      </c>
      <c r="X239" t="s">
        <v>22</v>
      </c>
      <c r="Y239" t="s">
        <v>65</v>
      </c>
      <c r="Z239">
        <v>1899</v>
      </c>
    </row>
    <row r="240" spans="1:26" hidden="1" x14ac:dyDescent="0.25">
      <c r="A240">
        <f>COUNTIF($P$2:P240,P240)</f>
        <v>20</v>
      </c>
      <c r="B240">
        <f>COUNTIF($A$2:A240,1)</f>
        <v>15</v>
      </c>
      <c r="C240" t="str">
        <f t="shared" si="15"/>
        <v>FVS</v>
      </c>
      <c r="D240" t="str">
        <f t="shared" si="16"/>
        <v>FVSParent</v>
      </c>
      <c r="E240">
        <f>COUNTIF($R$2:R240,R240)</f>
        <v>6</v>
      </c>
      <c r="F240">
        <f>COUNTIF($E$2:E240,1)</f>
        <v>20</v>
      </c>
      <c r="G240" t="str">
        <f t="shared" si="17"/>
        <v>fvs.services.liveness</v>
      </c>
      <c r="H240" t="str">
        <f t="shared" si="18"/>
        <v>FVSfvs.services.livenessParent</v>
      </c>
      <c r="I240" t="str">
        <f t="shared" si="19"/>
        <v>FVSfvs.services.livenessfvs.liveness.redirect.url</v>
      </c>
      <c r="J240">
        <f>IF(I240="",0,COUNTIF($I$2:I240,I240))</f>
        <v>3</v>
      </c>
      <c r="K240">
        <f>COUNTIF($J$2:J240,1)</f>
        <v>36</v>
      </c>
      <c r="N240">
        <v>1</v>
      </c>
      <c r="O240" t="s">
        <v>15</v>
      </c>
      <c r="P240" t="s">
        <v>134</v>
      </c>
      <c r="Q240" t="s">
        <v>135</v>
      </c>
      <c r="R240" t="s">
        <v>138</v>
      </c>
      <c r="S240" t="s">
        <v>139</v>
      </c>
      <c r="T240" t="s">
        <v>139</v>
      </c>
      <c r="U240" t="s">
        <v>140</v>
      </c>
      <c r="V240" t="s">
        <v>143</v>
      </c>
      <c r="W240" t="s">
        <v>22</v>
      </c>
      <c r="X240" t="s">
        <v>22</v>
      </c>
      <c r="Y240" t="s">
        <v>65</v>
      </c>
      <c r="Z240">
        <v>1899</v>
      </c>
    </row>
    <row r="241" spans="1:26" hidden="1" x14ac:dyDescent="0.25">
      <c r="A241">
        <f>COUNTIF($P$2:P241,P241)</f>
        <v>21</v>
      </c>
      <c r="B241">
        <f>COUNTIF($A$2:A241,1)</f>
        <v>15</v>
      </c>
      <c r="C241" t="str">
        <f t="shared" si="15"/>
        <v>FVS</v>
      </c>
      <c r="D241" t="str">
        <f t="shared" si="16"/>
        <v>FVSPerson</v>
      </c>
      <c r="E241">
        <f>COUNTIF($R$2:R241,R241)</f>
        <v>7</v>
      </c>
      <c r="F241">
        <f>COUNTIF($E$2:E241,1)</f>
        <v>20</v>
      </c>
      <c r="G241" t="str">
        <f t="shared" si="17"/>
        <v>fvs.services.liveness</v>
      </c>
      <c r="H241" t="str">
        <f t="shared" si="18"/>
        <v>FVSfvs.services.livenessPerson</v>
      </c>
      <c r="I241" t="str">
        <f t="shared" si="19"/>
        <v>FVSfvs.services.livenessfvs.liveness.redirect.url</v>
      </c>
      <c r="J241">
        <f>IF(I241="",0,COUNTIF($I$2:I241,I241))</f>
        <v>4</v>
      </c>
      <c r="K241">
        <f>COUNTIF($J$2:J241,1)</f>
        <v>36</v>
      </c>
      <c r="N241">
        <v>1</v>
      </c>
      <c r="O241" t="s">
        <v>24</v>
      </c>
      <c r="P241" t="s">
        <v>134</v>
      </c>
      <c r="Q241" t="s">
        <v>135</v>
      </c>
      <c r="R241" t="s">
        <v>138</v>
      </c>
      <c r="S241" t="s">
        <v>139</v>
      </c>
      <c r="T241" t="s">
        <v>139</v>
      </c>
      <c r="U241" t="s">
        <v>140</v>
      </c>
      <c r="V241" t="s">
        <v>143</v>
      </c>
      <c r="W241" t="s">
        <v>22</v>
      </c>
      <c r="X241" t="s">
        <v>22</v>
      </c>
      <c r="Y241" t="s">
        <v>65</v>
      </c>
      <c r="Z241">
        <v>1899</v>
      </c>
    </row>
    <row r="242" spans="1:26" hidden="1" x14ac:dyDescent="0.25">
      <c r="A242">
        <f>COUNTIF($P$2:P242,P242)</f>
        <v>22</v>
      </c>
      <c r="B242">
        <f>COUNTIF($A$2:A242,1)</f>
        <v>15</v>
      </c>
      <c r="C242" t="str">
        <f t="shared" si="15"/>
        <v>FVS</v>
      </c>
      <c r="D242" t="str">
        <f t="shared" si="16"/>
        <v>FVSPerson</v>
      </c>
      <c r="E242">
        <f>COUNTIF($R$2:R242,R242)</f>
        <v>8</v>
      </c>
      <c r="F242">
        <f>COUNTIF($E$2:E242,1)</f>
        <v>20</v>
      </c>
      <c r="G242" t="str">
        <f t="shared" si="17"/>
        <v>fvs.services.liveness</v>
      </c>
      <c r="H242" t="str">
        <f t="shared" si="18"/>
        <v>FVSfvs.services.livenessPerson</v>
      </c>
      <c r="I242" t="str">
        <f t="shared" si="19"/>
        <v>FVSfvs.services.livenessfvs.liveness.sms.footer</v>
      </c>
      <c r="J242">
        <f>IF(I242="",0,COUNTIF($I$2:I242,I242))</f>
        <v>1</v>
      </c>
      <c r="K242">
        <f>COUNTIF($J$2:J242,1)</f>
        <v>37</v>
      </c>
      <c r="N242">
        <v>1</v>
      </c>
      <c r="O242" t="s">
        <v>24</v>
      </c>
      <c r="P242" t="s">
        <v>134</v>
      </c>
      <c r="Q242" t="s">
        <v>135</v>
      </c>
      <c r="R242" t="s">
        <v>138</v>
      </c>
      <c r="S242" t="s">
        <v>139</v>
      </c>
      <c r="T242" t="s">
        <v>139</v>
      </c>
      <c r="U242" t="s">
        <v>140</v>
      </c>
      <c r="V242" t="s">
        <v>144</v>
      </c>
      <c r="W242" t="s">
        <v>22</v>
      </c>
      <c r="X242" t="s">
        <v>22</v>
      </c>
      <c r="Y242" t="s">
        <v>145</v>
      </c>
      <c r="Z242">
        <v>1898</v>
      </c>
    </row>
    <row r="243" spans="1:26" hidden="1" x14ac:dyDescent="0.25">
      <c r="A243">
        <f>COUNTIF($P$2:P243,P243)</f>
        <v>23</v>
      </c>
      <c r="B243">
        <f>COUNTIF($A$2:A243,1)</f>
        <v>15</v>
      </c>
      <c r="C243" t="str">
        <f t="shared" si="15"/>
        <v>FVS</v>
      </c>
      <c r="D243" t="str">
        <f t="shared" si="16"/>
        <v>FVSParent</v>
      </c>
      <c r="E243">
        <f>COUNTIF($R$2:R243,R243)</f>
        <v>9</v>
      </c>
      <c r="F243">
        <f>COUNTIF($E$2:E243,1)</f>
        <v>20</v>
      </c>
      <c r="G243" t="str">
        <f t="shared" si="17"/>
        <v>fvs.services.liveness</v>
      </c>
      <c r="H243" t="str">
        <f t="shared" si="18"/>
        <v>FVSfvs.services.livenessParent</v>
      </c>
      <c r="I243" t="str">
        <f t="shared" si="19"/>
        <v>FVSfvs.services.livenessfvs.liveness.sms.footer</v>
      </c>
      <c r="J243">
        <f>IF(I243="",0,COUNTIF($I$2:I243,I243))</f>
        <v>2</v>
      </c>
      <c r="K243">
        <f>COUNTIF($J$2:J243,1)</f>
        <v>37</v>
      </c>
      <c r="N243">
        <v>13</v>
      </c>
      <c r="O243" t="s">
        <v>15</v>
      </c>
      <c r="P243" t="s">
        <v>134</v>
      </c>
      <c r="Q243" t="s">
        <v>135</v>
      </c>
      <c r="R243" t="s">
        <v>138</v>
      </c>
      <c r="S243" t="s">
        <v>139</v>
      </c>
      <c r="T243" t="s">
        <v>139</v>
      </c>
      <c r="U243" t="s">
        <v>140</v>
      </c>
      <c r="V243" t="s">
        <v>144</v>
      </c>
      <c r="W243" t="s">
        <v>22</v>
      </c>
      <c r="X243" t="s">
        <v>22</v>
      </c>
      <c r="Y243" t="s">
        <v>145</v>
      </c>
      <c r="Z243">
        <v>1898</v>
      </c>
    </row>
    <row r="244" spans="1:26" hidden="1" x14ac:dyDescent="0.25">
      <c r="A244">
        <f>COUNTIF($P$2:P244,P244)</f>
        <v>24</v>
      </c>
      <c r="B244">
        <f>COUNTIF($A$2:A244,1)</f>
        <v>15</v>
      </c>
      <c r="C244" t="str">
        <f t="shared" si="15"/>
        <v>FVS</v>
      </c>
      <c r="D244" t="str">
        <f t="shared" si="16"/>
        <v>FVSIntegrator</v>
      </c>
      <c r="E244">
        <f>COUNTIF($R$2:R244,R244)</f>
        <v>10</v>
      </c>
      <c r="F244">
        <f>COUNTIF($E$2:E244,1)</f>
        <v>20</v>
      </c>
      <c r="G244" t="str">
        <f t="shared" si="17"/>
        <v>fvs.services.liveness</v>
      </c>
      <c r="H244" t="str">
        <f t="shared" si="18"/>
        <v>FVSfvs.services.livenessIntegrator</v>
      </c>
      <c r="I244" t="str">
        <f t="shared" si="19"/>
        <v>FVSfvs.services.livenessfvs.liveness.sms.footer</v>
      </c>
      <c r="J244">
        <f>IF(I244="",0,COUNTIF($I$2:I244,I244))</f>
        <v>3</v>
      </c>
      <c r="K244">
        <f>COUNTIF($J$2:J244,1)</f>
        <v>37</v>
      </c>
      <c r="N244">
        <v>4</v>
      </c>
      <c r="O244" t="s">
        <v>23</v>
      </c>
      <c r="P244" t="s">
        <v>134</v>
      </c>
      <c r="Q244" t="s">
        <v>135</v>
      </c>
      <c r="R244" t="s">
        <v>138</v>
      </c>
      <c r="S244" t="s">
        <v>139</v>
      </c>
      <c r="T244" t="s">
        <v>139</v>
      </c>
      <c r="U244" t="s">
        <v>140</v>
      </c>
      <c r="V244" t="s">
        <v>144</v>
      </c>
      <c r="W244" t="s">
        <v>22</v>
      </c>
      <c r="X244" t="s">
        <v>22</v>
      </c>
      <c r="Y244" t="s">
        <v>145</v>
      </c>
      <c r="Z244">
        <v>1898</v>
      </c>
    </row>
    <row r="245" spans="1:26" hidden="1" x14ac:dyDescent="0.25">
      <c r="A245">
        <f>COUNTIF($P$2:P245,P245)</f>
        <v>25</v>
      </c>
      <c r="B245">
        <f>COUNTIF($A$2:A245,1)</f>
        <v>15</v>
      </c>
      <c r="C245" t="str">
        <f t="shared" si="15"/>
        <v>FVS</v>
      </c>
      <c r="D245" t="str">
        <f t="shared" si="16"/>
        <v>FVSParent</v>
      </c>
      <c r="E245">
        <f>COUNTIF($R$2:R245,R245)</f>
        <v>11</v>
      </c>
      <c r="F245">
        <f>COUNTIF($E$2:E245,1)</f>
        <v>20</v>
      </c>
      <c r="G245" t="str">
        <f t="shared" si="17"/>
        <v>fvs.services.liveness</v>
      </c>
      <c r="H245" t="str">
        <f t="shared" si="18"/>
        <v>FVSfvs.services.livenessParent</v>
      </c>
      <c r="I245" t="str">
        <f t="shared" si="19"/>
        <v>FVSfvs.services.livenessfvs.liveness.sms.footer</v>
      </c>
      <c r="J245">
        <f>IF(I245="",0,COUNTIF($I$2:I245,I245))</f>
        <v>4</v>
      </c>
      <c r="K245">
        <f>COUNTIF($J$2:J245,1)</f>
        <v>37</v>
      </c>
      <c r="N245">
        <v>1</v>
      </c>
      <c r="O245" t="s">
        <v>15</v>
      </c>
      <c r="P245" t="s">
        <v>134</v>
      </c>
      <c r="Q245" t="s">
        <v>135</v>
      </c>
      <c r="R245" t="s">
        <v>138</v>
      </c>
      <c r="S245" t="s">
        <v>139</v>
      </c>
      <c r="T245" t="s">
        <v>139</v>
      </c>
      <c r="U245" t="s">
        <v>140</v>
      </c>
      <c r="V245" t="s">
        <v>144</v>
      </c>
      <c r="W245" t="s">
        <v>22</v>
      </c>
      <c r="X245" t="s">
        <v>22</v>
      </c>
      <c r="Y245" t="s">
        <v>145</v>
      </c>
      <c r="Z245">
        <v>1898</v>
      </c>
    </row>
    <row r="246" spans="1:26" hidden="1" x14ac:dyDescent="0.25">
      <c r="A246">
        <f>COUNTIF($P$2:P246,P246)</f>
        <v>26</v>
      </c>
      <c r="B246">
        <f>COUNTIF($A$2:A246,1)</f>
        <v>15</v>
      </c>
      <c r="C246" t="str">
        <f t="shared" si="15"/>
        <v>FVS</v>
      </c>
      <c r="D246" t="str">
        <f t="shared" si="16"/>
        <v>FVSPerson</v>
      </c>
      <c r="E246">
        <f>COUNTIF($R$2:R246,R246)</f>
        <v>12</v>
      </c>
      <c r="F246">
        <f>COUNTIF($E$2:E246,1)</f>
        <v>20</v>
      </c>
      <c r="G246" t="str">
        <f t="shared" si="17"/>
        <v>fvs.services.liveness</v>
      </c>
      <c r="H246" t="str">
        <f t="shared" si="18"/>
        <v>FVSfvs.services.livenessPerson</v>
      </c>
      <c r="I246" t="str">
        <f t="shared" si="19"/>
        <v>FVSfvs.services.livenessfvs.liveness.sms.header</v>
      </c>
      <c r="J246">
        <f>IF(I246="",0,COUNTIF($I$2:I246,I246))</f>
        <v>1</v>
      </c>
      <c r="K246">
        <f>COUNTIF($J$2:J246,1)</f>
        <v>38</v>
      </c>
      <c r="N246">
        <v>1</v>
      </c>
      <c r="O246" t="s">
        <v>24</v>
      </c>
      <c r="P246" t="s">
        <v>134</v>
      </c>
      <c r="Q246" t="s">
        <v>135</v>
      </c>
      <c r="R246" t="s">
        <v>138</v>
      </c>
      <c r="S246" t="s">
        <v>139</v>
      </c>
      <c r="T246" t="s">
        <v>139</v>
      </c>
      <c r="U246" t="s">
        <v>140</v>
      </c>
      <c r="V246" t="s">
        <v>146</v>
      </c>
      <c r="W246" t="s">
        <v>22</v>
      </c>
      <c r="X246" t="s">
        <v>22</v>
      </c>
      <c r="Y246" t="s">
        <v>147</v>
      </c>
      <c r="Z246">
        <v>1897</v>
      </c>
    </row>
    <row r="247" spans="1:26" hidden="1" x14ac:dyDescent="0.25">
      <c r="A247">
        <f>COUNTIF($P$2:P247,P247)</f>
        <v>27</v>
      </c>
      <c r="B247">
        <f>COUNTIF($A$2:A247,1)</f>
        <v>15</v>
      </c>
      <c r="C247" t="str">
        <f t="shared" si="15"/>
        <v>FVS</v>
      </c>
      <c r="D247" t="str">
        <f t="shared" si="16"/>
        <v>FVSParent</v>
      </c>
      <c r="E247">
        <f>COUNTIF($R$2:R247,R247)</f>
        <v>13</v>
      </c>
      <c r="F247">
        <f>COUNTIF($E$2:E247,1)</f>
        <v>20</v>
      </c>
      <c r="G247" t="str">
        <f t="shared" si="17"/>
        <v>fvs.services.liveness</v>
      </c>
      <c r="H247" t="str">
        <f t="shared" si="18"/>
        <v>FVSfvs.services.livenessParent</v>
      </c>
      <c r="I247" t="str">
        <f t="shared" si="19"/>
        <v>FVSfvs.services.livenessfvs.liveness.sms.header</v>
      </c>
      <c r="J247">
        <f>IF(I247="",0,COUNTIF($I$2:I247,I247))</f>
        <v>2</v>
      </c>
      <c r="K247">
        <f>COUNTIF($J$2:J247,1)</f>
        <v>38</v>
      </c>
      <c r="N247">
        <v>13</v>
      </c>
      <c r="O247" t="s">
        <v>15</v>
      </c>
      <c r="P247" t="s">
        <v>134</v>
      </c>
      <c r="Q247" t="s">
        <v>135</v>
      </c>
      <c r="R247" t="s">
        <v>138</v>
      </c>
      <c r="S247" t="s">
        <v>139</v>
      </c>
      <c r="T247" t="s">
        <v>139</v>
      </c>
      <c r="U247" t="s">
        <v>140</v>
      </c>
      <c r="V247" t="s">
        <v>146</v>
      </c>
      <c r="W247" t="s">
        <v>22</v>
      </c>
      <c r="X247" t="s">
        <v>22</v>
      </c>
      <c r="Y247" t="s">
        <v>147</v>
      </c>
      <c r="Z247">
        <v>1897</v>
      </c>
    </row>
    <row r="248" spans="1:26" hidden="1" x14ac:dyDescent="0.25">
      <c r="A248">
        <f>COUNTIF($P$2:P248,P248)</f>
        <v>28</v>
      </c>
      <c r="B248">
        <f>COUNTIF($A$2:A248,1)</f>
        <v>15</v>
      </c>
      <c r="C248" t="str">
        <f t="shared" si="15"/>
        <v>FVS</v>
      </c>
      <c r="D248" t="str">
        <f t="shared" si="16"/>
        <v>FVSIntegrator</v>
      </c>
      <c r="E248">
        <f>COUNTIF($R$2:R248,R248)</f>
        <v>14</v>
      </c>
      <c r="F248">
        <f>COUNTIF($E$2:E248,1)</f>
        <v>20</v>
      </c>
      <c r="G248" t="str">
        <f t="shared" si="17"/>
        <v>fvs.services.liveness</v>
      </c>
      <c r="H248" t="str">
        <f t="shared" si="18"/>
        <v>FVSfvs.services.livenessIntegrator</v>
      </c>
      <c r="I248" t="str">
        <f t="shared" si="19"/>
        <v>FVSfvs.services.livenessfvs.liveness.sms.header</v>
      </c>
      <c r="J248">
        <f>IF(I248="",0,COUNTIF($I$2:I248,I248))</f>
        <v>3</v>
      </c>
      <c r="K248">
        <f>COUNTIF($J$2:J248,1)</f>
        <v>38</v>
      </c>
      <c r="N248">
        <v>4</v>
      </c>
      <c r="O248" t="s">
        <v>23</v>
      </c>
      <c r="P248" t="s">
        <v>134</v>
      </c>
      <c r="Q248" t="s">
        <v>135</v>
      </c>
      <c r="R248" t="s">
        <v>138</v>
      </c>
      <c r="S248" t="s">
        <v>139</v>
      </c>
      <c r="T248" t="s">
        <v>139</v>
      </c>
      <c r="U248" t="s">
        <v>140</v>
      </c>
      <c r="V248" t="s">
        <v>146</v>
      </c>
      <c r="W248" t="s">
        <v>22</v>
      </c>
      <c r="X248" t="s">
        <v>22</v>
      </c>
      <c r="Y248" t="s">
        <v>147</v>
      </c>
      <c r="Z248">
        <v>1897</v>
      </c>
    </row>
    <row r="249" spans="1:26" hidden="1" x14ac:dyDescent="0.25">
      <c r="A249">
        <f>COUNTIF($P$2:P249,P249)</f>
        <v>29</v>
      </c>
      <c r="B249">
        <f>COUNTIF($A$2:A249,1)</f>
        <v>15</v>
      </c>
      <c r="C249" t="str">
        <f t="shared" si="15"/>
        <v>FVS</v>
      </c>
      <c r="D249" t="str">
        <f t="shared" si="16"/>
        <v>FVSParent</v>
      </c>
      <c r="E249">
        <f>COUNTIF($R$2:R249,R249)</f>
        <v>15</v>
      </c>
      <c r="F249">
        <f>COUNTIF($E$2:E249,1)</f>
        <v>20</v>
      </c>
      <c r="G249" t="str">
        <f t="shared" si="17"/>
        <v>fvs.services.liveness</v>
      </c>
      <c r="H249" t="str">
        <f t="shared" si="18"/>
        <v>FVSfvs.services.livenessParent</v>
      </c>
      <c r="I249" t="str">
        <f t="shared" si="19"/>
        <v>FVSfvs.services.livenessfvs.liveness.sms.header</v>
      </c>
      <c r="J249">
        <f>IF(I249="",0,COUNTIF($I$2:I249,I249))</f>
        <v>4</v>
      </c>
      <c r="K249">
        <f>COUNTIF($J$2:J249,1)</f>
        <v>38</v>
      </c>
      <c r="N249">
        <v>1</v>
      </c>
      <c r="O249" t="s">
        <v>15</v>
      </c>
      <c r="P249" t="s">
        <v>134</v>
      </c>
      <c r="Q249" t="s">
        <v>135</v>
      </c>
      <c r="R249" t="s">
        <v>138</v>
      </c>
      <c r="S249" t="s">
        <v>139</v>
      </c>
      <c r="T249" t="s">
        <v>139</v>
      </c>
      <c r="U249" t="s">
        <v>140</v>
      </c>
      <c r="V249" t="s">
        <v>146</v>
      </c>
      <c r="W249" t="s">
        <v>22</v>
      </c>
      <c r="X249" t="s">
        <v>22</v>
      </c>
      <c r="Y249" t="s">
        <v>147</v>
      </c>
      <c r="Z249">
        <v>1897</v>
      </c>
    </row>
    <row r="250" spans="1:26" hidden="1" x14ac:dyDescent="0.25">
      <c r="A250">
        <f>COUNTIF($P$2:P250,P250)</f>
        <v>30</v>
      </c>
      <c r="B250">
        <f>COUNTIF($A$2:A250,1)</f>
        <v>15</v>
      </c>
      <c r="C250" t="str">
        <f t="shared" si="15"/>
        <v>FVS</v>
      </c>
      <c r="D250" t="str">
        <f t="shared" si="16"/>
        <v>FVSDevice</v>
      </c>
      <c r="E250">
        <f>COUNTIF($R$2:R250,R250)</f>
        <v>16</v>
      </c>
      <c r="F250">
        <f>COUNTIF($E$2:E250,1)</f>
        <v>20</v>
      </c>
      <c r="G250" t="str">
        <f t="shared" si="17"/>
        <v>fvs.services.liveness</v>
      </c>
      <c r="H250" t="str">
        <f t="shared" si="18"/>
        <v>FVSfvs.services.livenessDevice</v>
      </c>
      <c r="I250" t="str">
        <f t="shared" si="19"/>
        <v>FVSfvs.services.livenessfvs.track.request</v>
      </c>
      <c r="J250">
        <f>IF(I250="",0,COUNTIF($I$2:I250,I250))</f>
        <v>1</v>
      </c>
      <c r="K250">
        <f>COUNTIF($J$2:J250,1)</f>
        <v>39</v>
      </c>
      <c r="N250">
        <v>51</v>
      </c>
      <c r="O250" t="s">
        <v>31</v>
      </c>
      <c r="P250" t="s">
        <v>134</v>
      </c>
      <c r="Q250" t="s">
        <v>135</v>
      </c>
      <c r="R250" t="s">
        <v>138</v>
      </c>
      <c r="S250" t="s">
        <v>139</v>
      </c>
      <c r="T250" t="s">
        <v>139</v>
      </c>
      <c r="U250" t="s">
        <v>140</v>
      </c>
      <c r="V250" t="s">
        <v>137</v>
      </c>
      <c r="W250" t="s">
        <v>21</v>
      </c>
      <c r="X250" t="s">
        <v>21</v>
      </c>
      <c r="Y250" t="b">
        <v>1</v>
      </c>
      <c r="Z250">
        <v>4834</v>
      </c>
    </row>
    <row r="251" spans="1:26" hidden="1" x14ac:dyDescent="0.25">
      <c r="A251">
        <f>COUNTIF($P$2:P251,P251)</f>
        <v>31</v>
      </c>
      <c r="B251">
        <f>COUNTIF($A$2:A251,1)</f>
        <v>15</v>
      </c>
      <c r="C251" t="str">
        <f t="shared" si="15"/>
        <v>FVS</v>
      </c>
      <c r="D251" t="str">
        <f t="shared" si="16"/>
        <v>FVSParent</v>
      </c>
      <c r="E251">
        <f>COUNTIF($R$2:R251,R251)</f>
        <v>17</v>
      </c>
      <c r="F251">
        <f>COUNTIF($E$2:E251,1)</f>
        <v>20</v>
      </c>
      <c r="G251" t="str">
        <f t="shared" si="17"/>
        <v>fvs.services.liveness</v>
      </c>
      <c r="H251" t="str">
        <f t="shared" si="18"/>
        <v>FVSfvs.services.livenessParent</v>
      </c>
      <c r="I251" t="str">
        <f t="shared" si="19"/>
        <v>FVSfvs.services.livenessfvs.track.request</v>
      </c>
      <c r="J251">
        <f>IF(I251="",0,COUNTIF($I$2:I251,I251))</f>
        <v>2</v>
      </c>
      <c r="K251">
        <f>COUNTIF($J$2:J251,1)</f>
        <v>39</v>
      </c>
      <c r="N251">
        <v>1</v>
      </c>
      <c r="O251" t="s">
        <v>15</v>
      </c>
      <c r="P251" t="s">
        <v>134</v>
      </c>
      <c r="Q251" t="s">
        <v>135</v>
      </c>
      <c r="R251" t="s">
        <v>138</v>
      </c>
      <c r="S251" t="s">
        <v>139</v>
      </c>
      <c r="T251" t="s">
        <v>139</v>
      </c>
      <c r="U251" t="s">
        <v>140</v>
      </c>
      <c r="V251" t="s">
        <v>137</v>
      </c>
      <c r="W251" t="s">
        <v>21</v>
      </c>
      <c r="X251" t="s">
        <v>21</v>
      </c>
      <c r="Y251" t="b">
        <v>1</v>
      </c>
      <c r="Z251">
        <v>4834</v>
      </c>
    </row>
    <row r="252" spans="1:26" hidden="1" x14ac:dyDescent="0.25">
      <c r="A252">
        <f>COUNTIF($P$2:P252,P252)</f>
        <v>32</v>
      </c>
      <c r="B252">
        <f>COUNTIF($A$2:A252,1)</f>
        <v>15</v>
      </c>
      <c r="C252" t="str">
        <f t="shared" si="15"/>
        <v>FVS</v>
      </c>
      <c r="D252" t="str">
        <f t="shared" si="16"/>
        <v>FVSDevice</v>
      </c>
      <c r="E252">
        <f>COUNTIF($R$2:R252,R252)</f>
        <v>18</v>
      </c>
      <c r="F252">
        <f>COUNTIF($E$2:E252,1)</f>
        <v>20</v>
      </c>
      <c r="G252" t="str">
        <f t="shared" si="17"/>
        <v>fvs.services.liveness</v>
      </c>
      <c r="H252" t="str">
        <f t="shared" si="18"/>
        <v>FVSfvs.services.livenessDevice</v>
      </c>
      <c r="I252" t="str">
        <f t="shared" si="19"/>
        <v/>
      </c>
      <c r="J252">
        <f>IF(I252="",0,COUNTIF($I$2:I252,I252))</f>
        <v>0</v>
      </c>
      <c r="K252">
        <f>COUNTIF($J$2:J252,1)</f>
        <v>39</v>
      </c>
      <c r="N252">
        <v>5</v>
      </c>
      <c r="O252" t="s">
        <v>31</v>
      </c>
      <c r="P252" t="s">
        <v>134</v>
      </c>
      <c r="Q252" t="s">
        <v>135</v>
      </c>
      <c r="R252" t="s">
        <v>138</v>
      </c>
      <c r="S252" t="s">
        <v>139</v>
      </c>
      <c r="T252" t="s">
        <v>139</v>
      </c>
      <c r="U252" t="s">
        <v>140</v>
      </c>
      <c r="W252" t="s">
        <v>21</v>
      </c>
    </row>
    <row r="253" spans="1:26" hidden="1" x14ac:dyDescent="0.25">
      <c r="A253">
        <f>COUNTIF($P$2:P253,P253)</f>
        <v>33</v>
      </c>
      <c r="B253">
        <f>COUNTIF($A$2:A253,1)</f>
        <v>15</v>
      </c>
      <c r="C253" t="str">
        <f t="shared" si="15"/>
        <v>FVS</v>
      </c>
      <c r="D253" t="str">
        <f t="shared" si="16"/>
        <v>FVSWeb Service</v>
      </c>
      <c r="E253">
        <f>COUNTIF($R$2:R253,R253)</f>
        <v>19</v>
      </c>
      <c r="F253">
        <f>COUNTIF($E$2:E253,1)</f>
        <v>20</v>
      </c>
      <c r="G253" t="str">
        <f t="shared" si="17"/>
        <v>fvs.services.liveness</v>
      </c>
      <c r="H253" t="str">
        <f t="shared" si="18"/>
        <v>FVSfvs.services.livenessWeb Service</v>
      </c>
      <c r="I253" t="str">
        <f t="shared" si="19"/>
        <v/>
      </c>
      <c r="J253">
        <f>IF(I253="",0,COUNTIF($I$2:I253,I253))</f>
        <v>0</v>
      </c>
      <c r="K253">
        <f>COUNTIF($J$2:J253,1)</f>
        <v>39</v>
      </c>
      <c r="N253">
        <v>1</v>
      </c>
      <c r="O253" t="s">
        <v>81</v>
      </c>
      <c r="P253" t="s">
        <v>134</v>
      </c>
      <c r="Q253" t="s">
        <v>135</v>
      </c>
      <c r="R253" t="s">
        <v>138</v>
      </c>
      <c r="S253" t="s">
        <v>139</v>
      </c>
      <c r="T253" t="s">
        <v>139</v>
      </c>
      <c r="U253" t="s">
        <v>140</v>
      </c>
      <c r="W253" t="s">
        <v>21</v>
      </c>
    </row>
    <row r="254" spans="1:26" hidden="1" x14ac:dyDescent="0.25">
      <c r="A254">
        <f>COUNTIF($P$2:P254,P254)</f>
        <v>34</v>
      </c>
      <c r="B254">
        <f>COUNTIF($A$2:A254,1)</f>
        <v>15</v>
      </c>
      <c r="C254" t="str">
        <f t="shared" si="15"/>
        <v>FVS</v>
      </c>
      <c r="D254" t="str">
        <f t="shared" si="16"/>
        <v>FVSParent</v>
      </c>
      <c r="E254">
        <f>COUNTIF($R$2:R254,R254)</f>
        <v>20</v>
      </c>
      <c r="F254">
        <f>COUNTIF($E$2:E254,1)</f>
        <v>20</v>
      </c>
      <c r="G254" t="str">
        <f t="shared" si="17"/>
        <v>fvs.services.liveness</v>
      </c>
      <c r="H254" t="str">
        <f t="shared" si="18"/>
        <v>FVSfvs.services.livenessParent</v>
      </c>
      <c r="I254" t="str">
        <f t="shared" si="19"/>
        <v/>
      </c>
      <c r="J254">
        <f>IF(I254="",0,COUNTIF($I$2:I254,I254))</f>
        <v>0</v>
      </c>
      <c r="K254">
        <f>COUNTIF($J$2:J254,1)</f>
        <v>39</v>
      </c>
      <c r="N254">
        <v>2</v>
      </c>
      <c r="O254" t="s">
        <v>15</v>
      </c>
      <c r="P254" t="s">
        <v>134</v>
      </c>
      <c r="Q254" t="s">
        <v>135</v>
      </c>
      <c r="R254" t="s">
        <v>138</v>
      </c>
      <c r="S254" t="s">
        <v>139</v>
      </c>
      <c r="T254" t="s">
        <v>139</v>
      </c>
      <c r="U254" t="s">
        <v>140</v>
      </c>
      <c r="W254" t="s">
        <v>21</v>
      </c>
    </row>
    <row r="255" spans="1:26" hidden="1" x14ac:dyDescent="0.25">
      <c r="A255">
        <f>COUNTIF($P$2:P255,P255)</f>
        <v>35</v>
      </c>
      <c r="B255">
        <f>COUNTIF($A$2:A255,1)</f>
        <v>15</v>
      </c>
      <c r="C255" t="str">
        <f t="shared" si="15"/>
        <v>FVS</v>
      </c>
      <c r="D255" t="str">
        <f t="shared" si="16"/>
        <v>FVSPerson</v>
      </c>
      <c r="E255">
        <f>COUNTIF($R$2:R255,R255)</f>
        <v>21</v>
      </c>
      <c r="F255">
        <f>COUNTIF($E$2:E255,1)</f>
        <v>20</v>
      </c>
      <c r="G255" t="str">
        <f t="shared" si="17"/>
        <v>fvs.services.liveness</v>
      </c>
      <c r="H255" t="str">
        <f t="shared" si="18"/>
        <v>FVSfvs.services.livenessPerson</v>
      </c>
      <c r="I255" t="str">
        <f t="shared" si="19"/>
        <v/>
      </c>
      <c r="J255">
        <f>IF(I255="",0,COUNTIF($I$2:I255,I255))</f>
        <v>0</v>
      </c>
      <c r="K255">
        <f>COUNTIF($J$2:J255,1)</f>
        <v>39</v>
      </c>
      <c r="N255">
        <v>1</v>
      </c>
      <c r="O255" t="s">
        <v>24</v>
      </c>
      <c r="P255" t="s">
        <v>134</v>
      </c>
      <c r="Q255" t="s">
        <v>135</v>
      </c>
      <c r="R255" t="s">
        <v>138</v>
      </c>
      <c r="S255" t="s">
        <v>139</v>
      </c>
      <c r="T255" t="s">
        <v>139</v>
      </c>
      <c r="U255" t="s">
        <v>140</v>
      </c>
      <c r="W255" t="s">
        <v>21</v>
      </c>
    </row>
    <row r="256" spans="1:26" hidden="1" x14ac:dyDescent="0.25">
      <c r="A256">
        <f>COUNTIF($P$2:P256,P256)</f>
        <v>36</v>
      </c>
      <c r="B256">
        <f>COUNTIF($A$2:A256,1)</f>
        <v>15</v>
      </c>
      <c r="C256" t="str">
        <f t="shared" si="15"/>
        <v>FVS</v>
      </c>
      <c r="D256" t="str">
        <f t="shared" si="16"/>
        <v>FVSParent</v>
      </c>
      <c r="E256">
        <f>COUNTIF($R$2:R256,R256)</f>
        <v>22</v>
      </c>
      <c r="F256">
        <f>COUNTIF($E$2:E256,1)</f>
        <v>20</v>
      </c>
      <c r="G256" t="str">
        <f t="shared" si="17"/>
        <v>fvs.services.liveness</v>
      </c>
      <c r="H256" t="str">
        <f t="shared" si="18"/>
        <v>FVSfvs.services.livenessParent</v>
      </c>
      <c r="I256" t="str">
        <f t="shared" si="19"/>
        <v/>
      </c>
      <c r="J256">
        <f>IF(I256="",0,COUNTIF($I$2:I256,I256))</f>
        <v>0</v>
      </c>
      <c r="K256">
        <f>COUNTIF($J$2:J256,1)</f>
        <v>39</v>
      </c>
      <c r="N256">
        <v>1</v>
      </c>
      <c r="O256" t="s">
        <v>15</v>
      </c>
      <c r="P256" t="s">
        <v>134</v>
      </c>
      <c r="Q256" t="s">
        <v>135</v>
      </c>
      <c r="R256" t="s">
        <v>138</v>
      </c>
      <c r="S256" t="s">
        <v>139</v>
      </c>
      <c r="T256" t="s">
        <v>139</v>
      </c>
      <c r="U256" t="s">
        <v>140</v>
      </c>
      <c r="W256" t="s">
        <v>22</v>
      </c>
    </row>
    <row r="257" spans="1:26" hidden="1" x14ac:dyDescent="0.25">
      <c r="A257">
        <f>COUNTIF($P$2:P257,P257)</f>
        <v>37</v>
      </c>
      <c r="B257">
        <f>COUNTIF($A$2:A257,1)</f>
        <v>15</v>
      </c>
      <c r="C257" t="str">
        <f t="shared" si="15"/>
        <v>FVS</v>
      </c>
      <c r="D257" t="str">
        <f t="shared" si="16"/>
        <v>FVSDevice</v>
      </c>
      <c r="E257">
        <f>COUNTIF($R$2:R257,R257)</f>
        <v>23</v>
      </c>
      <c r="F257">
        <f>COUNTIF($E$2:E257,1)</f>
        <v>20</v>
      </c>
      <c r="G257" t="str">
        <f t="shared" si="17"/>
        <v>fvs.services.liveness</v>
      </c>
      <c r="H257" t="str">
        <f t="shared" si="18"/>
        <v>FVSfvs.services.livenessDevice</v>
      </c>
      <c r="I257" t="str">
        <f t="shared" si="19"/>
        <v/>
      </c>
      <c r="J257">
        <f>IF(I257="",0,COUNTIF($I$2:I257,I257))</f>
        <v>0</v>
      </c>
      <c r="K257">
        <f>COUNTIF($J$2:J257,1)</f>
        <v>39</v>
      </c>
      <c r="N257">
        <v>28</v>
      </c>
      <c r="O257" t="s">
        <v>31</v>
      </c>
      <c r="P257" t="s">
        <v>134</v>
      </c>
      <c r="Q257" t="s">
        <v>135</v>
      </c>
      <c r="R257" t="s">
        <v>138</v>
      </c>
      <c r="S257" t="s">
        <v>139</v>
      </c>
      <c r="T257" t="s">
        <v>139</v>
      </c>
      <c r="U257" t="s">
        <v>140</v>
      </c>
      <c r="W257" t="s">
        <v>22</v>
      </c>
    </row>
    <row r="258" spans="1:26" hidden="1" x14ac:dyDescent="0.25">
      <c r="A258">
        <f>COUNTIF($P$2:P258,P258)</f>
        <v>38</v>
      </c>
      <c r="B258">
        <f>COUNTIF($A$2:A258,1)</f>
        <v>15</v>
      </c>
      <c r="C258" t="str">
        <f t="shared" si="15"/>
        <v>FVS</v>
      </c>
      <c r="D258" t="str">
        <f t="shared" si="16"/>
        <v>FVSIntegrator</v>
      </c>
      <c r="E258">
        <f>COUNTIF($R$2:R258,R258)</f>
        <v>24</v>
      </c>
      <c r="F258">
        <f>COUNTIF($E$2:E258,1)</f>
        <v>20</v>
      </c>
      <c r="G258" t="str">
        <f t="shared" si="17"/>
        <v>fvs.services.liveness</v>
      </c>
      <c r="H258" t="str">
        <f t="shared" si="18"/>
        <v>FVSfvs.services.livenessIntegrator</v>
      </c>
      <c r="I258" t="str">
        <f t="shared" si="19"/>
        <v/>
      </c>
      <c r="J258">
        <f>IF(I258="",0,COUNTIF($I$2:I258,I258))</f>
        <v>0</v>
      </c>
      <c r="K258">
        <f>COUNTIF($J$2:J258,1)</f>
        <v>39</v>
      </c>
      <c r="N258">
        <v>18</v>
      </c>
      <c r="O258" t="s">
        <v>23</v>
      </c>
      <c r="P258" t="s">
        <v>134</v>
      </c>
      <c r="Q258" t="s">
        <v>135</v>
      </c>
      <c r="R258" t="s">
        <v>138</v>
      </c>
      <c r="S258" t="s">
        <v>139</v>
      </c>
      <c r="T258" t="s">
        <v>139</v>
      </c>
      <c r="U258" t="s">
        <v>140</v>
      </c>
      <c r="W258" t="s">
        <v>22</v>
      </c>
    </row>
    <row r="259" spans="1:26" hidden="1" x14ac:dyDescent="0.25">
      <c r="A259">
        <f>COUNTIF($P$2:P259,P259)</f>
        <v>39</v>
      </c>
      <c r="B259">
        <f>COUNTIF($A$2:A259,1)</f>
        <v>15</v>
      </c>
      <c r="C259" t="str">
        <f t="shared" ref="C259:C322" si="20">IF(A259=1,P259,C258)</f>
        <v>FVS</v>
      </c>
      <c r="D259" t="str">
        <f t="shared" ref="D259:D322" si="21">C259&amp;O259</f>
        <v>FVSParent</v>
      </c>
      <c r="E259">
        <f>COUNTIF($R$2:R259,R259)</f>
        <v>25</v>
      </c>
      <c r="F259">
        <f>COUNTIF($E$2:E259,1)</f>
        <v>20</v>
      </c>
      <c r="G259" t="str">
        <f t="shared" ref="G259:G322" si="22">IF(E259=1,R259,G258)</f>
        <v>fvs.services.liveness</v>
      </c>
      <c r="H259" t="str">
        <f t="shared" ref="H259:H322" si="23">C259&amp;G259&amp;O259</f>
        <v>FVSfvs.services.livenessParent</v>
      </c>
      <c r="I259" t="str">
        <f t="shared" ref="I259:I322" si="24">IF(V259="","",P259&amp;R259&amp;V259)</f>
        <v/>
      </c>
      <c r="J259">
        <f>IF(I259="",0,COUNTIF($I$2:I259,I259))</f>
        <v>0</v>
      </c>
      <c r="K259">
        <f>COUNTIF($J$2:J259,1)</f>
        <v>39</v>
      </c>
      <c r="N259">
        <v>11</v>
      </c>
      <c r="O259" t="s">
        <v>15</v>
      </c>
      <c r="P259" t="s">
        <v>134</v>
      </c>
      <c r="Q259" t="s">
        <v>135</v>
      </c>
      <c r="R259" t="s">
        <v>138</v>
      </c>
      <c r="S259" t="s">
        <v>139</v>
      </c>
      <c r="T259" t="s">
        <v>139</v>
      </c>
      <c r="U259" t="s">
        <v>140</v>
      </c>
      <c r="W259" t="s">
        <v>22</v>
      </c>
    </row>
    <row r="260" spans="1:26" hidden="1" x14ac:dyDescent="0.25">
      <c r="A260">
        <f>COUNTIF($P$2:P260,P260)</f>
        <v>40</v>
      </c>
      <c r="B260">
        <f>COUNTIF($A$2:A260,1)</f>
        <v>15</v>
      </c>
      <c r="C260" t="str">
        <f t="shared" si="20"/>
        <v>FVS</v>
      </c>
      <c r="D260" t="str">
        <f t="shared" si="21"/>
        <v>FVSParent</v>
      </c>
      <c r="E260">
        <f>COUNTIF($R$2:R260,R260)</f>
        <v>26</v>
      </c>
      <c r="F260">
        <f>COUNTIF($E$2:E260,1)</f>
        <v>20</v>
      </c>
      <c r="G260" t="str">
        <f t="shared" si="22"/>
        <v>fvs.services.liveness</v>
      </c>
      <c r="H260" t="str">
        <f t="shared" si="23"/>
        <v>FVSfvs.services.livenessParent</v>
      </c>
      <c r="I260" t="str">
        <f t="shared" si="24"/>
        <v/>
      </c>
      <c r="J260">
        <f>IF(I260="",0,COUNTIF($I$2:I260,I260))</f>
        <v>0</v>
      </c>
      <c r="K260">
        <f>COUNTIF($J$2:J260,1)</f>
        <v>39</v>
      </c>
      <c r="N260">
        <v>1</v>
      </c>
      <c r="O260" t="s">
        <v>15</v>
      </c>
      <c r="P260" t="s">
        <v>134</v>
      </c>
      <c r="Q260" t="s">
        <v>135</v>
      </c>
      <c r="R260" t="s">
        <v>138</v>
      </c>
      <c r="S260" t="s">
        <v>139</v>
      </c>
      <c r="T260" t="s">
        <v>139</v>
      </c>
      <c r="U260" t="s">
        <v>140</v>
      </c>
      <c r="W260" t="s">
        <v>21</v>
      </c>
    </row>
    <row r="261" spans="1:26" hidden="1" x14ac:dyDescent="0.25">
      <c r="A261">
        <f>COUNTIF($P$2:P261,P261)</f>
        <v>41</v>
      </c>
      <c r="B261">
        <f>COUNTIF($A$2:A261,1)</f>
        <v>15</v>
      </c>
      <c r="C261" t="str">
        <f t="shared" si="20"/>
        <v>FVS</v>
      </c>
      <c r="D261" t="str">
        <f t="shared" si="21"/>
        <v>FVSIntegrator</v>
      </c>
      <c r="E261">
        <f>COUNTIF($R$2:R261,R261)</f>
        <v>27</v>
      </c>
      <c r="F261">
        <f>COUNTIF($E$2:E261,1)</f>
        <v>20</v>
      </c>
      <c r="G261" t="str">
        <f t="shared" si="22"/>
        <v>fvs.services.liveness</v>
      </c>
      <c r="H261" t="str">
        <f t="shared" si="23"/>
        <v>FVSfvs.services.livenessIntegrator</v>
      </c>
      <c r="I261" t="str">
        <f t="shared" si="24"/>
        <v/>
      </c>
      <c r="J261">
        <f>IF(I261="",0,COUNTIF($I$2:I261,I261))</f>
        <v>0</v>
      </c>
      <c r="K261">
        <f>COUNTIF($J$2:J261,1)</f>
        <v>39</v>
      </c>
      <c r="N261">
        <v>26</v>
      </c>
      <c r="O261" t="s">
        <v>23</v>
      </c>
      <c r="P261" t="s">
        <v>134</v>
      </c>
      <c r="Q261" t="s">
        <v>135</v>
      </c>
      <c r="R261" t="s">
        <v>138</v>
      </c>
      <c r="S261" t="s">
        <v>139</v>
      </c>
      <c r="T261" t="s">
        <v>139</v>
      </c>
      <c r="U261" t="s">
        <v>140</v>
      </c>
      <c r="W261" t="s">
        <v>21</v>
      </c>
    </row>
    <row r="262" spans="1:26" hidden="1" x14ac:dyDescent="0.25">
      <c r="A262">
        <f>COUNTIF($P$2:P262,P262)</f>
        <v>42</v>
      </c>
      <c r="B262">
        <f>COUNTIF($A$2:A262,1)</f>
        <v>15</v>
      </c>
      <c r="C262" t="str">
        <f t="shared" si="20"/>
        <v>FVS</v>
      </c>
      <c r="D262" t="str">
        <f t="shared" si="21"/>
        <v>FVSParent</v>
      </c>
      <c r="E262">
        <f>COUNTIF($R$2:R262,R262)</f>
        <v>28</v>
      </c>
      <c r="F262">
        <f>COUNTIF($E$2:E262,1)</f>
        <v>20</v>
      </c>
      <c r="G262" t="str">
        <f t="shared" si="22"/>
        <v>fvs.services.liveness</v>
      </c>
      <c r="H262" t="str">
        <f t="shared" si="23"/>
        <v>FVSfvs.services.livenessParent</v>
      </c>
      <c r="I262" t="str">
        <f t="shared" si="24"/>
        <v/>
      </c>
      <c r="J262">
        <f>IF(I262="",0,COUNTIF($I$2:I262,I262))</f>
        <v>0</v>
      </c>
      <c r="K262">
        <f>COUNTIF($J$2:J262,1)</f>
        <v>39</v>
      </c>
      <c r="N262">
        <v>26</v>
      </c>
      <c r="O262" t="s">
        <v>15</v>
      </c>
      <c r="P262" t="s">
        <v>134</v>
      </c>
      <c r="Q262" t="s">
        <v>135</v>
      </c>
      <c r="R262" t="s">
        <v>138</v>
      </c>
      <c r="S262" t="s">
        <v>139</v>
      </c>
      <c r="T262" t="s">
        <v>139</v>
      </c>
      <c r="U262" t="s">
        <v>140</v>
      </c>
      <c r="W262" t="s">
        <v>21</v>
      </c>
    </row>
    <row r="263" spans="1:26" hidden="1" x14ac:dyDescent="0.25">
      <c r="A263">
        <f>COUNTIF($P$2:P263,P263)</f>
        <v>1</v>
      </c>
      <c r="B263">
        <f>COUNTIF($A$2:A263,1)</f>
        <v>16</v>
      </c>
      <c r="C263" t="str">
        <f t="shared" si="20"/>
        <v>IVS</v>
      </c>
      <c r="D263" t="str">
        <f t="shared" si="21"/>
        <v>IVSParent</v>
      </c>
      <c r="E263">
        <f>COUNTIF($R$2:R263,R263)</f>
        <v>1</v>
      </c>
      <c r="F263">
        <f>COUNTIF($E$2:E263,1)</f>
        <v>21</v>
      </c>
      <c r="G263" t="str">
        <f t="shared" si="22"/>
        <v>ivs.services.bvs</v>
      </c>
      <c r="H263" t="str">
        <f t="shared" si="23"/>
        <v>IVSivs.services.bvsParent</v>
      </c>
      <c r="I263" t="str">
        <f t="shared" si="24"/>
        <v>IVSivs.services.bvsavs.track.request</v>
      </c>
      <c r="J263">
        <f>IF(I263="",0,COUNTIF($I$2:I263,I263))</f>
        <v>1</v>
      </c>
      <c r="K263">
        <f>COUNTIF($J$2:J263,1)</f>
        <v>40</v>
      </c>
      <c r="N263">
        <v>1</v>
      </c>
      <c r="O263" t="s">
        <v>15</v>
      </c>
      <c r="P263" t="s">
        <v>148</v>
      </c>
      <c r="Q263" t="s">
        <v>149</v>
      </c>
      <c r="R263" t="s">
        <v>150</v>
      </c>
      <c r="S263" t="s">
        <v>151</v>
      </c>
      <c r="T263" t="s">
        <v>128</v>
      </c>
      <c r="U263" t="s">
        <v>152</v>
      </c>
      <c r="V263" t="s">
        <v>32</v>
      </c>
      <c r="W263" t="s">
        <v>21</v>
      </c>
      <c r="X263" t="s">
        <v>21</v>
      </c>
      <c r="Y263" t="b">
        <v>1</v>
      </c>
      <c r="Z263">
        <v>665</v>
      </c>
    </row>
    <row r="264" spans="1:26" hidden="1" x14ac:dyDescent="0.25">
      <c r="A264">
        <f>COUNTIF($P$2:P264,P264)</f>
        <v>2</v>
      </c>
      <c r="B264">
        <f>COUNTIF($A$2:A264,1)</f>
        <v>16</v>
      </c>
      <c r="C264" t="str">
        <f t="shared" si="20"/>
        <v>IVS</v>
      </c>
      <c r="D264" t="str">
        <f t="shared" si="21"/>
        <v>IVSDevice</v>
      </c>
      <c r="E264">
        <f>COUNTIF($R$2:R264,R264)</f>
        <v>2</v>
      </c>
      <c r="F264">
        <f>COUNTIF($E$2:E264,1)</f>
        <v>21</v>
      </c>
      <c r="G264" t="str">
        <f t="shared" si="22"/>
        <v>ivs.services.bvs</v>
      </c>
      <c r="H264" t="str">
        <f t="shared" si="23"/>
        <v>IVSivs.services.bvsDevice</v>
      </c>
      <c r="I264" t="str">
        <f t="shared" si="24"/>
        <v>IVSivs.services.bvsivs.track.request</v>
      </c>
      <c r="J264">
        <f>IF(I264="",0,COUNTIF($I$2:I264,I264))</f>
        <v>1</v>
      </c>
      <c r="K264">
        <f>COUNTIF($J$2:J264,1)</f>
        <v>41</v>
      </c>
      <c r="N264">
        <v>41</v>
      </c>
      <c r="O264" t="s">
        <v>31</v>
      </c>
      <c r="P264" t="s">
        <v>148</v>
      </c>
      <c r="Q264" t="s">
        <v>149</v>
      </c>
      <c r="R264" t="s">
        <v>150</v>
      </c>
      <c r="S264" t="s">
        <v>151</v>
      </c>
      <c r="T264" t="s">
        <v>128</v>
      </c>
      <c r="U264" t="s">
        <v>152</v>
      </c>
      <c r="V264" t="s">
        <v>33</v>
      </c>
      <c r="W264" t="s">
        <v>21</v>
      </c>
      <c r="X264" t="s">
        <v>21</v>
      </c>
      <c r="Y264" t="b">
        <v>1</v>
      </c>
      <c r="Z264">
        <v>4829</v>
      </c>
    </row>
    <row r="265" spans="1:26" hidden="1" x14ac:dyDescent="0.25">
      <c r="A265">
        <f>COUNTIF($P$2:P265,P265)</f>
        <v>3</v>
      </c>
      <c r="B265">
        <f>COUNTIF($A$2:A265,1)</f>
        <v>16</v>
      </c>
      <c r="C265" t="str">
        <f t="shared" si="20"/>
        <v>IVS</v>
      </c>
      <c r="D265" t="str">
        <f t="shared" si="21"/>
        <v>IVSIntegrator</v>
      </c>
      <c r="E265">
        <f>COUNTIF($R$2:R265,R265)</f>
        <v>3</v>
      </c>
      <c r="F265">
        <f>COUNTIF($E$2:E265,1)</f>
        <v>21</v>
      </c>
      <c r="G265" t="str">
        <f t="shared" si="22"/>
        <v>ivs.services.bvs</v>
      </c>
      <c r="H265" t="str">
        <f t="shared" si="23"/>
        <v>IVSivs.services.bvsIntegrator</v>
      </c>
      <c r="I265" t="str">
        <f t="shared" si="24"/>
        <v>IVSivs.services.bvsivs.track.request</v>
      </c>
      <c r="J265">
        <f>IF(I265="",0,COUNTIF($I$2:I265,I265))</f>
        <v>2</v>
      </c>
      <c r="K265">
        <f>COUNTIF($J$2:J265,1)</f>
        <v>41</v>
      </c>
      <c r="N265">
        <v>2</v>
      </c>
      <c r="O265" t="s">
        <v>23</v>
      </c>
      <c r="P265" t="s">
        <v>148</v>
      </c>
      <c r="Q265" t="s">
        <v>149</v>
      </c>
      <c r="R265" t="s">
        <v>150</v>
      </c>
      <c r="S265" t="s">
        <v>151</v>
      </c>
      <c r="T265" t="s">
        <v>128</v>
      </c>
      <c r="U265" t="s">
        <v>152</v>
      </c>
      <c r="V265" t="s">
        <v>33</v>
      </c>
      <c r="W265" t="s">
        <v>21</v>
      </c>
      <c r="X265" t="s">
        <v>21</v>
      </c>
      <c r="Y265" t="b">
        <v>1</v>
      </c>
      <c r="Z265">
        <v>4829</v>
      </c>
    </row>
    <row r="266" spans="1:26" hidden="1" x14ac:dyDescent="0.25">
      <c r="A266">
        <f>COUNTIF($P$2:P266,P266)</f>
        <v>4</v>
      </c>
      <c r="B266">
        <f>COUNTIF($A$2:A266,1)</f>
        <v>16</v>
      </c>
      <c r="C266" t="str">
        <f t="shared" si="20"/>
        <v>IVS</v>
      </c>
      <c r="D266" t="str">
        <f t="shared" si="21"/>
        <v>IVSParent</v>
      </c>
      <c r="E266">
        <f>COUNTIF($R$2:R266,R266)</f>
        <v>4</v>
      </c>
      <c r="F266">
        <f>COUNTIF($E$2:E266,1)</f>
        <v>21</v>
      </c>
      <c r="G266" t="str">
        <f t="shared" si="22"/>
        <v>ivs.services.bvs</v>
      </c>
      <c r="H266" t="str">
        <f t="shared" si="23"/>
        <v>IVSivs.services.bvsParent</v>
      </c>
      <c r="I266" t="str">
        <f t="shared" si="24"/>
        <v>IVSivs.services.bvsivs.track.request</v>
      </c>
      <c r="J266">
        <f>IF(I266="",0,COUNTIF($I$2:I266,I266))</f>
        <v>3</v>
      </c>
      <c r="K266">
        <f>COUNTIF($J$2:J266,1)</f>
        <v>41</v>
      </c>
      <c r="N266">
        <v>1</v>
      </c>
      <c r="O266" t="s">
        <v>15</v>
      </c>
      <c r="P266" t="s">
        <v>148</v>
      </c>
      <c r="Q266" t="s">
        <v>149</v>
      </c>
      <c r="R266" t="s">
        <v>150</v>
      </c>
      <c r="S266" t="s">
        <v>151</v>
      </c>
      <c r="T266" t="s">
        <v>128</v>
      </c>
      <c r="U266" t="s">
        <v>152</v>
      </c>
      <c r="V266" t="s">
        <v>33</v>
      </c>
      <c r="W266" t="s">
        <v>21</v>
      </c>
      <c r="X266" t="s">
        <v>21</v>
      </c>
      <c r="Y266" t="b">
        <v>1</v>
      </c>
      <c r="Z266">
        <v>4829</v>
      </c>
    </row>
    <row r="267" spans="1:26" hidden="1" x14ac:dyDescent="0.25">
      <c r="A267">
        <f>COUNTIF($P$2:P267,P267)</f>
        <v>5</v>
      </c>
      <c r="B267">
        <f>COUNTIF($A$2:A267,1)</f>
        <v>16</v>
      </c>
      <c r="C267" t="str">
        <f t="shared" si="20"/>
        <v>IVS</v>
      </c>
      <c r="D267" t="str">
        <f t="shared" si="21"/>
        <v>IVSParent</v>
      </c>
      <c r="E267">
        <f>COUNTIF($R$2:R267,R267)</f>
        <v>5</v>
      </c>
      <c r="F267">
        <f>COUNTIF($E$2:E267,1)</f>
        <v>21</v>
      </c>
      <c r="G267" t="str">
        <f t="shared" si="22"/>
        <v>ivs.services.bvs</v>
      </c>
      <c r="H267" t="str">
        <f t="shared" si="23"/>
        <v>IVSivs.services.bvsParent</v>
      </c>
      <c r="I267" t="str">
        <f t="shared" si="24"/>
        <v/>
      </c>
      <c r="J267">
        <f>IF(I267="",0,COUNTIF($I$2:I267,I267))</f>
        <v>0</v>
      </c>
      <c r="K267">
        <f>COUNTIF($J$2:J267,1)</f>
        <v>41</v>
      </c>
      <c r="N267">
        <v>2</v>
      </c>
      <c r="O267" t="s">
        <v>15</v>
      </c>
      <c r="P267" t="s">
        <v>148</v>
      </c>
      <c r="Q267" t="s">
        <v>149</v>
      </c>
      <c r="R267" t="s">
        <v>150</v>
      </c>
      <c r="S267" t="s">
        <v>151</v>
      </c>
      <c r="T267" t="s">
        <v>128</v>
      </c>
      <c r="U267" t="s">
        <v>152</v>
      </c>
      <c r="W267" t="s">
        <v>22</v>
      </c>
    </row>
    <row r="268" spans="1:26" hidden="1" x14ac:dyDescent="0.25">
      <c r="A268">
        <f>COUNTIF($P$2:P268,P268)</f>
        <v>6</v>
      </c>
      <c r="B268">
        <f>COUNTIF($A$2:A268,1)</f>
        <v>16</v>
      </c>
      <c r="C268" t="str">
        <f t="shared" si="20"/>
        <v>IVS</v>
      </c>
      <c r="D268" t="str">
        <f t="shared" si="21"/>
        <v>IVSDevice</v>
      </c>
      <c r="E268">
        <f>COUNTIF($R$2:R268,R268)</f>
        <v>6</v>
      </c>
      <c r="F268">
        <f>COUNTIF($E$2:E268,1)</f>
        <v>21</v>
      </c>
      <c r="G268" t="str">
        <f t="shared" si="22"/>
        <v>ivs.services.bvs</v>
      </c>
      <c r="H268" t="str">
        <f t="shared" si="23"/>
        <v>IVSivs.services.bvsDevice</v>
      </c>
      <c r="I268" t="str">
        <f t="shared" si="24"/>
        <v/>
      </c>
      <c r="J268">
        <f>IF(I268="",0,COUNTIF($I$2:I268,I268))</f>
        <v>0</v>
      </c>
      <c r="K268">
        <f>COUNTIF($J$2:J268,1)</f>
        <v>41</v>
      </c>
      <c r="N268">
        <v>13</v>
      </c>
      <c r="O268" t="s">
        <v>31</v>
      </c>
      <c r="P268" t="s">
        <v>148</v>
      </c>
      <c r="Q268" t="s">
        <v>149</v>
      </c>
      <c r="R268" t="s">
        <v>150</v>
      </c>
      <c r="S268" t="s">
        <v>151</v>
      </c>
      <c r="T268" t="s">
        <v>128</v>
      </c>
      <c r="U268" t="s">
        <v>152</v>
      </c>
      <c r="W268" t="s">
        <v>22</v>
      </c>
    </row>
    <row r="269" spans="1:26" hidden="1" x14ac:dyDescent="0.25">
      <c r="A269">
        <f>COUNTIF($P$2:P269,P269)</f>
        <v>7</v>
      </c>
      <c r="B269">
        <f>COUNTIF($A$2:A269,1)</f>
        <v>16</v>
      </c>
      <c r="C269" t="str">
        <f t="shared" si="20"/>
        <v>IVS</v>
      </c>
      <c r="D269" t="str">
        <f t="shared" si="21"/>
        <v>IVSParent</v>
      </c>
      <c r="E269">
        <f>COUNTIF($R$2:R269,R269)</f>
        <v>7</v>
      </c>
      <c r="F269">
        <f>COUNTIF($E$2:E269,1)</f>
        <v>21</v>
      </c>
      <c r="G269" t="str">
        <f t="shared" si="22"/>
        <v>ivs.services.bvs</v>
      </c>
      <c r="H269" t="str">
        <f t="shared" si="23"/>
        <v>IVSivs.services.bvsParent</v>
      </c>
      <c r="I269" t="str">
        <f t="shared" si="24"/>
        <v/>
      </c>
      <c r="J269">
        <f>IF(I269="",0,COUNTIF($I$2:I269,I269))</f>
        <v>0</v>
      </c>
      <c r="K269">
        <f>COUNTIF($J$2:J269,1)</f>
        <v>41</v>
      </c>
      <c r="N269">
        <v>1</v>
      </c>
      <c r="O269" t="s">
        <v>15</v>
      </c>
      <c r="P269" t="s">
        <v>148</v>
      </c>
      <c r="Q269" t="s">
        <v>149</v>
      </c>
      <c r="R269" t="s">
        <v>150</v>
      </c>
      <c r="S269" t="s">
        <v>151</v>
      </c>
      <c r="T269" t="s">
        <v>128</v>
      </c>
      <c r="U269" t="s">
        <v>152</v>
      </c>
      <c r="W269" t="s">
        <v>22</v>
      </c>
    </row>
    <row r="270" spans="1:26" hidden="1" x14ac:dyDescent="0.25">
      <c r="A270">
        <f>COUNTIF($P$2:P270,P270)</f>
        <v>8</v>
      </c>
      <c r="B270">
        <f>COUNTIF($A$2:A270,1)</f>
        <v>16</v>
      </c>
      <c r="C270" t="str">
        <f t="shared" si="20"/>
        <v>IVS</v>
      </c>
      <c r="D270" t="str">
        <f t="shared" si="21"/>
        <v>IVSParent</v>
      </c>
      <c r="E270">
        <f>COUNTIF($R$2:R270,R270)</f>
        <v>8</v>
      </c>
      <c r="F270">
        <f>COUNTIF($E$2:E270,1)</f>
        <v>21</v>
      </c>
      <c r="G270" t="str">
        <f t="shared" si="22"/>
        <v>ivs.services.bvs</v>
      </c>
      <c r="H270" t="str">
        <f t="shared" si="23"/>
        <v>IVSivs.services.bvsParent</v>
      </c>
      <c r="I270" t="str">
        <f t="shared" si="24"/>
        <v/>
      </c>
      <c r="J270">
        <f>IF(I270="",0,COUNTIF($I$2:I270,I270))</f>
        <v>0</v>
      </c>
      <c r="K270">
        <f>COUNTIF($J$2:J270,1)</f>
        <v>41</v>
      </c>
      <c r="N270">
        <v>1</v>
      </c>
      <c r="O270" t="s">
        <v>15</v>
      </c>
      <c r="P270" t="s">
        <v>148</v>
      </c>
      <c r="Q270" t="s">
        <v>149</v>
      </c>
      <c r="R270" t="s">
        <v>150</v>
      </c>
      <c r="S270" t="s">
        <v>151</v>
      </c>
      <c r="T270" t="s">
        <v>128</v>
      </c>
      <c r="U270" t="s">
        <v>152</v>
      </c>
      <c r="W270" t="s">
        <v>22</v>
      </c>
    </row>
    <row r="271" spans="1:26" hidden="1" x14ac:dyDescent="0.25">
      <c r="A271">
        <f>COUNTIF($P$2:P271,P271)</f>
        <v>9</v>
      </c>
      <c r="B271">
        <f>COUNTIF($A$2:A271,1)</f>
        <v>16</v>
      </c>
      <c r="C271" t="str">
        <f t="shared" si="20"/>
        <v>IVS</v>
      </c>
      <c r="D271" t="str">
        <f t="shared" si="21"/>
        <v>IVSIntegrator</v>
      </c>
      <c r="E271">
        <f>COUNTIF($R$2:R271,R271)</f>
        <v>9</v>
      </c>
      <c r="F271">
        <f>COUNTIF($E$2:E271,1)</f>
        <v>21</v>
      </c>
      <c r="G271" t="str">
        <f t="shared" si="22"/>
        <v>ivs.services.bvs</v>
      </c>
      <c r="H271" t="str">
        <f t="shared" si="23"/>
        <v>IVSivs.services.bvsIntegrator</v>
      </c>
      <c r="I271" t="str">
        <f t="shared" si="24"/>
        <v/>
      </c>
      <c r="J271">
        <f>IF(I271="",0,COUNTIF($I$2:I271,I271))</f>
        <v>0</v>
      </c>
      <c r="K271">
        <f>COUNTIF($J$2:J271,1)</f>
        <v>41</v>
      </c>
      <c r="N271">
        <v>109</v>
      </c>
      <c r="O271" t="s">
        <v>23</v>
      </c>
      <c r="P271" t="s">
        <v>148</v>
      </c>
      <c r="Q271" t="s">
        <v>149</v>
      </c>
      <c r="R271" t="s">
        <v>150</v>
      </c>
      <c r="S271" t="s">
        <v>151</v>
      </c>
      <c r="T271" t="s">
        <v>128</v>
      </c>
      <c r="U271" t="s">
        <v>152</v>
      </c>
      <c r="W271" t="s">
        <v>22</v>
      </c>
    </row>
    <row r="272" spans="1:26" hidden="1" x14ac:dyDescent="0.25">
      <c r="A272">
        <f>COUNTIF($P$2:P272,P272)</f>
        <v>10</v>
      </c>
      <c r="B272">
        <f>COUNTIF($A$2:A272,1)</f>
        <v>16</v>
      </c>
      <c r="C272" t="str">
        <f t="shared" si="20"/>
        <v>IVS</v>
      </c>
      <c r="D272" t="str">
        <f t="shared" si="21"/>
        <v>IVSDevice</v>
      </c>
      <c r="E272">
        <f>COUNTIF($R$2:R272,R272)</f>
        <v>10</v>
      </c>
      <c r="F272">
        <f>COUNTIF($E$2:E272,1)</f>
        <v>21</v>
      </c>
      <c r="G272" t="str">
        <f t="shared" si="22"/>
        <v>ivs.services.bvs</v>
      </c>
      <c r="H272" t="str">
        <f t="shared" si="23"/>
        <v>IVSivs.services.bvsDevice</v>
      </c>
      <c r="I272" t="str">
        <f t="shared" si="24"/>
        <v/>
      </c>
      <c r="J272">
        <f>IF(I272="",0,COUNTIF($I$2:I272,I272))</f>
        <v>0</v>
      </c>
      <c r="K272">
        <f>COUNTIF($J$2:J272,1)</f>
        <v>41</v>
      </c>
      <c r="N272">
        <v>8</v>
      </c>
      <c r="O272" t="s">
        <v>31</v>
      </c>
      <c r="P272" t="s">
        <v>148</v>
      </c>
      <c r="Q272" t="s">
        <v>149</v>
      </c>
      <c r="R272" t="s">
        <v>150</v>
      </c>
      <c r="S272" t="s">
        <v>151</v>
      </c>
      <c r="T272" t="s">
        <v>128</v>
      </c>
      <c r="U272" t="s">
        <v>152</v>
      </c>
      <c r="W272" t="s">
        <v>22</v>
      </c>
    </row>
    <row r="273" spans="1:26" hidden="1" x14ac:dyDescent="0.25">
      <c r="A273">
        <f>COUNTIF($P$2:P273,P273)</f>
        <v>11</v>
      </c>
      <c r="B273">
        <f>COUNTIF($A$2:A273,1)</f>
        <v>16</v>
      </c>
      <c r="C273" t="str">
        <f t="shared" si="20"/>
        <v>IVS</v>
      </c>
      <c r="D273" t="str">
        <f t="shared" si="21"/>
        <v>IVSParent</v>
      </c>
      <c r="E273">
        <f>COUNTIF($R$2:R273,R273)</f>
        <v>11</v>
      </c>
      <c r="F273">
        <f>COUNTIF($E$2:E273,1)</f>
        <v>21</v>
      </c>
      <c r="G273" t="str">
        <f t="shared" si="22"/>
        <v>ivs.services.bvs</v>
      </c>
      <c r="H273" t="str">
        <f t="shared" si="23"/>
        <v>IVSivs.services.bvsParent</v>
      </c>
      <c r="I273" t="str">
        <f t="shared" si="24"/>
        <v/>
      </c>
      <c r="J273">
        <f>IF(I273="",0,COUNTIF($I$2:I273,I273))</f>
        <v>0</v>
      </c>
      <c r="K273">
        <f>COUNTIF($J$2:J273,1)</f>
        <v>41</v>
      </c>
      <c r="N273">
        <v>110</v>
      </c>
      <c r="O273" t="s">
        <v>15</v>
      </c>
      <c r="P273" t="s">
        <v>148</v>
      </c>
      <c r="Q273" t="s">
        <v>149</v>
      </c>
      <c r="R273" t="s">
        <v>150</v>
      </c>
      <c r="S273" t="s">
        <v>151</v>
      </c>
      <c r="T273" t="s">
        <v>128</v>
      </c>
      <c r="U273" t="s">
        <v>152</v>
      </c>
      <c r="W273" t="s">
        <v>22</v>
      </c>
    </row>
    <row r="274" spans="1:26" hidden="1" x14ac:dyDescent="0.25">
      <c r="A274">
        <f>COUNTIF($P$2:P274,P274)</f>
        <v>12</v>
      </c>
      <c r="B274">
        <f>COUNTIF($A$2:A274,1)</f>
        <v>16</v>
      </c>
      <c r="C274" t="str">
        <f t="shared" si="20"/>
        <v>IVS</v>
      </c>
      <c r="D274" t="str">
        <f t="shared" si="21"/>
        <v>IVSPerson</v>
      </c>
      <c r="E274">
        <f>COUNTIF($R$2:R274,R274)</f>
        <v>12</v>
      </c>
      <c r="F274">
        <f>COUNTIF($E$2:E274,1)</f>
        <v>21</v>
      </c>
      <c r="G274" t="str">
        <f t="shared" si="22"/>
        <v>ivs.services.bvs</v>
      </c>
      <c r="H274" t="str">
        <f t="shared" si="23"/>
        <v>IVSivs.services.bvsPerson</v>
      </c>
      <c r="I274" t="str">
        <f t="shared" si="24"/>
        <v/>
      </c>
      <c r="J274">
        <f>IF(I274="",0,COUNTIF($I$2:I274,I274))</f>
        <v>0</v>
      </c>
      <c r="K274">
        <f>COUNTIF($J$2:J274,1)</f>
        <v>41</v>
      </c>
      <c r="N274">
        <v>1</v>
      </c>
      <c r="O274" t="s">
        <v>24</v>
      </c>
      <c r="P274" t="s">
        <v>148</v>
      </c>
      <c r="Q274" t="s">
        <v>149</v>
      </c>
      <c r="R274" t="s">
        <v>150</v>
      </c>
      <c r="S274" t="s">
        <v>151</v>
      </c>
      <c r="T274" t="s">
        <v>128</v>
      </c>
      <c r="U274" t="s">
        <v>152</v>
      </c>
      <c r="W274" t="s">
        <v>21</v>
      </c>
    </row>
    <row r="275" spans="1:26" hidden="1" x14ac:dyDescent="0.25">
      <c r="A275">
        <f>COUNTIF($P$2:P275,P275)</f>
        <v>13</v>
      </c>
      <c r="B275">
        <f>COUNTIF($A$2:A275,1)</f>
        <v>16</v>
      </c>
      <c r="C275" t="str">
        <f t="shared" si="20"/>
        <v>IVS</v>
      </c>
      <c r="D275" t="str">
        <f t="shared" si="21"/>
        <v>IVSDevice</v>
      </c>
      <c r="E275">
        <f>COUNTIF($R$2:R275,R275)</f>
        <v>13</v>
      </c>
      <c r="F275">
        <f>COUNTIF($E$2:E275,1)</f>
        <v>21</v>
      </c>
      <c r="G275" t="str">
        <f t="shared" si="22"/>
        <v>ivs.services.bvs</v>
      </c>
      <c r="H275" t="str">
        <f t="shared" si="23"/>
        <v>IVSivs.services.bvsDevice</v>
      </c>
      <c r="I275" t="str">
        <f t="shared" si="24"/>
        <v/>
      </c>
      <c r="J275">
        <f>IF(I275="",0,COUNTIF($I$2:I275,I275))</f>
        <v>0</v>
      </c>
      <c r="K275">
        <f>COUNTIF($J$2:J275,1)</f>
        <v>41</v>
      </c>
      <c r="N275">
        <v>16</v>
      </c>
      <c r="O275" t="s">
        <v>31</v>
      </c>
      <c r="P275" t="s">
        <v>148</v>
      </c>
      <c r="Q275" t="s">
        <v>149</v>
      </c>
      <c r="R275" t="s">
        <v>150</v>
      </c>
      <c r="S275" t="s">
        <v>151</v>
      </c>
      <c r="T275" t="s">
        <v>128</v>
      </c>
      <c r="U275" t="s">
        <v>152</v>
      </c>
      <c r="W275" t="s">
        <v>21</v>
      </c>
    </row>
    <row r="276" spans="1:26" hidden="1" x14ac:dyDescent="0.25">
      <c r="A276">
        <f>COUNTIF($P$2:P276,P276)</f>
        <v>14</v>
      </c>
      <c r="B276">
        <f>COUNTIF($A$2:A276,1)</f>
        <v>16</v>
      </c>
      <c r="C276" t="str">
        <f t="shared" si="20"/>
        <v>IVS</v>
      </c>
      <c r="D276" t="str">
        <f t="shared" si="21"/>
        <v>IVSParent</v>
      </c>
      <c r="E276">
        <f>COUNTIF($R$2:R276,R276)</f>
        <v>14</v>
      </c>
      <c r="F276">
        <f>COUNTIF($E$2:E276,1)</f>
        <v>21</v>
      </c>
      <c r="G276" t="str">
        <f t="shared" si="22"/>
        <v>ivs.services.bvs</v>
      </c>
      <c r="H276" t="str">
        <f t="shared" si="23"/>
        <v>IVSivs.services.bvsParent</v>
      </c>
      <c r="I276" t="str">
        <f t="shared" si="24"/>
        <v/>
      </c>
      <c r="J276">
        <f>IF(I276="",0,COUNTIF($I$2:I276,I276))</f>
        <v>0</v>
      </c>
      <c r="K276">
        <f>COUNTIF($J$2:J276,1)</f>
        <v>41</v>
      </c>
      <c r="N276">
        <v>2</v>
      </c>
      <c r="O276" t="s">
        <v>15</v>
      </c>
      <c r="P276" t="s">
        <v>148</v>
      </c>
      <c r="Q276" t="s">
        <v>149</v>
      </c>
      <c r="R276" t="s">
        <v>150</v>
      </c>
      <c r="S276" t="s">
        <v>151</v>
      </c>
      <c r="T276" t="s">
        <v>128</v>
      </c>
      <c r="U276" t="s">
        <v>152</v>
      </c>
      <c r="W276" t="s">
        <v>21</v>
      </c>
    </row>
    <row r="277" spans="1:26" hidden="1" x14ac:dyDescent="0.25">
      <c r="A277">
        <f>COUNTIF($P$2:P277,P277)</f>
        <v>15</v>
      </c>
      <c r="B277">
        <f>COUNTIF($A$2:A277,1)</f>
        <v>16</v>
      </c>
      <c r="C277" t="str">
        <f t="shared" si="20"/>
        <v>IVS</v>
      </c>
      <c r="D277" t="str">
        <f t="shared" si="21"/>
        <v>IVSWeb Service</v>
      </c>
      <c r="E277">
        <f>COUNTIF($R$2:R277,R277)</f>
        <v>15</v>
      </c>
      <c r="F277">
        <f>COUNTIF($E$2:E277,1)</f>
        <v>21</v>
      </c>
      <c r="G277" t="str">
        <f t="shared" si="22"/>
        <v>ivs.services.bvs</v>
      </c>
      <c r="H277" t="str">
        <f t="shared" si="23"/>
        <v>IVSivs.services.bvsWeb Service</v>
      </c>
      <c r="I277" t="str">
        <f t="shared" si="24"/>
        <v/>
      </c>
      <c r="J277">
        <f>IF(I277="",0,COUNTIF($I$2:I277,I277))</f>
        <v>0</v>
      </c>
      <c r="K277">
        <f>COUNTIF($J$2:J277,1)</f>
        <v>41</v>
      </c>
      <c r="N277">
        <v>4</v>
      </c>
      <c r="O277" t="s">
        <v>81</v>
      </c>
      <c r="P277" t="s">
        <v>148</v>
      </c>
      <c r="Q277" t="s">
        <v>149</v>
      </c>
      <c r="R277" t="s">
        <v>150</v>
      </c>
      <c r="S277" t="s">
        <v>151</v>
      </c>
      <c r="T277" t="s">
        <v>128</v>
      </c>
      <c r="U277" t="s">
        <v>152</v>
      </c>
      <c r="W277" t="s">
        <v>21</v>
      </c>
    </row>
    <row r="278" spans="1:26" hidden="1" x14ac:dyDescent="0.25">
      <c r="A278">
        <f>COUNTIF($P$2:P278,P278)</f>
        <v>16</v>
      </c>
      <c r="B278">
        <f>COUNTIF($A$2:A278,1)</f>
        <v>16</v>
      </c>
      <c r="C278" t="str">
        <f t="shared" si="20"/>
        <v>IVS</v>
      </c>
      <c r="D278" t="str">
        <f t="shared" si="21"/>
        <v>IVSWeb Service</v>
      </c>
      <c r="E278">
        <f>COUNTIF($R$2:R278,R278)</f>
        <v>16</v>
      </c>
      <c r="F278">
        <f>COUNTIF($E$2:E278,1)</f>
        <v>21</v>
      </c>
      <c r="G278" t="str">
        <f t="shared" si="22"/>
        <v>ivs.services.bvs</v>
      </c>
      <c r="H278" t="str">
        <f t="shared" si="23"/>
        <v>IVSivs.services.bvsWeb Service</v>
      </c>
      <c r="I278" t="str">
        <f t="shared" si="24"/>
        <v/>
      </c>
      <c r="J278">
        <f>IF(I278="",0,COUNTIF($I$2:I278,I278))</f>
        <v>0</v>
      </c>
      <c r="K278">
        <f>COUNTIF($J$2:J278,1)</f>
        <v>41</v>
      </c>
      <c r="N278">
        <v>1</v>
      </c>
      <c r="O278" t="s">
        <v>81</v>
      </c>
      <c r="P278" t="s">
        <v>148</v>
      </c>
      <c r="Q278" t="s">
        <v>149</v>
      </c>
      <c r="R278" t="s">
        <v>150</v>
      </c>
      <c r="S278" t="s">
        <v>151</v>
      </c>
      <c r="T278" t="s">
        <v>128</v>
      </c>
      <c r="U278" t="s">
        <v>152</v>
      </c>
      <c r="W278" t="s">
        <v>22</v>
      </c>
    </row>
    <row r="279" spans="1:26" hidden="1" x14ac:dyDescent="0.25">
      <c r="A279">
        <f>COUNTIF($P$2:P279,P279)</f>
        <v>17</v>
      </c>
      <c r="B279">
        <f>COUNTIF($A$2:A279,1)</f>
        <v>16</v>
      </c>
      <c r="C279" t="str">
        <f t="shared" si="20"/>
        <v>IVS</v>
      </c>
      <c r="D279" t="str">
        <f t="shared" si="21"/>
        <v>IVSParent</v>
      </c>
      <c r="E279">
        <f>COUNTIF($R$2:R279,R279)</f>
        <v>17</v>
      </c>
      <c r="F279">
        <f>COUNTIF($E$2:E279,1)</f>
        <v>21</v>
      </c>
      <c r="G279" t="str">
        <f t="shared" si="22"/>
        <v>ivs.services.bvs</v>
      </c>
      <c r="H279" t="str">
        <f t="shared" si="23"/>
        <v>IVSivs.services.bvsParent</v>
      </c>
      <c r="I279" t="str">
        <f t="shared" si="24"/>
        <v/>
      </c>
      <c r="J279">
        <f>IF(I279="",0,COUNTIF($I$2:I279,I279))</f>
        <v>0</v>
      </c>
      <c r="K279">
        <f>COUNTIF($J$2:J279,1)</f>
        <v>41</v>
      </c>
      <c r="N279">
        <v>165</v>
      </c>
      <c r="O279" t="s">
        <v>15</v>
      </c>
      <c r="P279" t="s">
        <v>148</v>
      </c>
      <c r="Q279" t="s">
        <v>149</v>
      </c>
      <c r="R279" t="s">
        <v>150</v>
      </c>
      <c r="S279" t="s">
        <v>151</v>
      </c>
      <c r="T279" t="s">
        <v>128</v>
      </c>
      <c r="U279" t="s">
        <v>152</v>
      </c>
      <c r="W279" t="s">
        <v>21</v>
      </c>
    </row>
    <row r="280" spans="1:26" hidden="1" x14ac:dyDescent="0.25">
      <c r="A280">
        <f>COUNTIF($P$2:P280,P280)</f>
        <v>18</v>
      </c>
      <c r="B280">
        <f>COUNTIF($A$2:A280,1)</f>
        <v>16</v>
      </c>
      <c r="C280" t="str">
        <f t="shared" si="20"/>
        <v>IVS</v>
      </c>
      <c r="D280" t="str">
        <f t="shared" si="21"/>
        <v>IVSIntegrator</v>
      </c>
      <c r="E280">
        <f>COUNTIF($R$2:R280,R280)</f>
        <v>18</v>
      </c>
      <c r="F280">
        <f>COUNTIF($E$2:E280,1)</f>
        <v>21</v>
      </c>
      <c r="G280" t="str">
        <f t="shared" si="22"/>
        <v>ivs.services.bvs</v>
      </c>
      <c r="H280" t="str">
        <f t="shared" si="23"/>
        <v>IVSivs.services.bvsIntegrator</v>
      </c>
      <c r="I280" t="str">
        <f t="shared" si="24"/>
        <v/>
      </c>
      <c r="J280">
        <f>IF(I280="",0,COUNTIF($I$2:I280,I280))</f>
        <v>0</v>
      </c>
      <c r="K280">
        <f>COUNTIF($J$2:J280,1)</f>
        <v>41</v>
      </c>
      <c r="N280">
        <v>160</v>
      </c>
      <c r="O280" t="s">
        <v>23</v>
      </c>
      <c r="P280" t="s">
        <v>148</v>
      </c>
      <c r="Q280" t="s">
        <v>149</v>
      </c>
      <c r="R280" t="s">
        <v>150</v>
      </c>
      <c r="S280" t="s">
        <v>151</v>
      </c>
      <c r="T280" t="s">
        <v>128</v>
      </c>
      <c r="U280" t="s">
        <v>152</v>
      </c>
      <c r="W280" t="s">
        <v>21</v>
      </c>
    </row>
    <row r="281" spans="1:26" hidden="1" x14ac:dyDescent="0.25">
      <c r="A281">
        <f>COUNTIF($P$2:P281,P281)</f>
        <v>19</v>
      </c>
      <c r="B281">
        <f>COUNTIF($A$2:A281,1)</f>
        <v>16</v>
      </c>
      <c r="C281" t="str">
        <f t="shared" si="20"/>
        <v>IVS</v>
      </c>
      <c r="D281" t="str">
        <f t="shared" si="21"/>
        <v>IVSParent</v>
      </c>
      <c r="E281">
        <f>COUNTIF($R$2:R281,R281)</f>
        <v>19</v>
      </c>
      <c r="F281">
        <f>COUNTIF($E$2:E281,1)</f>
        <v>21</v>
      </c>
      <c r="G281" t="str">
        <f t="shared" si="22"/>
        <v>ivs.services.bvs</v>
      </c>
      <c r="H281" t="str">
        <f t="shared" si="23"/>
        <v>IVSivs.services.bvsParent</v>
      </c>
      <c r="I281" t="str">
        <f t="shared" si="24"/>
        <v/>
      </c>
      <c r="J281">
        <f>IF(I281="",0,COUNTIF($I$2:I281,I281))</f>
        <v>0</v>
      </c>
      <c r="K281">
        <f>COUNTIF($J$2:J281,1)</f>
        <v>41</v>
      </c>
      <c r="N281">
        <v>2</v>
      </c>
      <c r="O281" t="s">
        <v>15</v>
      </c>
      <c r="P281" t="s">
        <v>148</v>
      </c>
      <c r="Q281" t="s">
        <v>149</v>
      </c>
      <c r="R281" t="s">
        <v>150</v>
      </c>
      <c r="S281" t="s">
        <v>151</v>
      </c>
      <c r="T281" t="s">
        <v>128</v>
      </c>
      <c r="U281" t="s">
        <v>152</v>
      </c>
      <c r="W281" t="s">
        <v>21</v>
      </c>
    </row>
    <row r="282" spans="1:26" hidden="1" x14ac:dyDescent="0.25">
      <c r="A282">
        <f>COUNTIF($P$2:P282,P282)</f>
        <v>20</v>
      </c>
      <c r="B282">
        <f>COUNTIF($A$2:A282,1)</f>
        <v>16</v>
      </c>
      <c r="C282" t="str">
        <f t="shared" si="20"/>
        <v>IVS</v>
      </c>
      <c r="D282" t="str">
        <f t="shared" si="21"/>
        <v>IVSDevice</v>
      </c>
      <c r="E282">
        <f>COUNTIF($R$2:R282,R282)</f>
        <v>20</v>
      </c>
      <c r="F282">
        <f>COUNTIF($E$2:E282,1)</f>
        <v>21</v>
      </c>
      <c r="G282" t="str">
        <f t="shared" si="22"/>
        <v>ivs.services.bvs</v>
      </c>
      <c r="H282" t="str">
        <f t="shared" si="23"/>
        <v>IVSivs.services.bvsDevice</v>
      </c>
      <c r="I282" t="str">
        <f t="shared" si="24"/>
        <v/>
      </c>
      <c r="J282">
        <f>IF(I282="",0,COUNTIF($I$2:I282,I282))</f>
        <v>0</v>
      </c>
      <c r="K282">
        <f>COUNTIF($J$2:J282,1)</f>
        <v>41</v>
      </c>
      <c r="N282">
        <v>1</v>
      </c>
      <c r="O282" t="s">
        <v>31</v>
      </c>
      <c r="P282" t="s">
        <v>148</v>
      </c>
      <c r="Q282" t="s">
        <v>149</v>
      </c>
      <c r="R282" t="s">
        <v>150</v>
      </c>
      <c r="S282" t="s">
        <v>151</v>
      </c>
      <c r="T282" t="s">
        <v>128</v>
      </c>
      <c r="U282" t="s">
        <v>152</v>
      </c>
      <c r="W282" t="s">
        <v>21</v>
      </c>
    </row>
    <row r="283" spans="1:26" hidden="1" x14ac:dyDescent="0.25">
      <c r="A283">
        <f>COUNTIF($P$2:P283,P283)</f>
        <v>21</v>
      </c>
      <c r="B283">
        <f>COUNTIF($A$2:A283,1)</f>
        <v>16</v>
      </c>
      <c r="C283" t="str">
        <f t="shared" si="20"/>
        <v>IVS</v>
      </c>
      <c r="D283" t="str">
        <f t="shared" si="21"/>
        <v>IVSParent</v>
      </c>
      <c r="E283">
        <f>COUNTIF($R$2:R283,R283)</f>
        <v>21</v>
      </c>
      <c r="F283">
        <f>COUNTIF($E$2:E283,1)</f>
        <v>21</v>
      </c>
      <c r="G283" t="str">
        <f t="shared" si="22"/>
        <v>ivs.services.bvs</v>
      </c>
      <c r="H283" t="str">
        <f t="shared" si="23"/>
        <v>IVSivs.services.bvsParent</v>
      </c>
      <c r="I283" t="str">
        <f t="shared" si="24"/>
        <v/>
      </c>
      <c r="J283">
        <f>IF(I283="",0,COUNTIF($I$2:I283,I283))</f>
        <v>0</v>
      </c>
      <c r="K283">
        <f>COUNTIF($J$2:J283,1)</f>
        <v>41</v>
      </c>
      <c r="N283">
        <v>1</v>
      </c>
      <c r="O283" t="s">
        <v>15</v>
      </c>
      <c r="P283" t="s">
        <v>148</v>
      </c>
      <c r="Q283" t="s">
        <v>149</v>
      </c>
      <c r="R283" t="s">
        <v>150</v>
      </c>
      <c r="S283" t="s">
        <v>151</v>
      </c>
      <c r="T283" t="s">
        <v>128</v>
      </c>
      <c r="U283" t="s">
        <v>152</v>
      </c>
      <c r="W283" t="s">
        <v>21</v>
      </c>
    </row>
    <row r="284" spans="1:26" hidden="1" x14ac:dyDescent="0.25">
      <c r="A284">
        <f>COUNTIF($P$2:P284,P284)</f>
        <v>22</v>
      </c>
      <c r="B284">
        <f>COUNTIF($A$2:A284,1)</f>
        <v>16</v>
      </c>
      <c r="C284" t="str">
        <f t="shared" si="20"/>
        <v>IVS</v>
      </c>
      <c r="D284" t="str">
        <f t="shared" si="21"/>
        <v>IVSDevice</v>
      </c>
      <c r="E284">
        <f>COUNTIF($R$2:R284,R284)</f>
        <v>22</v>
      </c>
      <c r="F284">
        <f>COUNTIF($E$2:E284,1)</f>
        <v>21</v>
      </c>
      <c r="G284" t="str">
        <f t="shared" si="22"/>
        <v>ivs.services.bvs</v>
      </c>
      <c r="H284" t="str">
        <f t="shared" si="23"/>
        <v>IVSivs.services.bvsDevice</v>
      </c>
      <c r="I284" t="str">
        <f t="shared" si="24"/>
        <v/>
      </c>
      <c r="J284">
        <f>IF(I284="",0,COUNTIF($I$2:I284,I284))</f>
        <v>0</v>
      </c>
      <c r="K284">
        <f>COUNTIF($J$2:J284,1)</f>
        <v>41</v>
      </c>
      <c r="N284">
        <v>8</v>
      </c>
      <c r="O284" t="s">
        <v>31</v>
      </c>
      <c r="P284" t="s">
        <v>148</v>
      </c>
      <c r="Q284" t="s">
        <v>149</v>
      </c>
      <c r="R284" t="s">
        <v>150</v>
      </c>
      <c r="S284" t="s">
        <v>151</v>
      </c>
      <c r="T284" t="s">
        <v>128</v>
      </c>
      <c r="U284" t="s">
        <v>152</v>
      </c>
      <c r="W284" t="s">
        <v>21</v>
      </c>
    </row>
    <row r="285" spans="1:26" hidden="1" x14ac:dyDescent="0.25">
      <c r="A285">
        <f>COUNTIF($P$2:P285,P285)</f>
        <v>23</v>
      </c>
      <c r="B285">
        <f>COUNTIF($A$2:A285,1)</f>
        <v>16</v>
      </c>
      <c r="C285" t="str">
        <f t="shared" si="20"/>
        <v>IVS</v>
      </c>
      <c r="D285" t="str">
        <f t="shared" si="21"/>
        <v>IVSParent</v>
      </c>
      <c r="E285">
        <f>COUNTIF($R$2:R285,R285)</f>
        <v>1</v>
      </c>
      <c r="F285">
        <f>COUNTIF($E$2:E285,1)</f>
        <v>22</v>
      </c>
      <c r="G285" t="str">
        <f t="shared" si="22"/>
        <v>ivs.services.data</v>
      </c>
      <c r="H285" t="str">
        <f t="shared" si="23"/>
        <v>IVSivs.services.dataParent</v>
      </c>
      <c r="I285" t="str">
        <f t="shared" si="24"/>
        <v>IVSivs.services.dataavs.track.request</v>
      </c>
      <c r="J285">
        <f>IF(I285="",0,COUNTIF($I$2:I285,I285))</f>
        <v>1</v>
      </c>
      <c r="K285">
        <f>COUNTIF($J$2:J285,1)</f>
        <v>42</v>
      </c>
      <c r="N285">
        <v>1</v>
      </c>
      <c r="O285" t="s">
        <v>15</v>
      </c>
      <c r="P285" t="s">
        <v>148</v>
      </c>
      <c r="Q285" t="s">
        <v>149</v>
      </c>
      <c r="R285" t="s">
        <v>153</v>
      </c>
      <c r="S285" t="s">
        <v>154</v>
      </c>
      <c r="T285" t="s">
        <v>155</v>
      </c>
      <c r="U285" t="s">
        <v>156</v>
      </c>
      <c r="V285" t="s">
        <v>32</v>
      </c>
      <c r="W285" t="s">
        <v>21</v>
      </c>
      <c r="X285" t="s">
        <v>21</v>
      </c>
      <c r="Y285" t="b">
        <v>1</v>
      </c>
      <c r="Z285">
        <v>665</v>
      </c>
    </row>
    <row r="286" spans="1:26" hidden="1" x14ac:dyDescent="0.25">
      <c r="A286">
        <f>COUNTIF($P$2:P286,P286)</f>
        <v>24</v>
      </c>
      <c r="B286">
        <f>COUNTIF($A$2:A286,1)</f>
        <v>16</v>
      </c>
      <c r="C286" t="str">
        <f t="shared" si="20"/>
        <v>IVS</v>
      </c>
      <c r="D286" t="str">
        <f t="shared" si="21"/>
        <v>IVSDevice</v>
      </c>
      <c r="E286">
        <f>COUNTIF($R$2:R286,R286)</f>
        <v>2</v>
      </c>
      <c r="F286">
        <f>COUNTIF($E$2:E286,1)</f>
        <v>22</v>
      </c>
      <c r="G286" t="str">
        <f t="shared" si="22"/>
        <v>ivs.services.data</v>
      </c>
      <c r="H286" t="str">
        <f t="shared" si="23"/>
        <v>IVSivs.services.dataDevice</v>
      </c>
      <c r="I286" t="str">
        <f t="shared" si="24"/>
        <v>IVSivs.services.dataivs.track.request</v>
      </c>
      <c r="J286">
        <f>IF(I286="",0,COUNTIF($I$2:I286,I286))</f>
        <v>1</v>
      </c>
      <c r="K286">
        <f>COUNTIF($J$2:J286,1)</f>
        <v>43</v>
      </c>
      <c r="N286">
        <v>41</v>
      </c>
      <c r="O286" t="s">
        <v>31</v>
      </c>
      <c r="P286" t="s">
        <v>148</v>
      </c>
      <c r="Q286" t="s">
        <v>149</v>
      </c>
      <c r="R286" t="s">
        <v>153</v>
      </c>
      <c r="S286" t="s">
        <v>154</v>
      </c>
      <c r="T286" t="s">
        <v>155</v>
      </c>
      <c r="U286" t="s">
        <v>156</v>
      </c>
      <c r="V286" t="s">
        <v>33</v>
      </c>
      <c r="W286" t="s">
        <v>21</v>
      </c>
      <c r="X286" t="s">
        <v>21</v>
      </c>
      <c r="Y286" t="b">
        <v>1</v>
      </c>
      <c r="Z286">
        <v>4829</v>
      </c>
    </row>
    <row r="287" spans="1:26" hidden="1" x14ac:dyDescent="0.25">
      <c r="A287">
        <f>COUNTIF($P$2:P287,P287)</f>
        <v>25</v>
      </c>
      <c r="B287">
        <f>COUNTIF($A$2:A287,1)</f>
        <v>16</v>
      </c>
      <c r="C287" t="str">
        <f t="shared" si="20"/>
        <v>IVS</v>
      </c>
      <c r="D287" t="str">
        <f t="shared" si="21"/>
        <v>IVSParent</v>
      </c>
      <c r="E287">
        <f>COUNTIF($R$2:R287,R287)</f>
        <v>3</v>
      </c>
      <c r="F287">
        <f>COUNTIF($E$2:E287,1)</f>
        <v>22</v>
      </c>
      <c r="G287" t="str">
        <f t="shared" si="22"/>
        <v>ivs.services.data</v>
      </c>
      <c r="H287" t="str">
        <f t="shared" si="23"/>
        <v>IVSivs.services.dataParent</v>
      </c>
      <c r="I287" t="str">
        <f t="shared" si="24"/>
        <v>IVSivs.services.dataivs.track.request</v>
      </c>
      <c r="J287">
        <f>IF(I287="",0,COUNTIF($I$2:I287,I287))</f>
        <v>2</v>
      </c>
      <c r="K287">
        <f>COUNTIF($J$2:J287,1)</f>
        <v>43</v>
      </c>
      <c r="N287">
        <v>1</v>
      </c>
      <c r="O287" t="s">
        <v>15</v>
      </c>
      <c r="P287" t="s">
        <v>148</v>
      </c>
      <c r="Q287" t="s">
        <v>149</v>
      </c>
      <c r="R287" t="s">
        <v>153</v>
      </c>
      <c r="S287" t="s">
        <v>154</v>
      </c>
      <c r="T287" t="s">
        <v>155</v>
      </c>
      <c r="U287" t="s">
        <v>156</v>
      </c>
      <c r="V287" t="s">
        <v>33</v>
      </c>
      <c r="W287" t="s">
        <v>21</v>
      </c>
      <c r="X287" t="s">
        <v>21</v>
      </c>
      <c r="Y287" t="b">
        <v>1</v>
      </c>
      <c r="Z287">
        <v>4829</v>
      </c>
    </row>
    <row r="288" spans="1:26" hidden="1" x14ac:dyDescent="0.25">
      <c r="A288">
        <f>COUNTIF($P$2:P288,P288)</f>
        <v>26</v>
      </c>
      <c r="B288">
        <f>COUNTIF($A$2:A288,1)</f>
        <v>16</v>
      </c>
      <c r="C288" t="str">
        <f t="shared" si="20"/>
        <v>IVS</v>
      </c>
      <c r="D288" t="str">
        <f t="shared" si="21"/>
        <v>IVSIntegrator</v>
      </c>
      <c r="E288">
        <f>COUNTIF($R$2:R288,R288)</f>
        <v>4</v>
      </c>
      <c r="F288">
        <f>COUNTIF($E$2:E288,1)</f>
        <v>22</v>
      </c>
      <c r="G288" t="str">
        <f t="shared" si="22"/>
        <v>ivs.services.data</v>
      </c>
      <c r="H288" t="str">
        <f t="shared" si="23"/>
        <v>IVSivs.services.dataIntegrator</v>
      </c>
      <c r="I288" t="str">
        <f t="shared" si="24"/>
        <v>IVSivs.services.dataivs.track.request</v>
      </c>
      <c r="J288">
        <f>IF(I288="",0,COUNTIF($I$2:I288,I288))</f>
        <v>3</v>
      </c>
      <c r="K288">
        <f>COUNTIF($J$2:J288,1)</f>
        <v>43</v>
      </c>
      <c r="N288">
        <v>2</v>
      </c>
      <c r="O288" t="s">
        <v>23</v>
      </c>
      <c r="P288" t="s">
        <v>148</v>
      </c>
      <c r="Q288" t="s">
        <v>149</v>
      </c>
      <c r="R288" t="s">
        <v>153</v>
      </c>
      <c r="S288" t="s">
        <v>154</v>
      </c>
      <c r="T288" t="s">
        <v>155</v>
      </c>
      <c r="U288" t="s">
        <v>156</v>
      </c>
      <c r="V288" t="s">
        <v>33</v>
      </c>
      <c r="W288" t="s">
        <v>21</v>
      </c>
      <c r="X288" t="s">
        <v>21</v>
      </c>
      <c r="Y288" t="b">
        <v>1</v>
      </c>
      <c r="Z288">
        <v>4829</v>
      </c>
    </row>
    <row r="289" spans="1:26" hidden="1" x14ac:dyDescent="0.25">
      <c r="A289">
        <f>COUNTIF($P$2:P289,P289)</f>
        <v>27</v>
      </c>
      <c r="B289">
        <f>COUNTIF($A$2:A289,1)</f>
        <v>16</v>
      </c>
      <c r="C289" t="str">
        <f t="shared" si="20"/>
        <v>IVS</v>
      </c>
      <c r="D289" t="str">
        <f t="shared" si="21"/>
        <v>IVSParent</v>
      </c>
      <c r="E289">
        <f>COUNTIF($R$2:R289,R289)</f>
        <v>5</v>
      </c>
      <c r="F289">
        <f>COUNTIF($E$2:E289,1)</f>
        <v>22</v>
      </c>
      <c r="G289" t="str">
        <f t="shared" si="22"/>
        <v>ivs.services.data</v>
      </c>
      <c r="H289" t="str">
        <f t="shared" si="23"/>
        <v>IVSivs.services.dataParent</v>
      </c>
      <c r="I289" t="str">
        <f t="shared" si="24"/>
        <v/>
      </c>
      <c r="J289">
        <f>IF(I289="",0,COUNTIF($I$2:I289,I289))</f>
        <v>0</v>
      </c>
      <c r="K289">
        <f>COUNTIF($J$2:J289,1)</f>
        <v>43</v>
      </c>
      <c r="N289">
        <v>2</v>
      </c>
      <c r="O289" t="s">
        <v>15</v>
      </c>
      <c r="P289" t="s">
        <v>148</v>
      </c>
      <c r="Q289" t="s">
        <v>149</v>
      </c>
      <c r="R289" t="s">
        <v>153</v>
      </c>
      <c r="S289" t="s">
        <v>154</v>
      </c>
      <c r="T289" t="s">
        <v>155</v>
      </c>
      <c r="U289" t="s">
        <v>156</v>
      </c>
      <c r="W289" t="s">
        <v>21</v>
      </c>
    </row>
    <row r="290" spans="1:26" hidden="1" x14ac:dyDescent="0.25">
      <c r="A290">
        <f>COUNTIF($P$2:P290,P290)</f>
        <v>28</v>
      </c>
      <c r="B290">
        <f>COUNTIF($A$2:A290,1)</f>
        <v>16</v>
      </c>
      <c r="C290" t="str">
        <f t="shared" si="20"/>
        <v>IVS</v>
      </c>
      <c r="D290" t="str">
        <f t="shared" si="21"/>
        <v>IVSParent</v>
      </c>
      <c r="E290">
        <f>COUNTIF($R$2:R290,R290)</f>
        <v>6</v>
      </c>
      <c r="F290">
        <f>COUNTIF($E$2:E290,1)</f>
        <v>22</v>
      </c>
      <c r="G290" t="str">
        <f t="shared" si="22"/>
        <v>ivs.services.data</v>
      </c>
      <c r="H290" t="str">
        <f t="shared" si="23"/>
        <v>IVSivs.services.dataParent</v>
      </c>
      <c r="I290" t="str">
        <f t="shared" si="24"/>
        <v/>
      </c>
      <c r="J290">
        <f>IF(I290="",0,COUNTIF($I$2:I290,I290))</f>
        <v>0</v>
      </c>
      <c r="K290">
        <f>COUNTIF($J$2:J290,1)</f>
        <v>43</v>
      </c>
      <c r="N290">
        <v>141</v>
      </c>
      <c r="O290" t="s">
        <v>15</v>
      </c>
      <c r="P290" t="s">
        <v>148</v>
      </c>
      <c r="Q290" t="s">
        <v>149</v>
      </c>
      <c r="R290" t="s">
        <v>153</v>
      </c>
      <c r="S290" t="s">
        <v>154</v>
      </c>
      <c r="T290" t="s">
        <v>155</v>
      </c>
      <c r="U290" t="s">
        <v>156</v>
      </c>
      <c r="W290" t="s">
        <v>22</v>
      </c>
    </row>
    <row r="291" spans="1:26" hidden="1" x14ac:dyDescent="0.25">
      <c r="A291">
        <f>COUNTIF($P$2:P291,P291)</f>
        <v>29</v>
      </c>
      <c r="B291">
        <f>COUNTIF($A$2:A291,1)</f>
        <v>16</v>
      </c>
      <c r="C291" t="str">
        <f t="shared" si="20"/>
        <v>IVS</v>
      </c>
      <c r="D291" t="str">
        <f t="shared" si="21"/>
        <v>IVSDevice</v>
      </c>
      <c r="E291">
        <f>COUNTIF($R$2:R291,R291)</f>
        <v>7</v>
      </c>
      <c r="F291">
        <f>COUNTIF($E$2:E291,1)</f>
        <v>22</v>
      </c>
      <c r="G291" t="str">
        <f t="shared" si="22"/>
        <v>ivs.services.data</v>
      </c>
      <c r="H291" t="str">
        <f t="shared" si="23"/>
        <v>IVSivs.services.dataDevice</v>
      </c>
      <c r="I291" t="str">
        <f t="shared" si="24"/>
        <v/>
      </c>
      <c r="J291">
        <f>IF(I291="",0,COUNTIF($I$2:I291,I291))</f>
        <v>0</v>
      </c>
      <c r="K291">
        <f>COUNTIF($J$2:J291,1)</f>
        <v>43</v>
      </c>
      <c r="N291">
        <v>8</v>
      </c>
      <c r="O291" t="s">
        <v>31</v>
      </c>
      <c r="P291" t="s">
        <v>148</v>
      </c>
      <c r="Q291" t="s">
        <v>149</v>
      </c>
      <c r="R291" t="s">
        <v>153</v>
      </c>
      <c r="S291" t="s">
        <v>154</v>
      </c>
      <c r="T291" t="s">
        <v>155</v>
      </c>
      <c r="U291" t="s">
        <v>156</v>
      </c>
      <c r="W291" t="s">
        <v>22</v>
      </c>
    </row>
    <row r="292" spans="1:26" hidden="1" x14ac:dyDescent="0.25">
      <c r="A292">
        <f>COUNTIF($P$2:P292,P292)</f>
        <v>30</v>
      </c>
      <c r="B292">
        <f>COUNTIF($A$2:A292,1)</f>
        <v>16</v>
      </c>
      <c r="C292" t="str">
        <f t="shared" si="20"/>
        <v>IVS</v>
      </c>
      <c r="D292" t="str">
        <f t="shared" si="21"/>
        <v>IVSIntegrator</v>
      </c>
      <c r="E292">
        <f>COUNTIF($R$2:R292,R292)</f>
        <v>8</v>
      </c>
      <c r="F292">
        <f>COUNTIF($E$2:E292,1)</f>
        <v>22</v>
      </c>
      <c r="G292" t="str">
        <f t="shared" si="22"/>
        <v>ivs.services.data</v>
      </c>
      <c r="H292" t="str">
        <f t="shared" si="23"/>
        <v>IVSivs.services.dataIntegrator</v>
      </c>
      <c r="I292" t="str">
        <f t="shared" si="24"/>
        <v/>
      </c>
      <c r="J292">
        <f>IF(I292="",0,COUNTIF($I$2:I292,I292))</f>
        <v>0</v>
      </c>
      <c r="K292">
        <f>COUNTIF($J$2:J292,1)</f>
        <v>43</v>
      </c>
      <c r="N292">
        <v>140</v>
      </c>
      <c r="O292" t="s">
        <v>23</v>
      </c>
      <c r="P292" t="s">
        <v>148</v>
      </c>
      <c r="Q292" t="s">
        <v>149</v>
      </c>
      <c r="R292" t="s">
        <v>153</v>
      </c>
      <c r="S292" t="s">
        <v>154</v>
      </c>
      <c r="T292" t="s">
        <v>155</v>
      </c>
      <c r="U292" t="s">
        <v>156</v>
      </c>
      <c r="W292" t="s">
        <v>22</v>
      </c>
    </row>
    <row r="293" spans="1:26" hidden="1" x14ac:dyDescent="0.25">
      <c r="A293">
        <f>COUNTIF($P$2:P293,P293)</f>
        <v>31</v>
      </c>
      <c r="B293">
        <f>COUNTIF($A$2:A293,1)</f>
        <v>16</v>
      </c>
      <c r="C293" t="str">
        <f t="shared" si="20"/>
        <v>IVS</v>
      </c>
      <c r="D293" t="str">
        <f t="shared" si="21"/>
        <v>IVSDevice</v>
      </c>
      <c r="E293">
        <f>COUNTIF($R$2:R293,R293)</f>
        <v>9</v>
      </c>
      <c r="F293">
        <f>COUNTIF($E$2:E293,1)</f>
        <v>22</v>
      </c>
      <c r="G293" t="str">
        <f t="shared" si="22"/>
        <v>ivs.services.data</v>
      </c>
      <c r="H293" t="str">
        <f t="shared" si="23"/>
        <v>IVSivs.services.dataDevice</v>
      </c>
      <c r="I293" t="str">
        <f t="shared" si="24"/>
        <v/>
      </c>
      <c r="J293">
        <f>IF(I293="",0,COUNTIF($I$2:I293,I293))</f>
        <v>0</v>
      </c>
      <c r="K293">
        <f>COUNTIF($J$2:J293,1)</f>
        <v>43</v>
      </c>
      <c r="N293">
        <v>16</v>
      </c>
      <c r="O293" t="s">
        <v>31</v>
      </c>
      <c r="P293" t="s">
        <v>148</v>
      </c>
      <c r="Q293" t="s">
        <v>149</v>
      </c>
      <c r="R293" t="s">
        <v>153</v>
      </c>
      <c r="S293" t="s">
        <v>154</v>
      </c>
      <c r="T293" t="s">
        <v>155</v>
      </c>
      <c r="U293" t="s">
        <v>156</v>
      </c>
      <c r="W293" t="s">
        <v>22</v>
      </c>
    </row>
    <row r="294" spans="1:26" hidden="1" x14ac:dyDescent="0.25">
      <c r="A294">
        <f>COUNTIF($P$2:P294,P294)</f>
        <v>32</v>
      </c>
      <c r="B294">
        <f>COUNTIF($A$2:A294,1)</f>
        <v>16</v>
      </c>
      <c r="C294" t="str">
        <f t="shared" si="20"/>
        <v>IVS</v>
      </c>
      <c r="D294" t="str">
        <f t="shared" si="21"/>
        <v>IVSWeb Service</v>
      </c>
      <c r="E294">
        <f>COUNTIF($R$2:R294,R294)</f>
        <v>10</v>
      </c>
      <c r="F294">
        <f>COUNTIF($E$2:E294,1)</f>
        <v>22</v>
      </c>
      <c r="G294" t="str">
        <f t="shared" si="22"/>
        <v>ivs.services.data</v>
      </c>
      <c r="H294" t="str">
        <f t="shared" si="23"/>
        <v>IVSivs.services.dataWeb Service</v>
      </c>
      <c r="I294" t="str">
        <f t="shared" si="24"/>
        <v/>
      </c>
      <c r="J294">
        <f>IF(I294="",0,COUNTIF($I$2:I294,I294))</f>
        <v>0</v>
      </c>
      <c r="K294">
        <f>COUNTIF($J$2:J294,1)</f>
        <v>43</v>
      </c>
      <c r="N294">
        <v>1</v>
      </c>
      <c r="O294" t="s">
        <v>81</v>
      </c>
      <c r="P294" t="s">
        <v>148</v>
      </c>
      <c r="Q294" t="s">
        <v>149</v>
      </c>
      <c r="R294" t="s">
        <v>153</v>
      </c>
      <c r="S294" t="s">
        <v>154</v>
      </c>
      <c r="T294" t="s">
        <v>155</v>
      </c>
      <c r="U294" t="s">
        <v>156</v>
      </c>
      <c r="W294" t="s">
        <v>22</v>
      </c>
    </row>
    <row r="295" spans="1:26" hidden="1" x14ac:dyDescent="0.25">
      <c r="A295">
        <f>COUNTIF($P$2:P295,P295)</f>
        <v>33</v>
      </c>
      <c r="B295">
        <f>COUNTIF($A$2:A295,1)</f>
        <v>16</v>
      </c>
      <c r="C295" t="str">
        <f t="shared" si="20"/>
        <v>IVS</v>
      </c>
      <c r="D295" t="str">
        <f t="shared" si="21"/>
        <v>IVSParent</v>
      </c>
      <c r="E295">
        <f>COUNTIF($R$2:R295,R295)</f>
        <v>11</v>
      </c>
      <c r="F295">
        <f>COUNTIF($E$2:E295,1)</f>
        <v>22</v>
      </c>
      <c r="G295" t="str">
        <f t="shared" si="22"/>
        <v>ivs.services.data</v>
      </c>
      <c r="H295" t="str">
        <f t="shared" si="23"/>
        <v>IVSivs.services.dataParent</v>
      </c>
      <c r="I295" t="str">
        <f t="shared" si="24"/>
        <v/>
      </c>
      <c r="J295">
        <f>IF(I295="",0,COUNTIF($I$2:I295,I295))</f>
        <v>0</v>
      </c>
      <c r="K295">
        <f>COUNTIF($J$2:J295,1)</f>
        <v>43</v>
      </c>
      <c r="N295">
        <v>165</v>
      </c>
      <c r="O295" t="s">
        <v>15</v>
      </c>
      <c r="P295" t="s">
        <v>148</v>
      </c>
      <c r="Q295" t="s">
        <v>149</v>
      </c>
      <c r="R295" t="s">
        <v>153</v>
      </c>
      <c r="S295" t="s">
        <v>154</v>
      </c>
      <c r="T295" t="s">
        <v>155</v>
      </c>
      <c r="U295" t="s">
        <v>156</v>
      </c>
      <c r="W295" t="s">
        <v>21</v>
      </c>
    </row>
    <row r="296" spans="1:26" hidden="1" x14ac:dyDescent="0.25">
      <c r="A296">
        <f>COUNTIF($P$2:P296,P296)</f>
        <v>34</v>
      </c>
      <c r="B296">
        <f>COUNTIF($A$2:A296,1)</f>
        <v>16</v>
      </c>
      <c r="C296" t="str">
        <f t="shared" si="20"/>
        <v>IVS</v>
      </c>
      <c r="D296" t="str">
        <f t="shared" si="21"/>
        <v>IVSDevice</v>
      </c>
      <c r="E296">
        <f>COUNTIF($R$2:R296,R296)</f>
        <v>12</v>
      </c>
      <c r="F296">
        <f>COUNTIF($E$2:E296,1)</f>
        <v>22</v>
      </c>
      <c r="G296" t="str">
        <f t="shared" si="22"/>
        <v>ivs.services.data</v>
      </c>
      <c r="H296" t="str">
        <f t="shared" si="23"/>
        <v>IVSivs.services.dataDevice</v>
      </c>
      <c r="I296" t="str">
        <f t="shared" si="24"/>
        <v/>
      </c>
      <c r="J296">
        <f>IF(I296="",0,COUNTIF($I$2:I296,I296))</f>
        <v>0</v>
      </c>
      <c r="K296">
        <f>COUNTIF($J$2:J296,1)</f>
        <v>43</v>
      </c>
      <c r="N296">
        <v>8</v>
      </c>
      <c r="O296" t="s">
        <v>31</v>
      </c>
      <c r="P296" t="s">
        <v>148</v>
      </c>
      <c r="Q296" t="s">
        <v>149</v>
      </c>
      <c r="R296" t="s">
        <v>153</v>
      </c>
      <c r="S296" t="s">
        <v>154</v>
      </c>
      <c r="T296" t="s">
        <v>155</v>
      </c>
      <c r="U296" t="s">
        <v>156</v>
      </c>
      <c r="W296" t="s">
        <v>21</v>
      </c>
    </row>
    <row r="297" spans="1:26" hidden="1" x14ac:dyDescent="0.25">
      <c r="A297">
        <f>COUNTIF($P$2:P297,P297)</f>
        <v>35</v>
      </c>
      <c r="B297">
        <f>COUNTIF($A$2:A297,1)</f>
        <v>16</v>
      </c>
      <c r="C297" t="str">
        <f t="shared" si="20"/>
        <v>IVS</v>
      </c>
      <c r="D297" t="str">
        <f t="shared" si="21"/>
        <v>IVSIntegrator</v>
      </c>
      <c r="E297">
        <f>COUNTIF($R$2:R297,R297)</f>
        <v>13</v>
      </c>
      <c r="F297">
        <f>COUNTIF($E$2:E297,1)</f>
        <v>22</v>
      </c>
      <c r="G297" t="str">
        <f t="shared" si="22"/>
        <v>ivs.services.data</v>
      </c>
      <c r="H297" t="str">
        <f t="shared" si="23"/>
        <v>IVSivs.services.dataIntegrator</v>
      </c>
      <c r="I297" t="str">
        <f t="shared" si="24"/>
        <v/>
      </c>
      <c r="J297">
        <f>IF(I297="",0,COUNTIF($I$2:I297,I297))</f>
        <v>0</v>
      </c>
      <c r="K297">
        <f>COUNTIF($J$2:J297,1)</f>
        <v>43</v>
      </c>
      <c r="N297">
        <v>160</v>
      </c>
      <c r="O297" t="s">
        <v>23</v>
      </c>
      <c r="P297" t="s">
        <v>148</v>
      </c>
      <c r="Q297" t="s">
        <v>149</v>
      </c>
      <c r="R297" t="s">
        <v>153</v>
      </c>
      <c r="S297" t="s">
        <v>154</v>
      </c>
      <c r="T297" t="s">
        <v>155</v>
      </c>
      <c r="U297" t="s">
        <v>156</v>
      </c>
      <c r="W297" t="s">
        <v>21</v>
      </c>
    </row>
    <row r="298" spans="1:26" hidden="1" x14ac:dyDescent="0.25">
      <c r="A298">
        <f>COUNTIF($P$2:P298,P298)</f>
        <v>36</v>
      </c>
      <c r="B298">
        <f>COUNTIF($A$2:A298,1)</f>
        <v>16</v>
      </c>
      <c r="C298" t="str">
        <f t="shared" si="20"/>
        <v>IVS</v>
      </c>
      <c r="D298" t="str">
        <f t="shared" si="21"/>
        <v>IVSDevice</v>
      </c>
      <c r="E298">
        <f>COUNTIF($R$2:R298,R298)</f>
        <v>14</v>
      </c>
      <c r="F298">
        <f>COUNTIF($E$2:E298,1)</f>
        <v>22</v>
      </c>
      <c r="G298" t="str">
        <f t="shared" si="22"/>
        <v>ivs.services.data</v>
      </c>
      <c r="H298" t="str">
        <f t="shared" si="23"/>
        <v>IVSivs.services.dataDevice</v>
      </c>
      <c r="I298" t="str">
        <f t="shared" si="24"/>
        <v/>
      </c>
      <c r="J298">
        <f>IF(I298="",0,COUNTIF($I$2:I298,I298))</f>
        <v>0</v>
      </c>
      <c r="K298">
        <f>COUNTIF($J$2:J298,1)</f>
        <v>43</v>
      </c>
      <c r="N298">
        <v>1</v>
      </c>
      <c r="O298" t="s">
        <v>31</v>
      </c>
      <c r="P298" t="s">
        <v>148</v>
      </c>
      <c r="Q298" t="s">
        <v>149</v>
      </c>
      <c r="R298" t="s">
        <v>153</v>
      </c>
      <c r="S298" t="s">
        <v>154</v>
      </c>
      <c r="T298" t="s">
        <v>155</v>
      </c>
      <c r="U298" t="s">
        <v>156</v>
      </c>
      <c r="W298" t="s">
        <v>21</v>
      </c>
    </row>
    <row r="299" spans="1:26" hidden="1" x14ac:dyDescent="0.25">
      <c r="A299">
        <f>COUNTIF($P$2:P299,P299)</f>
        <v>37</v>
      </c>
      <c r="B299">
        <f>COUNTIF($A$2:A299,1)</f>
        <v>16</v>
      </c>
      <c r="C299" t="str">
        <f t="shared" si="20"/>
        <v>IVS</v>
      </c>
      <c r="D299" t="str">
        <f t="shared" si="21"/>
        <v>IVSParent</v>
      </c>
      <c r="E299">
        <f>COUNTIF($R$2:R299,R299)</f>
        <v>15</v>
      </c>
      <c r="F299">
        <f>COUNTIF($E$2:E299,1)</f>
        <v>22</v>
      </c>
      <c r="G299" t="str">
        <f t="shared" si="22"/>
        <v>ivs.services.data</v>
      </c>
      <c r="H299" t="str">
        <f t="shared" si="23"/>
        <v>IVSivs.services.dataParent</v>
      </c>
      <c r="I299" t="str">
        <f t="shared" si="24"/>
        <v/>
      </c>
      <c r="J299">
        <f>IF(I299="",0,COUNTIF($I$2:I299,I299))</f>
        <v>0</v>
      </c>
      <c r="K299">
        <f>COUNTIF($J$2:J299,1)</f>
        <v>43</v>
      </c>
      <c r="N299">
        <v>1</v>
      </c>
      <c r="O299" t="s">
        <v>15</v>
      </c>
      <c r="P299" t="s">
        <v>148</v>
      </c>
      <c r="Q299" t="s">
        <v>149</v>
      </c>
      <c r="R299" t="s">
        <v>153</v>
      </c>
      <c r="S299" t="s">
        <v>154</v>
      </c>
      <c r="T299" t="s">
        <v>155</v>
      </c>
      <c r="U299" t="s">
        <v>156</v>
      </c>
      <c r="W299" t="s">
        <v>21</v>
      </c>
    </row>
    <row r="300" spans="1:26" hidden="1" x14ac:dyDescent="0.25">
      <c r="A300">
        <f>COUNTIF($P$2:P300,P300)</f>
        <v>38</v>
      </c>
      <c r="B300">
        <f>COUNTIF($A$2:A300,1)</f>
        <v>16</v>
      </c>
      <c r="C300" t="str">
        <f t="shared" si="20"/>
        <v>IVS</v>
      </c>
      <c r="D300" t="str">
        <f t="shared" si="21"/>
        <v>IVSPerson</v>
      </c>
      <c r="E300">
        <f>COUNTIF($R$2:R300,R300)</f>
        <v>16</v>
      </c>
      <c r="F300">
        <f>COUNTIF($E$2:E300,1)</f>
        <v>22</v>
      </c>
      <c r="G300" t="str">
        <f t="shared" si="22"/>
        <v>ivs.services.data</v>
      </c>
      <c r="H300" t="str">
        <f t="shared" si="23"/>
        <v>IVSivs.services.dataPerson</v>
      </c>
      <c r="I300" t="str">
        <f t="shared" si="24"/>
        <v/>
      </c>
      <c r="J300">
        <f>IF(I300="",0,COUNTIF($I$2:I300,I300))</f>
        <v>0</v>
      </c>
      <c r="K300">
        <f>COUNTIF($J$2:J300,1)</f>
        <v>43</v>
      </c>
      <c r="N300">
        <v>1</v>
      </c>
      <c r="O300" t="s">
        <v>24</v>
      </c>
      <c r="P300" t="s">
        <v>148</v>
      </c>
      <c r="Q300" t="s">
        <v>149</v>
      </c>
      <c r="R300" t="s">
        <v>153</v>
      </c>
      <c r="S300" t="s">
        <v>154</v>
      </c>
      <c r="T300" t="s">
        <v>155</v>
      </c>
      <c r="U300" t="s">
        <v>156</v>
      </c>
      <c r="W300" t="s">
        <v>21</v>
      </c>
    </row>
    <row r="301" spans="1:26" hidden="1" x14ac:dyDescent="0.25">
      <c r="A301">
        <f>COUNTIF($P$2:P301,P301)</f>
        <v>39</v>
      </c>
      <c r="B301">
        <f>COUNTIF($A$2:A301,1)</f>
        <v>16</v>
      </c>
      <c r="C301" t="str">
        <f t="shared" si="20"/>
        <v>IVS</v>
      </c>
      <c r="D301" t="str">
        <f t="shared" si="21"/>
        <v>IVSDevice</v>
      </c>
      <c r="E301">
        <f>COUNTIF($R$2:R301,R301)</f>
        <v>17</v>
      </c>
      <c r="F301">
        <f>COUNTIF($E$2:E301,1)</f>
        <v>22</v>
      </c>
      <c r="G301" t="str">
        <f t="shared" si="22"/>
        <v>ivs.services.data</v>
      </c>
      <c r="H301" t="str">
        <f t="shared" si="23"/>
        <v>IVSivs.services.dataDevice</v>
      </c>
      <c r="I301" t="str">
        <f t="shared" si="24"/>
        <v/>
      </c>
      <c r="J301">
        <f>IF(I301="",0,COUNTIF($I$2:I301,I301))</f>
        <v>0</v>
      </c>
      <c r="K301">
        <f>COUNTIF($J$2:J301,1)</f>
        <v>43</v>
      </c>
      <c r="N301">
        <v>16</v>
      </c>
      <c r="O301" t="s">
        <v>31</v>
      </c>
      <c r="P301" t="s">
        <v>148</v>
      </c>
      <c r="Q301" t="s">
        <v>149</v>
      </c>
      <c r="R301" t="s">
        <v>153</v>
      </c>
      <c r="S301" t="s">
        <v>154</v>
      </c>
      <c r="T301" t="s">
        <v>155</v>
      </c>
      <c r="U301" t="s">
        <v>156</v>
      </c>
      <c r="W301" t="s">
        <v>21</v>
      </c>
    </row>
    <row r="302" spans="1:26" hidden="1" x14ac:dyDescent="0.25">
      <c r="A302">
        <f>COUNTIF($P$2:P302,P302)</f>
        <v>40</v>
      </c>
      <c r="B302">
        <f>COUNTIF($A$2:A302,1)</f>
        <v>16</v>
      </c>
      <c r="C302" t="str">
        <f t="shared" si="20"/>
        <v>IVS</v>
      </c>
      <c r="D302" t="str">
        <f t="shared" si="21"/>
        <v>IVSParent</v>
      </c>
      <c r="E302">
        <f>COUNTIF($R$2:R302,R302)</f>
        <v>18</v>
      </c>
      <c r="F302">
        <f>COUNTIF($E$2:E302,1)</f>
        <v>22</v>
      </c>
      <c r="G302" t="str">
        <f t="shared" si="22"/>
        <v>ivs.services.data</v>
      </c>
      <c r="H302" t="str">
        <f t="shared" si="23"/>
        <v>IVSivs.services.dataParent</v>
      </c>
      <c r="I302" t="str">
        <f t="shared" si="24"/>
        <v/>
      </c>
      <c r="J302">
        <f>IF(I302="",0,COUNTIF($I$2:I302,I302))</f>
        <v>0</v>
      </c>
      <c r="K302">
        <f>COUNTIF($J$2:J302,1)</f>
        <v>43</v>
      </c>
      <c r="N302">
        <v>2</v>
      </c>
      <c r="O302" t="s">
        <v>15</v>
      </c>
      <c r="P302" t="s">
        <v>148</v>
      </c>
      <c r="Q302" t="s">
        <v>149</v>
      </c>
      <c r="R302" t="s">
        <v>153</v>
      </c>
      <c r="S302" t="s">
        <v>154</v>
      </c>
      <c r="T302" t="s">
        <v>155</v>
      </c>
      <c r="U302" t="s">
        <v>156</v>
      </c>
      <c r="W302" t="s">
        <v>21</v>
      </c>
    </row>
    <row r="303" spans="1:26" hidden="1" x14ac:dyDescent="0.25">
      <c r="A303">
        <f>COUNTIF($P$2:P303,P303)</f>
        <v>41</v>
      </c>
      <c r="B303">
        <f>COUNTIF($A$2:A303,1)</f>
        <v>16</v>
      </c>
      <c r="C303" t="str">
        <f t="shared" si="20"/>
        <v>IVS</v>
      </c>
      <c r="D303" t="str">
        <f t="shared" si="21"/>
        <v>IVSWeb Service</v>
      </c>
      <c r="E303">
        <f>COUNTIF($R$2:R303,R303)</f>
        <v>19</v>
      </c>
      <c r="F303">
        <f>COUNTIF($E$2:E303,1)</f>
        <v>22</v>
      </c>
      <c r="G303" t="str">
        <f t="shared" si="22"/>
        <v>ivs.services.data</v>
      </c>
      <c r="H303" t="str">
        <f t="shared" si="23"/>
        <v>IVSivs.services.dataWeb Service</v>
      </c>
      <c r="I303" t="str">
        <f t="shared" si="24"/>
        <v/>
      </c>
      <c r="J303">
        <f>IF(I303="",0,COUNTIF($I$2:I303,I303))</f>
        <v>0</v>
      </c>
      <c r="K303">
        <f>COUNTIF($J$2:J303,1)</f>
        <v>43</v>
      </c>
      <c r="N303">
        <v>4</v>
      </c>
      <c r="O303" t="s">
        <v>81</v>
      </c>
      <c r="P303" t="s">
        <v>148</v>
      </c>
      <c r="Q303" t="s">
        <v>149</v>
      </c>
      <c r="R303" t="s">
        <v>153</v>
      </c>
      <c r="S303" t="s">
        <v>154</v>
      </c>
      <c r="T303" t="s">
        <v>155</v>
      </c>
      <c r="U303" t="s">
        <v>156</v>
      </c>
      <c r="W303" t="s">
        <v>21</v>
      </c>
    </row>
    <row r="304" spans="1:26" hidden="1" x14ac:dyDescent="0.25">
      <c r="A304">
        <f>COUNTIF($P$2:P304,P304)</f>
        <v>42</v>
      </c>
      <c r="B304">
        <f>COUNTIF($A$2:A304,1)</f>
        <v>16</v>
      </c>
      <c r="C304" t="str">
        <f t="shared" si="20"/>
        <v>IVS</v>
      </c>
      <c r="D304" t="str">
        <f t="shared" si="21"/>
        <v>IVSParent</v>
      </c>
      <c r="E304">
        <f>COUNTIF($R$2:R304,R304)</f>
        <v>1</v>
      </c>
      <c r="F304">
        <f>COUNTIF($E$2:E304,1)</f>
        <v>23</v>
      </c>
      <c r="G304" t="str">
        <f t="shared" si="22"/>
        <v>ivs.services.ivs</v>
      </c>
      <c r="H304" t="str">
        <f t="shared" si="23"/>
        <v>IVSivs.services.ivsParent</v>
      </c>
      <c r="I304" t="str">
        <f t="shared" si="24"/>
        <v>IVSivs.services.ivsavs.track.request</v>
      </c>
      <c r="J304">
        <f>IF(I304="",0,COUNTIF($I$2:I304,I304))</f>
        <v>1</v>
      </c>
      <c r="K304">
        <f>COUNTIF($J$2:J304,1)</f>
        <v>44</v>
      </c>
      <c r="N304">
        <v>1</v>
      </c>
      <c r="O304" t="s">
        <v>15</v>
      </c>
      <c r="P304" t="s">
        <v>148</v>
      </c>
      <c r="Q304" t="s">
        <v>149</v>
      </c>
      <c r="R304" t="s">
        <v>157</v>
      </c>
      <c r="S304" t="s">
        <v>158</v>
      </c>
      <c r="T304" t="s">
        <v>159</v>
      </c>
      <c r="U304" t="s">
        <v>20</v>
      </c>
      <c r="V304" t="s">
        <v>32</v>
      </c>
      <c r="W304" t="s">
        <v>21</v>
      </c>
      <c r="X304" t="s">
        <v>21</v>
      </c>
      <c r="Y304" t="b">
        <v>1</v>
      </c>
      <c r="Z304">
        <v>665</v>
      </c>
    </row>
    <row r="305" spans="1:26" hidden="1" x14ac:dyDescent="0.25">
      <c r="A305">
        <f>COUNTIF($P$2:P305,P305)</f>
        <v>43</v>
      </c>
      <c r="B305">
        <f>COUNTIF($A$2:A305,1)</f>
        <v>16</v>
      </c>
      <c r="C305" t="str">
        <f t="shared" si="20"/>
        <v>IVS</v>
      </c>
      <c r="D305" t="str">
        <f t="shared" si="21"/>
        <v>IVSDevice</v>
      </c>
      <c r="E305">
        <f>COUNTIF($R$2:R305,R305)</f>
        <v>2</v>
      </c>
      <c r="F305">
        <f>COUNTIF($E$2:E305,1)</f>
        <v>23</v>
      </c>
      <c r="G305" t="str">
        <f t="shared" si="22"/>
        <v>ivs.services.ivs</v>
      </c>
      <c r="H305" t="str">
        <f t="shared" si="23"/>
        <v>IVSivs.services.ivsDevice</v>
      </c>
      <c r="I305" t="str">
        <f t="shared" si="24"/>
        <v>IVSivs.services.ivsivs.track.request</v>
      </c>
      <c r="J305">
        <f>IF(I305="",0,COUNTIF($I$2:I305,I305))</f>
        <v>1</v>
      </c>
      <c r="K305">
        <f>COUNTIF($J$2:J305,1)</f>
        <v>45</v>
      </c>
      <c r="N305">
        <v>41</v>
      </c>
      <c r="O305" t="s">
        <v>31</v>
      </c>
      <c r="P305" t="s">
        <v>148</v>
      </c>
      <c r="Q305" t="s">
        <v>149</v>
      </c>
      <c r="R305" t="s">
        <v>157</v>
      </c>
      <c r="S305" t="s">
        <v>158</v>
      </c>
      <c r="T305" t="s">
        <v>159</v>
      </c>
      <c r="U305" t="s">
        <v>20</v>
      </c>
      <c r="V305" t="s">
        <v>33</v>
      </c>
      <c r="W305" t="s">
        <v>21</v>
      </c>
      <c r="X305" t="s">
        <v>21</v>
      </c>
      <c r="Y305" t="b">
        <v>1</v>
      </c>
      <c r="Z305">
        <v>4829</v>
      </c>
    </row>
    <row r="306" spans="1:26" hidden="1" x14ac:dyDescent="0.25">
      <c r="A306">
        <f>COUNTIF($P$2:P306,P306)</f>
        <v>44</v>
      </c>
      <c r="B306">
        <f>COUNTIF($A$2:A306,1)</f>
        <v>16</v>
      </c>
      <c r="C306" t="str">
        <f t="shared" si="20"/>
        <v>IVS</v>
      </c>
      <c r="D306" t="str">
        <f t="shared" si="21"/>
        <v>IVSIntegrator</v>
      </c>
      <c r="E306">
        <f>COUNTIF($R$2:R306,R306)</f>
        <v>3</v>
      </c>
      <c r="F306">
        <f>COUNTIF($E$2:E306,1)</f>
        <v>23</v>
      </c>
      <c r="G306" t="str">
        <f t="shared" si="22"/>
        <v>ivs.services.ivs</v>
      </c>
      <c r="H306" t="str">
        <f t="shared" si="23"/>
        <v>IVSivs.services.ivsIntegrator</v>
      </c>
      <c r="I306" t="str">
        <f t="shared" si="24"/>
        <v>IVSivs.services.ivsivs.track.request</v>
      </c>
      <c r="J306">
        <f>IF(I306="",0,COUNTIF($I$2:I306,I306))</f>
        <v>2</v>
      </c>
      <c r="K306">
        <f>COUNTIF($J$2:J306,1)</f>
        <v>45</v>
      </c>
      <c r="N306">
        <v>2</v>
      </c>
      <c r="O306" t="s">
        <v>23</v>
      </c>
      <c r="P306" t="s">
        <v>148</v>
      </c>
      <c r="Q306" t="s">
        <v>149</v>
      </c>
      <c r="R306" t="s">
        <v>157</v>
      </c>
      <c r="S306" t="s">
        <v>158</v>
      </c>
      <c r="T306" t="s">
        <v>159</v>
      </c>
      <c r="U306" t="s">
        <v>20</v>
      </c>
      <c r="V306" t="s">
        <v>33</v>
      </c>
      <c r="W306" t="s">
        <v>21</v>
      </c>
      <c r="X306" t="s">
        <v>21</v>
      </c>
      <c r="Y306" t="b">
        <v>1</v>
      </c>
      <c r="Z306">
        <v>4829</v>
      </c>
    </row>
    <row r="307" spans="1:26" hidden="1" x14ac:dyDescent="0.25">
      <c r="A307">
        <f>COUNTIF($P$2:P307,P307)</f>
        <v>45</v>
      </c>
      <c r="B307">
        <f>COUNTIF($A$2:A307,1)</f>
        <v>16</v>
      </c>
      <c r="C307" t="str">
        <f t="shared" si="20"/>
        <v>IVS</v>
      </c>
      <c r="D307" t="str">
        <f t="shared" si="21"/>
        <v>IVSParent</v>
      </c>
      <c r="E307">
        <f>COUNTIF($R$2:R307,R307)</f>
        <v>4</v>
      </c>
      <c r="F307">
        <f>COUNTIF($E$2:E307,1)</f>
        <v>23</v>
      </c>
      <c r="G307" t="str">
        <f t="shared" si="22"/>
        <v>ivs.services.ivs</v>
      </c>
      <c r="H307" t="str">
        <f t="shared" si="23"/>
        <v>IVSivs.services.ivsParent</v>
      </c>
      <c r="I307" t="str">
        <f t="shared" si="24"/>
        <v>IVSivs.services.ivsivs.track.request</v>
      </c>
      <c r="J307">
        <f>IF(I307="",0,COUNTIF($I$2:I307,I307))</f>
        <v>3</v>
      </c>
      <c r="K307">
        <f>COUNTIF($J$2:J307,1)</f>
        <v>45</v>
      </c>
      <c r="N307">
        <v>1</v>
      </c>
      <c r="O307" t="s">
        <v>15</v>
      </c>
      <c r="P307" t="s">
        <v>148</v>
      </c>
      <c r="Q307" t="s">
        <v>149</v>
      </c>
      <c r="R307" t="s">
        <v>157</v>
      </c>
      <c r="S307" t="s">
        <v>158</v>
      </c>
      <c r="T307" t="s">
        <v>159</v>
      </c>
      <c r="U307" t="s">
        <v>20</v>
      </c>
      <c r="V307" t="s">
        <v>33</v>
      </c>
      <c r="W307" t="s">
        <v>21</v>
      </c>
      <c r="X307" t="s">
        <v>21</v>
      </c>
      <c r="Y307" t="b">
        <v>1</v>
      </c>
      <c r="Z307">
        <v>4829</v>
      </c>
    </row>
    <row r="308" spans="1:26" hidden="1" x14ac:dyDescent="0.25">
      <c r="A308">
        <f>COUNTIF($P$2:P308,P308)</f>
        <v>46</v>
      </c>
      <c r="B308">
        <f>COUNTIF($A$2:A308,1)</f>
        <v>16</v>
      </c>
      <c r="C308" t="str">
        <f t="shared" si="20"/>
        <v>IVS</v>
      </c>
      <c r="D308" t="str">
        <f t="shared" si="21"/>
        <v>IVSDevice</v>
      </c>
      <c r="E308">
        <f>COUNTIF($R$2:R308,R308)</f>
        <v>5</v>
      </c>
      <c r="F308">
        <f>COUNTIF($E$2:E308,1)</f>
        <v>23</v>
      </c>
      <c r="G308" t="str">
        <f t="shared" si="22"/>
        <v>ivs.services.ivs</v>
      </c>
      <c r="H308" t="str">
        <f t="shared" si="23"/>
        <v>IVSivs.services.ivsDevice</v>
      </c>
      <c r="I308" t="str">
        <f t="shared" si="24"/>
        <v/>
      </c>
      <c r="J308">
        <f>IF(I308="",0,COUNTIF($I$2:I308,I308))</f>
        <v>0</v>
      </c>
      <c r="K308">
        <f>COUNTIF($J$2:J308,1)</f>
        <v>45</v>
      </c>
      <c r="N308">
        <v>1</v>
      </c>
      <c r="O308" t="s">
        <v>31</v>
      </c>
      <c r="P308" t="s">
        <v>148</v>
      </c>
      <c r="Q308" t="s">
        <v>149</v>
      </c>
      <c r="R308" t="s">
        <v>157</v>
      </c>
      <c r="S308" t="s">
        <v>158</v>
      </c>
      <c r="T308" t="s">
        <v>159</v>
      </c>
      <c r="U308" t="s">
        <v>20</v>
      </c>
      <c r="W308" t="s">
        <v>21</v>
      </c>
    </row>
    <row r="309" spans="1:26" hidden="1" x14ac:dyDescent="0.25">
      <c r="A309">
        <f>COUNTIF($P$2:P309,P309)</f>
        <v>47</v>
      </c>
      <c r="B309">
        <f>COUNTIF($A$2:A309,1)</f>
        <v>16</v>
      </c>
      <c r="C309" t="str">
        <f t="shared" si="20"/>
        <v>IVS</v>
      </c>
      <c r="D309" t="str">
        <f t="shared" si="21"/>
        <v>IVSParent</v>
      </c>
      <c r="E309">
        <f>COUNTIF($R$2:R309,R309)</f>
        <v>6</v>
      </c>
      <c r="F309">
        <f>COUNTIF($E$2:E309,1)</f>
        <v>23</v>
      </c>
      <c r="G309" t="str">
        <f t="shared" si="22"/>
        <v>ivs.services.ivs</v>
      </c>
      <c r="H309" t="str">
        <f t="shared" si="23"/>
        <v>IVSivs.services.ivsParent</v>
      </c>
      <c r="I309" t="str">
        <f t="shared" si="24"/>
        <v/>
      </c>
      <c r="J309">
        <f>IF(I309="",0,COUNTIF($I$2:I309,I309))</f>
        <v>0</v>
      </c>
      <c r="K309">
        <f>COUNTIF($J$2:J309,1)</f>
        <v>45</v>
      </c>
      <c r="N309">
        <v>1</v>
      </c>
      <c r="O309" t="s">
        <v>15</v>
      </c>
      <c r="P309" t="s">
        <v>148</v>
      </c>
      <c r="Q309" t="s">
        <v>149</v>
      </c>
      <c r="R309" t="s">
        <v>157</v>
      </c>
      <c r="S309" t="s">
        <v>158</v>
      </c>
      <c r="T309" t="s">
        <v>159</v>
      </c>
      <c r="U309" t="s">
        <v>20</v>
      </c>
      <c r="W309" t="s">
        <v>21</v>
      </c>
    </row>
    <row r="310" spans="1:26" hidden="1" x14ac:dyDescent="0.25">
      <c r="A310">
        <f>COUNTIF($P$2:P310,P310)</f>
        <v>48</v>
      </c>
      <c r="B310">
        <f>COUNTIF($A$2:A310,1)</f>
        <v>16</v>
      </c>
      <c r="C310" t="str">
        <f t="shared" si="20"/>
        <v>IVS</v>
      </c>
      <c r="D310" t="str">
        <f t="shared" si="21"/>
        <v>IVSParent</v>
      </c>
      <c r="E310">
        <f>COUNTIF($R$2:R310,R310)</f>
        <v>7</v>
      </c>
      <c r="F310">
        <f>COUNTIF($E$2:E310,1)</f>
        <v>23</v>
      </c>
      <c r="G310" t="str">
        <f t="shared" si="22"/>
        <v>ivs.services.ivs</v>
      </c>
      <c r="H310" t="str">
        <f t="shared" si="23"/>
        <v>IVSivs.services.ivsParent</v>
      </c>
      <c r="I310" t="str">
        <f t="shared" si="24"/>
        <v/>
      </c>
      <c r="J310">
        <f>IF(I310="",0,COUNTIF($I$2:I310,I310))</f>
        <v>0</v>
      </c>
      <c r="K310">
        <f>COUNTIF($J$2:J310,1)</f>
        <v>45</v>
      </c>
      <c r="N310">
        <v>2</v>
      </c>
      <c r="O310" t="s">
        <v>15</v>
      </c>
      <c r="P310" t="s">
        <v>148</v>
      </c>
      <c r="Q310" t="s">
        <v>149</v>
      </c>
      <c r="R310" t="s">
        <v>157</v>
      </c>
      <c r="S310" t="s">
        <v>158</v>
      </c>
      <c r="T310" t="s">
        <v>159</v>
      </c>
      <c r="U310" t="s">
        <v>20</v>
      </c>
      <c r="W310" t="s">
        <v>21</v>
      </c>
    </row>
    <row r="311" spans="1:26" hidden="1" x14ac:dyDescent="0.25">
      <c r="A311">
        <f>COUNTIF($P$2:P311,P311)</f>
        <v>49</v>
      </c>
      <c r="B311">
        <f>COUNTIF($A$2:A311,1)</f>
        <v>16</v>
      </c>
      <c r="C311" t="str">
        <f t="shared" si="20"/>
        <v>IVS</v>
      </c>
      <c r="D311" t="str">
        <f t="shared" si="21"/>
        <v>IVSDevice</v>
      </c>
      <c r="E311">
        <f>COUNTIF($R$2:R311,R311)</f>
        <v>8</v>
      </c>
      <c r="F311">
        <f>COUNTIF($E$2:E311,1)</f>
        <v>23</v>
      </c>
      <c r="G311" t="str">
        <f t="shared" si="22"/>
        <v>ivs.services.ivs</v>
      </c>
      <c r="H311" t="str">
        <f t="shared" si="23"/>
        <v>IVSivs.services.ivsDevice</v>
      </c>
      <c r="I311" t="str">
        <f t="shared" si="24"/>
        <v/>
      </c>
      <c r="J311">
        <f>IF(I311="",0,COUNTIF($I$2:I311,I311))</f>
        <v>0</v>
      </c>
      <c r="K311">
        <f>COUNTIF($J$2:J311,1)</f>
        <v>45</v>
      </c>
      <c r="N311">
        <v>16</v>
      </c>
      <c r="O311" t="s">
        <v>31</v>
      </c>
      <c r="P311" t="s">
        <v>148</v>
      </c>
      <c r="Q311" t="s">
        <v>149</v>
      </c>
      <c r="R311" t="s">
        <v>157</v>
      </c>
      <c r="S311" t="s">
        <v>158</v>
      </c>
      <c r="T311" t="s">
        <v>159</v>
      </c>
      <c r="U311" t="s">
        <v>20</v>
      </c>
      <c r="W311" t="s">
        <v>21</v>
      </c>
    </row>
    <row r="312" spans="1:26" hidden="1" x14ac:dyDescent="0.25">
      <c r="A312">
        <f>COUNTIF($P$2:P312,P312)</f>
        <v>50</v>
      </c>
      <c r="B312">
        <f>COUNTIF($A$2:A312,1)</f>
        <v>16</v>
      </c>
      <c r="C312" t="str">
        <f t="shared" si="20"/>
        <v>IVS</v>
      </c>
      <c r="D312" t="str">
        <f t="shared" si="21"/>
        <v>IVSParent</v>
      </c>
      <c r="E312">
        <f>COUNTIF($R$2:R312,R312)</f>
        <v>9</v>
      </c>
      <c r="F312">
        <f>COUNTIF($E$2:E312,1)</f>
        <v>23</v>
      </c>
      <c r="G312" t="str">
        <f t="shared" si="22"/>
        <v>ivs.services.ivs</v>
      </c>
      <c r="H312" t="str">
        <f t="shared" si="23"/>
        <v>IVSivs.services.ivsParent</v>
      </c>
      <c r="I312" t="str">
        <f t="shared" si="24"/>
        <v/>
      </c>
      <c r="J312">
        <f>IF(I312="",0,COUNTIF($I$2:I312,I312))</f>
        <v>0</v>
      </c>
      <c r="K312">
        <f>COUNTIF($J$2:J312,1)</f>
        <v>45</v>
      </c>
      <c r="N312">
        <v>2</v>
      </c>
      <c r="O312" t="s">
        <v>15</v>
      </c>
      <c r="P312" t="s">
        <v>148</v>
      </c>
      <c r="Q312" t="s">
        <v>149</v>
      </c>
      <c r="R312" t="s">
        <v>157</v>
      </c>
      <c r="S312" t="s">
        <v>158</v>
      </c>
      <c r="T312" t="s">
        <v>159</v>
      </c>
      <c r="U312" t="s">
        <v>20</v>
      </c>
      <c r="W312" t="s">
        <v>21</v>
      </c>
    </row>
    <row r="313" spans="1:26" hidden="1" x14ac:dyDescent="0.25">
      <c r="A313">
        <f>COUNTIF($P$2:P313,P313)</f>
        <v>51</v>
      </c>
      <c r="B313">
        <f>COUNTIF($A$2:A313,1)</f>
        <v>16</v>
      </c>
      <c r="C313" t="str">
        <f t="shared" si="20"/>
        <v>IVS</v>
      </c>
      <c r="D313" t="str">
        <f t="shared" si="21"/>
        <v>IVSWeb Service</v>
      </c>
      <c r="E313">
        <f>COUNTIF($R$2:R313,R313)</f>
        <v>10</v>
      </c>
      <c r="F313">
        <f>COUNTIF($E$2:E313,1)</f>
        <v>23</v>
      </c>
      <c r="G313" t="str">
        <f t="shared" si="22"/>
        <v>ivs.services.ivs</v>
      </c>
      <c r="H313" t="str">
        <f t="shared" si="23"/>
        <v>IVSivs.services.ivsWeb Service</v>
      </c>
      <c r="I313" t="str">
        <f t="shared" si="24"/>
        <v/>
      </c>
      <c r="J313">
        <f>IF(I313="",0,COUNTIF($I$2:I313,I313))</f>
        <v>0</v>
      </c>
      <c r="K313">
        <f>COUNTIF($J$2:J313,1)</f>
        <v>45</v>
      </c>
      <c r="N313">
        <v>4</v>
      </c>
      <c r="O313" t="s">
        <v>81</v>
      </c>
      <c r="P313" t="s">
        <v>148</v>
      </c>
      <c r="Q313" t="s">
        <v>149</v>
      </c>
      <c r="R313" t="s">
        <v>157</v>
      </c>
      <c r="S313" t="s">
        <v>158</v>
      </c>
      <c r="T313" t="s">
        <v>159</v>
      </c>
      <c r="U313" t="s">
        <v>20</v>
      </c>
      <c r="W313" t="s">
        <v>21</v>
      </c>
    </row>
    <row r="314" spans="1:26" hidden="1" x14ac:dyDescent="0.25">
      <c r="A314">
        <f>COUNTIF($P$2:P314,P314)</f>
        <v>52</v>
      </c>
      <c r="B314">
        <f>COUNTIF($A$2:A314,1)</f>
        <v>16</v>
      </c>
      <c r="C314" t="str">
        <f t="shared" si="20"/>
        <v>IVS</v>
      </c>
      <c r="D314" t="str">
        <f t="shared" si="21"/>
        <v>IVSParent</v>
      </c>
      <c r="E314">
        <f>COUNTIF($R$2:R314,R314)</f>
        <v>11</v>
      </c>
      <c r="F314">
        <f>COUNTIF($E$2:E314,1)</f>
        <v>23</v>
      </c>
      <c r="G314" t="str">
        <f t="shared" si="22"/>
        <v>ivs.services.ivs</v>
      </c>
      <c r="H314" t="str">
        <f t="shared" si="23"/>
        <v>IVSivs.services.ivsParent</v>
      </c>
      <c r="I314" t="str">
        <f t="shared" si="24"/>
        <v/>
      </c>
      <c r="J314">
        <f>IF(I314="",0,COUNTIF($I$2:I314,I314))</f>
        <v>0</v>
      </c>
      <c r="K314">
        <f>COUNTIF($J$2:J314,1)</f>
        <v>45</v>
      </c>
      <c r="N314">
        <v>164</v>
      </c>
      <c r="O314" t="s">
        <v>15</v>
      </c>
      <c r="P314" t="s">
        <v>148</v>
      </c>
      <c r="Q314" t="s">
        <v>149</v>
      </c>
      <c r="R314" t="s">
        <v>157</v>
      </c>
      <c r="S314" t="s">
        <v>158</v>
      </c>
      <c r="T314" t="s">
        <v>159</v>
      </c>
      <c r="U314" t="s">
        <v>20</v>
      </c>
      <c r="W314" t="s">
        <v>22</v>
      </c>
    </row>
    <row r="315" spans="1:26" hidden="1" x14ac:dyDescent="0.25">
      <c r="A315">
        <f>COUNTIF($P$2:P315,P315)</f>
        <v>53</v>
      </c>
      <c r="B315">
        <f>COUNTIF($A$2:A315,1)</f>
        <v>16</v>
      </c>
      <c r="C315" t="str">
        <f t="shared" si="20"/>
        <v>IVS</v>
      </c>
      <c r="D315" t="str">
        <f t="shared" si="21"/>
        <v>IVSPerson</v>
      </c>
      <c r="E315">
        <f>COUNTIF($R$2:R315,R315)</f>
        <v>12</v>
      </c>
      <c r="F315">
        <f>COUNTIF($E$2:E315,1)</f>
        <v>23</v>
      </c>
      <c r="G315" t="str">
        <f t="shared" si="22"/>
        <v>ivs.services.ivs</v>
      </c>
      <c r="H315" t="str">
        <f t="shared" si="23"/>
        <v>IVSivs.services.ivsPerson</v>
      </c>
      <c r="I315" t="str">
        <f t="shared" si="24"/>
        <v/>
      </c>
      <c r="J315">
        <f>IF(I315="",0,COUNTIF($I$2:I315,I315))</f>
        <v>0</v>
      </c>
      <c r="K315">
        <f>COUNTIF($J$2:J315,1)</f>
        <v>45</v>
      </c>
      <c r="N315">
        <v>1</v>
      </c>
      <c r="O315" t="s">
        <v>24</v>
      </c>
      <c r="P315" t="s">
        <v>148</v>
      </c>
      <c r="Q315" t="s">
        <v>149</v>
      </c>
      <c r="R315" t="s">
        <v>157</v>
      </c>
      <c r="S315" t="s">
        <v>158</v>
      </c>
      <c r="T315" t="s">
        <v>159</v>
      </c>
      <c r="U315" t="s">
        <v>20</v>
      </c>
      <c r="W315" t="s">
        <v>21</v>
      </c>
    </row>
    <row r="316" spans="1:26" hidden="1" x14ac:dyDescent="0.25">
      <c r="A316">
        <f>COUNTIF($P$2:P316,P316)</f>
        <v>54</v>
      </c>
      <c r="B316">
        <f>COUNTIF($A$2:A316,1)</f>
        <v>16</v>
      </c>
      <c r="C316" t="str">
        <f t="shared" si="20"/>
        <v>IVS</v>
      </c>
      <c r="D316" t="str">
        <f t="shared" si="21"/>
        <v>IVSIntegrator</v>
      </c>
      <c r="E316">
        <f>COUNTIF($R$2:R316,R316)</f>
        <v>13</v>
      </c>
      <c r="F316">
        <f>COUNTIF($E$2:E316,1)</f>
        <v>23</v>
      </c>
      <c r="G316" t="str">
        <f t="shared" si="22"/>
        <v>ivs.services.ivs</v>
      </c>
      <c r="H316" t="str">
        <f t="shared" si="23"/>
        <v>IVSivs.services.ivsIntegrator</v>
      </c>
      <c r="I316" t="str">
        <f t="shared" si="24"/>
        <v/>
      </c>
      <c r="J316">
        <f>IF(I316="",0,COUNTIF($I$2:I316,I316))</f>
        <v>0</v>
      </c>
      <c r="K316">
        <f>COUNTIF($J$2:J316,1)</f>
        <v>45</v>
      </c>
      <c r="N316">
        <v>160</v>
      </c>
      <c r="O316" t="s">
        <v>23</v>
      </c>
      <c r="P316" t="s">
        <v>148</v>
      </c>
      <c r="Q316" t="s">
        <v>149</v>
      </c>
      <c r="R316" t="s">
        <v>157</v>
      </c>
      <c r="S316" t="s">
        <v>158</v>
      </c>
      <c r="T316" t="s">
        <v>159</v>
      </c>
      <c r="U316" t="s">
        <v>20</v>
      </c>
      <c r="W316" t="s">
        <v>21</v>
      </c>
    </row>
    <row r="317" spans="1:26" hidden="1" x14ac:dyDescent="0.25">
      <c r="A317">
        <f>COUNTIF($P$2:P317,P317)</f>
        <v>55</v>
      </c>
      <c r="B317">
        <f>COUNTIF($A$2:A317,1)</f>
        <v>16</v>
      </c>
      <c r="C317" t="str">
        <f t="shared" si="20"/>
        <v>IVS</v>
      </c>
      <c r="D317" t="str">
        <f t="shared" si="21"/>
        <v>IVSDevice</v>
      </c>
      <c r="E317">
        <f>COUNTIF($R$2:R317,R317)</f>
        <v>14</v>
      </c>
      <c r="F317">
        <f>COUNTIF($E$2:E317,1)</f>
        <v>23</v>
      </c>
      <c r="G317" t="str">
        <f t="shared" si="22"/>
        <v>ivs.services.ivs</v>
      </c>
      <c r="H317" t="str">
        <f t="shared" si="23"/>
        <v>IVSivs.services.ivsDevice</v>
      </c>
      <c r="I317" t="str">
        <f t="shared" si="24"/>
        <v/>
      </c>
      <c r="J317">
        <f>IF(I317="",0,COUNTIF($I$2:I317,I317))</f>
        <v>0</v>
      </c>
      <c r="K317">
        <f>COUNTIF($J$2:J317,1)</f>
        <v>45</v>
      </c>
      <c r="N317">
        <v>8</v>
      </c>
      <c r="O317" t="s">
        <v>31</v>
      </c>
      <c r="P317" t="s">
        <v>148</v>
      </c>
      <c r="Q317" t="s">
        <v>149</v>
      </c>
      <c r="R317" t="s">
        <v>157</v>
      </c>
      <c r="S317" t="s">
        <v>158</v>
      </c>
      <c r="T317" t="s">
        <v>159</v>
      </c>
      <c r="U317" t="s">
        <v>20</v>
      </c>
      <c r="W317" t="s">
        <v>21</v>
      </c>
    </row>
    <row r="318" spans="1:26" hidden="1" x14ac:dyDescent="0.25">
      <c r="A318">
        <f>COUNTIF($P$2:P318,P318)</f>
        <v>56</v>
      </c>
      <c r="B318">
        <f>COUNTIF($A$2:A318,1)</f>
        <v>16</v>
      </c>
      <c r="C318" t="str">
        <f t="shared" si="20"/>
        <v>IVS</v>
      </c>
      <c r="D318" t="str">
        <f t="shared" si="21"/>
        <v>IVSParent</v>
      </c>
      <c r="E318">
        <f>COUNTIF($R$2:R318,R318)</f>
        <v>15</v>
      </c>
      <c r="F318">
        <f>COUNTIF($E$2:E318,1)</f>
        <v>23</v>
      </c>
      <c r="G318" t="str">
        <f t="shared" si="22"/>
        <v>ivs.services.ivs</v>
      </c>
      <c r="H318" t="str">
        <f t="shared" si="23"/>
        <v>IVSivs.services.ivsParent</v>
      </c>
      <c r="I318" t="str">
        <f t="shared" si="24"/>
        <v/>
      </c>
      <c r="J318">
        <f>IF(I318="",0,COUNTIF($I$2:I318,I318))</f>
        <v>0</v>
      </c>
      <c r="K318">
        <f>COUNTIF($J$2:J318,1)</f>
        <v>45</v>
      </c>
      <c r="N318">
        <v>165</v>
      </c>
      <c r="O318" t="s">
        <v>15</v>
      </c>
      <c r="P318" t="s">
        <v>148</v>
      </c>
      <c r="Q318" t="s">
        <v>149</v>
      </c>
      <c r="R318" t="s">
        <v>157</v>
      </c>
      <c r="S318" t="s">
        <v>158</v>
      </c>
      <c r="T318" t="s">
        <v>159</v>
      </c>
      <c r="U318" t="s">
        <v>20</v>
      </c>
      <c r="W318" t="s">
        <v>21</v>
      </c>
    </row>
    <row r="319" spans="1:26" hidden="1" x14ac:dyDescent="0.25">
      <c r="A319">
        <f>COUNTIF($P$2:P319,P319)</f>
        <v>57</v>
      </c>
      <c r="B319">
        <f>COUNTIF($A$2:A319,1)</f>
        <v>16</v>
      </c>
      <c r="C319" t="str">
        <f t="shared" si="20"/>
        <v>IVS</v>
      </c>
      <c r="D319" t="str">
        <f t="shared" si="21"/>
        <v>IVSDevice</v>
      </c>
      <c r="E319">
        <f>COUNTIF($R$2:R319,R319)</f>
        <v>16</v>
      </c>
      <c r="F319">
        <f>COUNTIF($E$2:E319,1)</f>
        <v>23</v>
      </c>
      <c r="G319" t="str">
        <f t="shared" si="22"/>
        <v>ivs.services.ivs</v>
      </c>
      <c r="H319" t="str">
        <f t="shared" si="23"/>
        <v>IVSivs.services.ivsDevice</v>
      </c>
      <c r="I319" t="str">
        <f t="shared" si="24"/>
        <v/>
      </c>
      <c r="J319">
        <f>IF(I319="",0,COUNTIF($I$2:I319,I319))</f>
        <v>0</v>
      </c>
      <c r="K319">
        <f>COUNTIF($J$2:J319,1)</f>
        <v>45</v>
      </c>
      <c r="N319">
        <v>8</v>
      </c>
      <c r="O319" t="s">
        <v>31</v>
      </c>
      <c r="P319" t="s">
        <v>148</v>
      </c>
      <c r="Q319" t="s">
        <v>149</v>
      </c>
      <c r="R319" t="s">
        <v>157</v>
      </c>
      <c r="S319" t="s">
        <v>158</v>
      </c>
      <c r="T319" t="s">
        <v>159</v>
      </c>
      <c r="U319" t="s">
        <v>20</v>
      </c>
      <c r="W319" t="s">
        <v>22</v>
      </c>
    </row>
    <row r="320" spans="1:26" hidden="1" x14ac:dyDescent="0.25">
      <c r="A320">
        <f>COUNTIF($P$2:P320,P320)</f>
        <v>58</v>
      </c>
      <c r="B320">
        <f>COUNTIF($A$2:A320,1)</f>
        <v>16</v>
      </c>
      <c r="C320" t="str">
        <f t="shared" si="20"/>
        <v>IVS</v>
      </c>
      <c r="D320" t="str">
        <f t="shared" si="21"/>
        <v>IVSIntegrator</v>
      </c>
      <c r="E320">
        <f>COUNTIF($R$2:R320,R320)</f>
        <v>17</v>
      </c>
      <c r="F320">
        <f>COUNTIF($E$2:E320,1)</f>
        <v>23</v>
      </c>
      <c r="G320" t="str">
        <f t="shared" si="22"/>
        <v>ivs.services.ivs</v>
      </c>
      <c r="H320" t="str">
        <f t="shared" si="23"/>
        <v>IVSivs.services.ivsIntegrator</v>
      </c>
      <c r="I320" t="str">
        <f t="shared" si="24"/>
        <v/>
      </c>
      <c r="J320">
        <f>IF(I320="",0,COUNTIF($I$2:I320,I320))</f>
        <v>0</v>
      </c>
      <c r="K320">
        <f>COUNTIF($J$2:J320,1)</f>
        <v>45</v>
      </c>
      <c r="N320">
        <v>160</v>
      </c>
      <c r="O320" t="s">
        <v>23</v>
      </c>
      <c r="P320" t="s">
        <v>148</v>
      </c>
      <c r="Q320" t="s">
        <v>149</v>
      </c>
      <c r="R320" t="s">
        <v>157</v>
      </c>
      <c r="S320" t="s">
        <v>158</v>
      </c>
      <c r="T320" t="s">
        <v>159</v>
      </c>
      <c r="U320" t="s">
        <v>20</v>
      </c>
      <c r="W320" t="s">
        <v>22</v>
      </c>
    </row>
    <row r="321" spans="1:26" hidden="1" x14ac:dyDescent="0.25">
      <c r="A321">
        <f>COUNTIF($P$2:P321,P321)</f>
        <v>59</v>
      </c>
      <c r="B321">
        <f>COUNTIF($A$2:A321,1)</f>
        <v>16</v>
      </c>
      <c r="C321" t="str">
        <f t="shared" si="20"/>
        <v>IVS</v>
      </c>
      <c r="D321" t="str">
        <f t="shared" si="21"/>
        <v>IVSParent</v>
      </c>
      <c r="E321">
        <f>COUNTIF($R$2:R321,R321)</f>
        <v>18</v>
      </c>
      <c r="F321">
        <f>COUNTIF($E$2:E321,1)</f>
        <v>23</v>
      </c>
      <c r="G321" t="str">
        <f t="shared" si="22"/>
        <v>ivs.services.ivs</v>
      </c>
      <c r="H321" t="str">
        <f t="shared" si="23"/>
        <v>IVSivs.services.ivsParent</v>
      </c>
      <c r="I321" t="str">
        <f t="shared" si="24"/>
        <v/>
      </c>
      <c r="J321">
        <f>IF(I321="",0,COUNTIF($I$2:I321,I321))</f>
        <v>0</v>
      </c>
      <c r="K321">
        <f>COUNTIF($J$2:J321,1)</f>
        <v>45</v>
      </c>
      <c r="N321">
        <v>1</v>
      </c>
      <c r="O321" t="s">
        <v>15</v>
      </c>
      <c r="P321" t="s">
        <v>148</v>
      </c>
      <c r="Q321" t="s">
        <v>149</v>
      </c>
      <c r="R321" t="s">
        <v>157</v>
      </c>
      <c r="S321" t="s">
        <v>158</v>
      </c>
      <c r="T321" t="s">
        <v>159</v>
      </c>
      <c r="U321" t="s">
        <v>20</v>
      </c>
      <c r="W321" t="s">
        <v>22</v>
      </c>
    </row>
    <row r="322" spans="1:26" hidden="1" x14ac:dyDescent="0.25">
      <c r="A322">
        <f>COUNTIF($P$2:P322,P322)</f>
        <v>60</v>
      </c>
      <c r="B322">
        <f>COUNTIF($A$2:A322,1)</f>
        <v>16</v>
      </c>
      <c r="C322" t="str">
        <f t="shared" si="20"/>
        <v>IVS</v>
      </c>
      <c r="D322" t="str">
        <f t="shared" si="21"/>
        <v>IVSDevice</v>
      </c>
      <c r="E322">
        <f>COUNTIF($R$2:R322,R322)</f>
        <v>19</v>
      </c>
      <c r="F322">
        <f>COUNTIF($E$2:E322,1)</f>
        <v>23</v>
      </c>
      <c r="G322" t="str">
        <f t="shared" si="22"/>
        <v>ivs.services.ivs</v>
      </c>
      <c r="H322" t="str">
        <f t="shared" si="23"/>
        <v>IVSivs.services.ivsDevice</v>
      </c>
      <c r="I322" t="str">
        <f t="shared" si="24"/>
        <v/>
      </c>
      <c r="J322">
        <f>IF(I322="",0,COUNTIF($I$2:I322,I322))</f>
        <v>0</v>
      </c>
      <c r="K322">
        <f>COUNTIF($J$2:J322,1)</f>
        <v>45</v>
      </c>
      <c r="N322">
        <v>1</v>
      </c>
      <c r="O322" t="s">
        <v>31</v>
      </c>
      <c r="P322" t="s">
        <v>148</v>
      </c>
      <c r="Q322" t="s">
        <v>149</v>
      </c>
      <c r="R322" t="s">
        <v>157</v>
      </c>
      <c r="S322" t="s">
        <v>158</v>
      </c>
      <c r="T322" t="s">
        <v>159</v>
      </c>
      <c r="U322" t="s">
        <v>20</v>
      </c>
      <c r="W322" t="s">
        <v>22</v>
      </c>
    </row>
    <row r="323" spans="1:26" hidden="1" x14ac:dyDescent="0.25">
      <c r="A323">
        <f>COUNTIF($P$2:P323,P323)</f>
        <v>61</v>
      </c>
      <c r="B323">
        <f>COUNTIF($A$2:A323,1)</f>
        <v>16</v>
      </c>
      <c r="C323" t="str">
        <f t="shared" ref="C323:C386" si="25">IF(A323=1,P323,C322)</f>
        <v>IVS</v>
      </c>
      <c r="D323" t="str">
        <f t="shared" ref="D323:D386" si="26">C323&amp;O323</f>
        <v>IVSPerson</v>
      </c>
      <c r="E323">
        <f>COUNTIF($R$2:R323,R323)</f>
        <v>20</v>
      </c>
      <c r="F323">
        <f>COUNTIF($E$2:E323,1)</f>
        <v>23</v>
      </c>
      <c r="G323" t="str">
        <f t="shared" ref="G323:G386" si="27">IF(E323=1,R323,G322)</f>
        <v>ivs.services.ivs</v>
      </c>
      <c r="H323" t="str">
        <f t="shared" ref="H323:H386" si="28">C323&amp;G323&amp;O323</f>
        <v>IVSivs.services.ivsPerson</v>
      </c>
      <c r="I323" t="str">
        <f t="shared" ref="I323:I386" si="29">IF(V323="","",P323&amp;R323&amp;V323)</f>
        <v/>
      </c>
      <c r="J323">
        <f>IF(I323="",0,COUNTIF($I$2:I323,I323))</f>
        <v>0</v>
      </c>
      <c r="K323">
        <f>COUNTIF($J$2:J323,1)</f>
        <v>45</v>
      </c>
      <c r="N323">
        <v>1</v>
      </c>
      <c r="O323" t="s">
        <v>24</v>
      </c>
      <c r="P323" t="s">
        <v>148</v>
      </c>
      <c r="Q323" t="s">
        <v>149</v>
      </c>
      <c r="R323" t="s">
        <v>157</v>
      </c>
      <c r="S323" t="s">
        <v>158</v>
      </c>
      <c r="T323" t="s">
        <v>159</v>
      </c>
      <c r="U323" t="s">
        <v>20</v>
      </c>
      <c r="W323" t="s">
        <v>22</v>
      </c>
    </row>
    <row r="324" spans="1:26" hidden="1" x14ac:dyDescent="0.25">
      <c r="A324">
        <f>COUNTIF($P$2:P324,P324)</f>
        <v>62</v>
      </c>
      <c r="B324">
        <f>COUNTIF($A$2:A324,1)</f>
        <v>16</v>
      </c>
      <c r="C324" t="str">
        <f t="shared" si="25"/>
        <v>IVS</v>
      </c>
      <c r="D324" t="str">
        <f t="shared" si="26"/>
        <v>IVSDevice</v>
      </c>
      <c r="E324">
        <f>COUNTIF($R$2:R324,R324)</f>
        <v>21</v>
      </c>
      <c r="F324">
        <f>COUNTIF($E$2:E324,1)</f>
        <v>23</v>
      </c>
      <c r="G324" t="str">
        <f t="shared" si="27"/>
        <v>ivs.services.ivs</v>
      </c>
      <c r="H324" t="str">
        <f t="shared" si="28"/>
        <v>IVSivs.services.ivsDevice</v>
      </c>
      <c r="I324" t="str">
        <f t="shared" si="29"/>
        <v/>
      </c>
      <c r="J324">
        <f>IF(I324="",0,COUNTIF($I$2:I324,I324))</f>
        <v>0</v>
      </c>
      <c r="K324">
        <f>COUNTIF($J$2:J324,1)</f>
        <v>45</v>
      </c>
      <c r="N324">
        <v>50</v>
      </c>
      <c r="O324" t="s">
        <v>31</v>
      </c>
      <c r="P324" t="s">
        <v>148</v>
      </c>
      <c r="Q324" t="s">
        <v>149</v>
      </c>
      <c r="R324" t="s">
        <v>157</v>
      </c>
      <c r="S324" t="s">
        <v>158</v>
      </c>
      <c r="T324" t="s">
        <v>159</v>
      </c>
      <c r="U324" t="s">
        <v>20</v>
      </c>
      <c r="W324" t="s">
        <v>22</v>
      </c>
    </row>
    <row r="325" spans="1:26" hidden="1" x14ac:dyDescent="0.25">
      <c r="A325">
        <f>COUNTIF($P$2:P325,P325)</f>
        <v>63</v>
      </c>
      <c r="B325">
        <f>COUNTIF($A$2:A325,1)</f>
        <v>16</v>
      </c>
      <c r="C325" t="str">
        <f t="shared" si="25"/>
        <v>IVS</v>
      </c>
      <c r="D325" t="str">
        <f t="shared" si="26"/>
        <v>IVSParent</v>
      </c>
      <c r="E325">
        <f>COUNTIF($R$2:R325,R325)</f>
        <v>22</v>
      </c>
      <c r="F325">
        <f>COUNTIF($E$2:E325,1)</f>
        <v>23</v>
      </c>
      <c r="G325" t="str">
        <f t="shared" si="27"/>
        <v>ivs.services.ivs</v>
      </c>
      <c r="H325" t="str">
        <f t="shared" si="28"/>
        <v>IVSivs.services.ivsParent</v>
      </c>
      <c r="I325" t="str">
        <f t="shared" si="29"/>
        <v/>
      </c>
      <c r="J325">
        <f>IF(I325="",0,COUNTIF($I$2:I325,I325))</f>
        <v>0</v>
      </c>
      <c r="K325">
        <f>COUNTIF($J$2:J325,1)</f>
        <v>45</v>
      </c>
      <c r="N325">
        <v>1</v>
      </c>
      <c r="O325" t="s">
        <v>15</v>
      </c>
      <c r="P325" t="s">
        <v>148</v>
      </c>
      <c r="Q325" t="s">
        <v>149</v>
      </c>
      <c r="R325" t="s">
        <v>157</v>
      </c>
      <c r="S325" t="s">
        <v>158</v>
      </c>
      <c r="T325" t="s">
        <v>159</v>
      </c>
      <c r="U325" t="s">
        <v>20</v>
      </c>
      <c r="W325" t="s">
        <v>22</v>
      </c>
    </row>
    <row r="326" spans="1:26" hidden="1" x14ac:dyDescent="0.25">
      <c r="A326">
        <f>COUNTIF($P$2:P326,P326)</f>
        <v>64</v>
      </c>
      <c r="B326">
        <f>COUNTIF($A$2:A326,1)</f>
        <v>16</v>
      </c>
      <c r="C326" t="str">
        <f t="shared" si="25"/>
        <v>IVS</v>
      </c>
      <c r="D326" t="str">
        <f t="shared" si="26"/>
        <v>IVSWeb Service</v>
      </c>
      <c r="E326">
        <f>COUNTIF($R$2:R326,R326)</f>
        <v>23</v>
      </c>
      <c r="F326">
        <f>COUNTIF($E$2:E326,1)</f>
        <v>23</v>
      </c>
      <c r="G326" t="str">
        <f t="shared" si="27"/>
        <v>ivs.services.ivs</v>
      </c>
      <c r="H326" t="str">
        <f t="shared" si="28"/>
        <v>IVSivs.services.ivsWeb Service</v>
      </c>
      <c r="I326" t="str">
        <f t="shared" si="29"/>
        <v/>
      </c>
      <c r="J326">
        <f>IF(I326="",0,COUNTIF($I$2:I326,I326))</f>
        <v>0</v>
      </c>
      <c r="K326">
        <f>COUNTIF($J$2:J326,1)</f>
        <v>45</v>
      </c>
      <c r="N326">
        <v>4</v>
      </c>
      <c r="O326" t="s">
        <v>81</v>
      </c>
      <c r="P326" t="s">
        <v>148</v>
      </c>
      <c r="Q326" t="s">
        <v>149</v>
      </c>
      <c r="R326" t="s">
        <v>157</v>
      </c>
      <c r="S326" t="s">
        <v>158</v>
      </c>
      <c r="T326" t="s">
        <v>159</v>
      </c>
      <c r="U326" t="s">
        <v>20</v>
      </c>
      <c r="W326" t="s">
        <v>22</v>
      </c>
    </row>
    <row r="327" spans="1:26" hidden="1" x14ac:dyDescent="0.25">
      <c r="A327">
        <f>COUNTIF($P$2:P327,P327)</f>
        <v>65</v>
      </c>
      <c r="B327">
        <f>COUNTIF($A$2:A327,1)</f>
        <v>16</v>
      </c>
      <c r="C327" t="str">
        <f t="shared" si="25"/>
        <v>IVS</v>
      </c>
      <c r="D327" t="str">
        <f t="shared" si="26"/>
        <v>IVSParent</v>
      </c>
      <c r="E327">
        <f>COUNTIF($R$2:R327,R327)</f>
        <v>1</v>
      </c>
      <c r="F327">
        <f>COUNTIF($E$2:E327,1)</f>
        <v>24</v>
      </c>
      <c r="G327" t="str">
        <f t="shared" si="27"/>
        <v>ivs.services.ivsf</v>
      </c>
      <c r="H327" t="str">
        <f t="shared" si="28"/>
        <v>IVSivs.services.ivsfParent</v>
      </c>
      <c r="I327" t="str">
        <f t="shared" si="29"/>
        <v>IVSivs.services.ivsfavs.track.request</v>
      </c>
      <c r="J327">
        <f>IF(I327="",0,COUNTIF($I$2:I327,I327))</f>
        <v>1</v>
      </c>
      <c r="K327">
        <f>COUNTIF($J$2:J327,1)</f>
        <v>46</v>
      </c>
      <c r="N327">
        <v>1</v>
      </c>
      <c r="O327" t="s">
        <v>15</v>
      </c>
      <c r="P327" t="s">
        <v>148</v>
      </c>
      <c r="Q327" t="s">
        <v>149</v>
      </c>
      <c r="R327" t="s">
        <v>160</v>
      </c>
      <c r="S327" t="s">
        <v>161</v>
      </c>
      <c r="T327" t="s">
        <v>162</v>
      </c>
      <c r="U327" t="s">
        <v>163</v>
      </c>
      <c r="V327" t="s">
        <v>32</v>
      </c>
      <c r="W327" t="s">
        <v>21</v>
      </c>
      <c r="X327" t="s">
        <v>21</v>
      </c>
      <c r="Y327" t="b">
        <v>1</v>
      </c>
      <c r="Z327">
        <v>665</v>
      </c>
    </row>
    <row r="328" spans="1:26" hidden="1" x14ac:dyDescent="0.25">
      <c r="A328">
        <f>COUNTIF($P$2:P328,P328)</f>
        <v>66</v>
      </c>
      <c r="B328">
        <f>COUNTIF($A$2:A328,1)</f>
        <v>16</v>
      </c>
      <c r="C328" t="str">
        <f t="shared" si="25"/>
        <v>IVS</v>
      </c>
      <c r="D328" t="str">
        <f t="shared" si="26"/>
        <v>IVSParent</v>
      </c>
      <c r="E328">
        <f>COUNTIF($R$2:R328,R328)</f>
        <v>2</v>
      </c>
      <c r="F328">
        <f>COUNTIF($E$2:E328,1)</f>
        <v>24</v>
      </c>
      <c r="G328" t="str">
        <f t="shared" si="27"/>
        <v>ivs.services.ivsf</v>
      </c>
      <c r="H328" t="str">
        <f t="shared" si="28"/>
        <v>IVSivs.services.ivsfParent</v>
      </c>
      <c r="I328" t="str">
        <f t="shared" si="29"/>
        <v>IVSivs.services.ivsfivs.track.request</v>
      </c>
      <c r="J328">
        <f>IF(I328="",0,COUNTIF($I$2:I328,I328))</f>
        <v>1</v>
      </c>
      <c r="K328">
        <f>COUNTIF($J$2:J328,1)</f>
        <v>47</v>
      </c>
      <c r="N328">
        <v>1</v>
      </c>
      <c r="O328" t="s">
        <v>15</v>
      </c>
      <c r="P328" t="s">
        <v>148</v>
      </c>
      <c r="Q328" t="s">
        <v>149</v>
      </c>
      <c r="R328" t="s">
        <v>160</v>
      </c>
      <c r="S328" t="s">
        <v>161</v>
      </c>
      <c r="T328" t="s">
        <v>162</v>
      </c>
      <c r="U328" t="s">
        <v>163</v>
      </c>
      <c r="V328" t="s">
        <v>33</v>
      </c>
      <c r="W328" t="s">
        <v>21</v>
      </c>
      <c r="X328" t="s">
        <v>21</v>
      </c>
      <c r="Y328" t="b">
        <v>1</v>
      </c>
      <c r="Z328">
        <v>4829</v>
      </c>
    </row>
    <row r="329" spans="1:26" hidden="1" x14ac:dyDescent="0.25">
      <c r="A329">
        <f>COUNTIF($P$2:P329,P329)</f>
        <v>67</v>
      </c>
      <c r="B329">
        <f>COUNTIF($A$2:A329,1)</f>
        <v>16</v>
      </c>
      <c r="C329" t="str">
        <f t="shared" si="25"/>
        <v>IVS</v>
      </c>
      <c r="D329" t="str">
        <f t="shared" si="26"/>
        <v>IVSIntegrator</v>
      </c>
      <c r="E329">
        <f>COUNTIF($R$2:R329,R329)</f>
        <v>3</v>
      </c>
      <c r="F329">
        <f>COUNTIF($E$2:E329,1)</f>
        <v>24</v>
      </c>
      <c r="G329" t="str">
        <f t="shared" si="27"/>
        <v>ivs.services.ivsf</v>
      </c>
      <c r="H329" t="str">
        <f t="shared" si="28"/>
        <v>IVSivs.services.ivsfIntegrator</v>
      </c>
      <c r="I329" t="str">
        <f t="shared" si="29"/>
        <v>IVSivs.services.ivsfivs.track.request</v>
      </c>
      <c r="J329">
        <f>IF(I329="",0,COUNTIF($I$2:I329,I329))</f>
        <v>2</v>
      </c>
      <c r="K329">
        <f>COUNTIF($J$2:J329,1)</f>
        <v>47</v>
      </c>
      <c r="N329">
        <v>2</v>
      </c>
      <c r="O329" t="s">
        <v>23</v>
      </c>
      <c r="P329" t="s">
        <v>148</v>
      </c>
      <c r="Q329" t="s">
        <v>149</v>
      </c>
      <c r="R329" t="s">
        <v>160</v>
      </c>
      <c r="S329" t="s">
        <v>161</v>
      </c>
      <c r="T329" t="s">
        <v>162</v>
      </c>
      <c r="U329" t="s">
        <v>163</v>
      </c>
      <c r="V329" t="s">
        <v>33</v>
      </c>
      <c r="W329" t="s">
        <v>21</v>
      </c>
      <c r="X329" t="s">
        <v>21</v>
      </c>
      <c r="Y329" t="b">
        <v>1</v>
      </c>
      <c r="Z329">
        <v>4829</v>
      </c>
    </row>
    <row r="330" spans="1:26" hidden="1" x14ac:dyDescent="0.25">
      <c r="A330">
        <f>COUNTIF($P$2:P330,P330)</f>
        <v>68</v>
      </c>
      <c r="B330">
        <f>COUNTIF($A$2:A330,1)</f>
        <v>16</v>
      </c>
      <c r="C330" t="str">
        <f t="shared" si="25"/>
        <v>IVS</v>
      </c>
      <c r="D330" t="str">
        <f t="shared" si="26"/>
        <v>IVSDevice</v>
      </c>
      <c r="E330">
        <f>COUNTIF($R$2:R330,R330)</f>
        <v>4</v>
      </c>
      <c r="F330">
        <f>COUNTIF($E$2:E330,1)</f>
        <v>24</v>
      </c>
      <c r="G330" t="str">
        <f t="shared" si="27"/>
        <v>ivs.services.ivsf</v>
      </c>
      <c r="H330" t="str">
        <f t="shared" si="28"/>
        <v>IVSivs.services.ivsfDevice</v>
      </c>
      <c r="I330" t="str">
        <f t="shared" si="29"/>
        <v>IVSivs.services.ivsfivs.track.request</v>
      </c>
      <c r="J330">
        <f>IF(I330="",0,COUNTIF($I$2:I330,I330))</f>
        <v>3</v>
      </c>
      <c r="K330">
        <f>COUNTIF($J$2:J330,1)</f>
        <v>47</v>
      </c>
      <c r="N330">
        <v>41</v>
      </c>
      <c r="O330" t="s">
        <v>31</v>
      </c>
      <c r="P330" t="s">
        <v>148</v>
      </c>
      <c r="Q330" t="s">
        <v>149</v>
      </c>
      <c r="R330" t="s">
        <v>160</v>
      </c>
      <c r="S330" t="s">
        <v>161</v>
      </c>
      <c r="T330" t="s">
        <v>162</v>
      </c>
      <c r="U330" t="s">
        <v>163</v>
      </c>
      <c r="V330" t="s">
        <v>33</v>
      </c>
      <c r="W330" t="s">
        <v>21</v>
      </c>
      <c r="X330" t="s">
        <v>21</v>
      </c>
      <c r="Y330" t="b">
        <v>1</v>
      </c>
      <c r="Z330">
        <v>4829</v>
      </c>
    </row>
    <row r="331" spans="1:26" hidden="1" x14ac:dyDescent="0.25">
      <c r="A331">
        <f>COUNTIF($P$2:P331,P331)</f>
        <v>69</v>
      </c>
      <c r="B331">
        <f>COUNTIF($A$2:A331,1)</f>
        <v>16</v>
      </c>
      <c r="C331" t="str">
        <f t="shared" si="25"/>
        <v>IVS</v>
      </c>
      <c r="D331" t="str">
        <f t="shared" si="26"/>
        <v>IVSDevice</v>
      </c>
      <c r="E331">
        <f>COUNTIF($R$2:R331,R331)</f>
        <v>5</v>
      </c>
      <c r="F331">
        <f>COUNTIF($E$2:E331,1)</f>
        <v>24</v>
      </c>
      <c r="G331" t="str">
        <f t="shared" si="27"/>
        <v>ivs.services.ivsf</v>
      </c>
      <c r="H331" t="str">
        <f t="shared" si="28"/>
        <v>IVSivs.services.ivsfDevice</v>
      </c>
      <c r="I331" t="str">
        <f t="shared" si="29"/>
        <v/>
      </c>
      <c r="J331">
        <f>IF(I331="",0,COUNTIF($I$2:I331,I331))</f>
        <v>0</v>
      </c>
      <c r="K331">
        <f>COUNTIF($J$2:J331,1)</f>
        <v>47</v>
      </c>
      <c r="N331">
        <v>8</v>
      </c>
      <c r="O331" t="s">
        <v>31</v>
      </c>
      <c r="P331" t="s">
        <v>148</v>
      </c>
      <c r="Q331" t="s">
        <v>149</v>
      </c>
      <c r="R331" t="s">
        <v>160</v>
      </c>
      <c r="S331" t="s">
        <v>161</v>
      </c>
      <c r="T331" t="s">
        <v>162</v>
      </c>
      <c r="U331" t="s">
        <v>163</v>
      </c>
      <c r="W331" t="s">
        <v>22</v>
      </c>
    </row>
    <row r="332" spans="1:26" hidden="1" x14ac:dyDescent="0.25">
      <c r="A332">
        <f>COUNTIF($P$2:P332,P332)</f>
        <v>70</v>
      </c>
      <c r="B332">
        <f>COUNTIF($A$2:A332,1)</f>
        <v>16</v>
      </c>
      <c r="C332" t="str">
        <f t="shared" si="25"/>
        <v>IVS</v>
      </c>
      <c r="D332" t="str">
        <f t="shared" si="26"/>
        <v>IVSIntegrator</v>
      </c>
      <c r="E332">
        <f>COUNTIF($R$2:R332,R332)</f>
        <v>6</v>
      </c>
      <c r="F332">
        <f>COUNTIF($E$2:E332,1)</f>
        <v>24</v>
      </c>
      <c r="G332" t="str">
        <f t="shared" si="27"/>
        <v>ivs.services.ivsf</v>
      </c>
      <c r="H332" t="str">
        <f t="shared" si="28"/>
        <v>IVSivs.services.ivsfIntegrator</v>
      </c>
      <c r="I332" t="str">
        <f t="shared" si="29"/>
        <v/>
      </c>
      <c r="J332">
        <f>IF(I332="",0,COUNTIF($I$2:I332,I332))</f>
        <v>0</v>
      </c>
      <c r="K332">
        <f>COUNTIF($J$2:J332,1)</f>
        <v>47</v>
      </c>
      <c r="N332">
        <v>128</v>
      </c>
      <c r="O332" t="s">
        <v>23</v>
      </c>
      <c r="P332" t="s">
        <v>148</v>
      </c>
      <c r="Q332" t="s">
        <v>149</v>
      </c>
      <c r="R332" t="s">
        <v>160</v>
      </c>
      <c r="S332" t="s">
        <v>161</v>
      </c>
      <c r="T332" t="s">
        <v>162</v>
      </c>
      <c r="U332" t="s">
        <v>163</v>
      </c>
      <c r="W332" t="s">
        <v>22</v>
      </c>
    </row>
    <row r="333" spans="1:26" hidden="1" x14ac:dyDescent="0.25">
      <c r="A333">
        <f>COUNTIF($P$2:P333,P333)</f>
        <v>71</v>
      </c>
      <c r="B333">
        <f>COUNTIF($A$2:A333,1)</f>
        <v>16</v>
      </c>
      <c r="C333" t="str">
        <f t="shared" si="25"/>
        <v>IVS</v>
      </c>
      <c r="D333" t="str">
        <f t="shared" si="26"/>
        <v>IVSDevice</v>
      </c>
      <c r="E333">
        <f>COUNTIF($R$2:R333,R333)</f>
        <v>7</v>
      </c>
      <c r="F333">
        <f>COUNTIF($E$2:E333,1)</f>
        <v>24</v>
      </c>
      <c r="G333" t="str">
        <f t="shared" si="27"/>
        <v>ivs.services.ivsf</v>
      </c>
      <c r="H333" t="str">
        <f t="shared" si="28"/>
        <v>IVSivs.services.ivsfDevice</v>
      </c>
      <c r="I333" t="str">
        <f t="shared" si="29"/>
        <v/>
      </c>
      <c r="J333">
        <f>IF(I333="",0,COUNTIF($I$2:I333,I333))</f>
        <v>0</v>
      </c>
      <c r="K333">
        <f>COUNTIF($J$2:J333,1)</f>
        <v>47</v>
      </c>
      <c r="N333">
        <v>14</v>
      </c>
      <c r="O333" t="s">
        <v>31</v>
      </c>
      <c r="P333" t="s">
        <v>148</v>
      </c>
      <c r="Q333" t="s">
        <v>149</v>
      </c>
      <c r="R333" t="s">
        <v>160</v>
      </c>
      <c r="S333" t="s">
        <v>161</v>
      </c>
      <c r="T333" t="s">
        <v>162</v>
      </c>
      <c r="U333" t="s">
        <v>163</v>
      </c>
      <c r="W333" t="s">
        <v>22</v>
      </c>
    </row>
    <row r="334" spans="1:26" hidden="1" x14ac:dyDescent="0.25">
      <c r="A334">
        <f>COUNTIF($P$2:P334,P334)</f>
        <v>72</v>
      </c>
      <c r="B334">
        <f>COUNTIF($A$2:A334,1)</f>
        <v>16</v>
      </c>
      <c r="C334" t="str">
        <f t="shared" si="25"/>
        <v>IVS</v>
      </c>
      <c r="D334" t="str">
        <f t="shared" si="26"/>
        <v>IVSParent</v>
      </c>
      <c r="E334">
        <f>COUNTIF($R$2:R334,R334)</f>
        <v>8</v>
      </c>
      <c r="F334">
        <f>COUNTIF($E$2:E334,1)</f>
        <v>24</v>
      </c>
      <c r="G334" t="str">
        <f t="shared" si="27"/>
        <v>ivs.services.ivsf</v>
      </c>
      <c r="H334" t="str">
        <f t="shared" si="28"/>
        <v>IVSivs.services.ivsfParent</v>
      </c>
      <c r="I334" t="str">
        <f t="shared" si="29"/>
        <v/>
      </c>
      <c r="J334">
        <f>IF(I334="",0,COUNTIF($I$2:I334,I334))</f>
        <v>0</v>
      </c>
      <c r="K334">
        <f>COUNTIF($J$2:J334,1)</f>
        <v>47</v>
      </c>
      <c r="N334">
        <v>2</v>
      </c>
      <c r="O334" t="s">
        <v>15</v>
      </c>
      <c r="P334" t="s">
        <v>148</v>
      </c>
      <c r="Q334" t="s">
        <v>149</v>
      </c>
      <c r="R334" t="s">
        <v>160</v>
      </c>
      <c r="S334" t="s">
        <v>161</v>
      </c>
      <c r="T334" t="s">
        <v>162</v>
      </c>
      <c r="U334" t="s">
        <v>163</v>
      </c>
      <c r="W334" t="s">
        <v>22</v>
      </c>
    </row>
    <row r="335" spans="1:26" hidden="1" x14ac:dyDescent="0.25">
      <c r="A335">
        <f>COUNTIF($P$2:P335,P335)</f>
        <v>73</v>
      </c>
      <c r="B335">
        <f>COUNTIF($A$2:A335,1)</f>
        <v>16</v>
      </c>
      <c r="C335" t="str">
        <f t="shared" si="25"/>
        <v>IVS</v>
      </c>
      <c r="D335" t="str">
        <f t="shared" si="26"/>
        <v>IVSParent</v>
      </c>
      <c r="E335">
        <f>COUNTIF($R$2:R335,R335)</f>
        <v>9</v>
      </c>
      <c r="F335">
        <f>COUNTIF($E$2:E335,1)</f>
        <v>24</v>
      </c>
      <c r="G335" t="str">
        <f t="shared" si="27"/>
        <v>ivs.services.ivsf</v>
      </c>
      <c r="H335" t="str">
        <f t="shared" si="28"/>
        <v>IVSivs.services.ivsfParent</v>
      </c>
      <c r="I335" t="str">
        <f t="shared" si="29"/>
        <v/>
      </c>
      <c r="J335">
        <f>IF(I335="",0,COUNTIF($I$2:I335,I335))</f>
        <v>0</v>
      </c>
      <c r="K335">
        <f>COUNTIF($J$2:J335,1)</f>
        <v>47</v>
      </c>
      <c r="N335">
        <v>165</v>
      </c>
      <c r="O335" t="s">
        <v>15</v>
      </c>
      <c r="P335" t="s">
        <v>148</v>
      </c>
      <c r="Q335" t="s">
        <v>149</v>
      </c>
      <c r="R335" t="s">
        <v>160</v>
      </c>
      <c r="S335" t="s">
        <v>161</v>
      </c>
      <c r="T335" t="s">
        <v>162</v>
      </c>
      <c r="U335" t="s">
        <v>163</v>
      </c>
      <c r="W335" t="s">
        <v>21</v>
      </c>
    </row>
    <row r="336" spans="1:26" hidden="1" x14ac:dyDescent="0.25">
      <c r="A336">
        <f>COUNTIF($P$2:P336,P336)</f>
        <v>74</v>
      </c>
      <c r="B336">
        <f>COUNTIF($A$2:A336,1)</f>
        <v>16</v>
      </c>
      <c r="C336" t="str">
        <f t="shared" si="25"/>
        <v>IVS</v>
      </c>
      <c r="D336" t="str">
        <f t="shared" si="26"/>
        <v>IVSDevice</v>
      </c>
      <c r="E336">
        <f>COUNTIF($R$2:R336,R336)</f>
        <v>10</v>
      </c>
      <c r="F336">
        <f>COUNTIF($E$2:E336,1)</f>
        <v>24</v>
      </c>
      <c r="G336" t="str">
        <f t="shared" si="27"/>
        <v>ivs.services.ivsf</v>
      </c>
      <c r="H336" t="str">
        <f t="shared" si="28"/>
        <v>IVSivs.services.ivsfDevice</v>
      </c>
      <c r="I336" t="str">
        <f t="shared" si="29"/>
        <v/>
      </c>
      <c r="J336">
        <f>IF(I336="",0,COUNTIF($I$2:I336,I336))</f>
        <v>0</v>
      </c>
      <c r="K336">
        <f>COUNTIF($J$2:J336,1)</f>
        <v>47</v>
      </c>
      <c r="N336">
        <v>8</v>
      </c>
      <c r="O336" t="s">
        <v>31</v>
      </c>
      <c r="P336" t="s">
        <v>148</v>
      </c>
      <c r="Q336" t="s">
        <v>149</v>
      </c>
      <c r="R336" t="s">
        <v>160</v>
      </c>
      <c r="S336" t="s">
        <v>161</v>
      </c>
      <c r="T336" t="s">
        <v>162</v>
      </c>
      <c r="U336" t="s">
        <v>163</v>
      </c>
      <c r="W336" t="s">
        <v>21</v>
      </c>
    </row>
    <row r="337" spans="1:26" hidden="1" x14ac:dyDescent="0.25">
      <c r="A337">
        <f>COUNTIF($P$2:P337,P337)</f>
        <v>75</v>
      </c>
      <c r="B337">
        <f>COUNTIF($A$2:A337,1)</f>
        <v>16</v>
      </c>
      <c r="C337" t="str">
        <f t="shared" si="25"/>
        <v>IVS</v>
      </c>
      <c r="D337" t="str">
        <f t="shared" si="26"/>
        <v>IVSIntegrator</v>
      </c>
      <c r="E337">
        <f>COUNTIF($R$2:R337,R337)</f>
        <v>11</v>
      </c>
      <c r="F337">
        <f>COUNTIF($E$2:E337,1)</f>
        <v>24</v>
      </c>
      <c r="G337" t="str">
        <f t="shared" si="27"/>
        <v>ivs.services.ivsf</v>
      </c>
      <c r="H337" t="str">
        <f t="shared" si="28"/>
        <v>IVSivs.services.ivsfIntegrator</v>
      </c>
      <c r="I337" t="str">
        <f t="shared" si="29"/>
        <v/>
      </c>
      <c r="J337">
        <f>IF(I337="",0,COUNTIF($I$2:I337,I337))</f>
        <v>0</v>
      </c>
      <c r="K337">
        <f>COUNTIF($J$2:J337,1)</f>
        <v>47</v>
      </c>
      <c r="N337">
        <v>160</v>
      </c>
      <c r="O337" t="s">
        <v>23</v>
      </c>
      <c r="P337" t="s">
        <v>148</v>
      </c>
      <c r="Q337" t="s">
        <v>149</v>
      </c>
      <c r="R337" t="s">
        <v>160</v>
      </c>
      <c r="S337" t="s">
        <v>161</v>
      </c>
      <c r="T337" t="s">
        <v>162</v>
      </c>
      <c r="U337" t="s">
        <v>163</v>
      </c>
      <c r="W337" t="s">
        <v>21</v>
      </c>
    </row>
    <row r="338" spans="1:26" hidden="1" x14ac:dyDescent="0.25">
      <c r="A338">
        <f>COUNTIF($P$2:P338,P338)</f>
        <v>76</v>
      </c>
      <c r="B338">
        <f>COUNTIF($A$2:A338,1)</f>
        <v>16</v>
      </c>
      <c r="C338" t="str">
        <f t="shared" si="25"/>
        <v>IVS</v>
      </c>
      <c r="D338" t="str">
        <f t="shared" si="26"/>
        <v>IVSParent</v>
      </c>
      <c r="E338">
        <f>COUNTIF($R$2:R338,R338)</f>
        <v>12</v>
      </c>
      <c r="F338">
        <f>COUNTIF($E$2:E338,1)</f>
        <v>24</v>
      </c>
      <c r="G338" t="str">
        <f t="shared" si="27"/>
        <v>ivs.services.ivsf</v>
      </c>
      <c r="H338" t="str">
        <f t="shared" si="28"/>
        <v>IVSivs.services.ivsfParent</v>
      </c>
      <c r="I338" t="str">
        <f t="shared" si="29"/>
        <v/>
      </c>
      <c r="J338">
        <f>IF(I338="",0,COUNTIF($I$2:I338,I338))</f>
        <v>0</v>
      </c>
      <c r="K338">
        <f>COUNTIF($J$2:J338,1)</f>
        <v>47</v>
      </c>
      <c r="N338">
        <v>2</v>
      </c>
      <c r="O338" t="s">
        <v>15</v>
      </c>
      <c r="P338" t="s">
        <v>148</v>
      </c>
      <c r="Q338" t="s">
        <v>149</v>
      </c>
      <c r="R338" t="s">
        <v>160</v>
      </c>
      <c r="S338" t="s">
        <v>161</v>
      </c>
      <c r="T338" t="s">
        <v>162</v>
      </c>
      <c r="U338" t="s">
        <v>163</v>
      </c>
      <c r="W338" t="s">
        <v>21</v>
      </c>
    </row>
    <row r="339" spans="1:26" hidden="1" x14ac:dyDescent="0.25">
      <c r="A339">
        <f>COUNTIF($P$2:P339,P339)</f>
        <v>77</v>
      </c>
      <c r="B339">
        <f>COUNTIF($A$2:A339,1)</f>
        <v>16</v>
      </c>
      <c r="C339" t="str">
        <f t="shared" si="25"/>
        <v>IVS</v>
      </c>
      <c r="D339" t="str">
        <f t="shared" si="26"/>
        <v>IVSDevice</v>
      </c>
      <c r="E339">
        <f>COUNTIF($R$2:R339,R339)</f>
        <v>13</v>
      </c>
      <c r="F339">
        <f>COUNTIF($E$2:E339,1)</f>
        <v>24</v>
      </c>
      <c r="G339" t="str">
        <f t="shared" si="27"/>
        <v>ivs.services.ivsf</v>
      </c>
      <c r="H339" t="str">
        <f t="shared" si="28"/>
        <v>IVSivs.services.ivsfDevice</v>
      </c>
      <c r="I339" t="str">
        <f t="shared" si="29"/>
        <v/>
      </c>
      <c r="J339">
        <f>IF(I339="",0,COUNTIF($I$2:I339,I339))</f>
        <v>0</v>
      </c>
      <c r="K339">
        <f>COUNTIF($J$2:J339,1)</f>
        <v>47</v>
      </c>
      <c r="N339">
        <v>1</v>
      </c>
      <c r="O339" t="s">
        <v>31</v>
      </c>
      <c r="P339" t="s">
        <v>148</v>
      </c>
      <c r="Q339" t="s">
        <v>149</v>
      </c>
      <c r="R339" t="s">
        <v>160</v>
      </c>
      <c r="S339" t="s">
        <v>161</v>
      </c>
      <c r="T339" t="s">
        <v>162</v>
      </c>
      <c r="U339" t="s">
        <v>163</v>
      </c>
      <c r="W339" t="s">
        <v>21</v>
      </c>
    </row>
    <row r="340" spans="1:26" hidden="1" x14ac:dyDescent="0.25">
      <c r="A340">
        <f>COUNTIF($P$2:P340,P340)</f>
        <v>78</v>
      </c>
      <c r="B340">
        <f>COUNTIF($A$2:A340,1)</f>
        <v>16</v>
      </c>
      <c r="C340" t="str">
        <f t="shared" si="25"/>
        <v>IVS</v>
      </c>
      <c r="D340" t="str">
        <f t="shared" si="26"/>
        <v>IVSParent</v>
      </c>
      <c r="E340">
        <f>COUNTIF($R$2:R340,R340)</f>
        <v>14</v>
      </c>
      <c r="F340">
        <f>COUNTIF($E$2:E340,1)</f>
        <v>24</v>
      </c>
      <c r="G340" t="str">
        <f t="shared" si="27"/>
        <v>ivs.services.ivsf</v>
      </c>
      <c r="H340" t="str">
        <f t="shared" si="28"/>
        <v>IVSivs.services.ivsfParent</v>
      </c>
      <c r="I340" t="str">
        <f t="shared" si="29"/>
        <v/>
      </c>
      <c r="J340">
        <f>IF(I340="",0,COUNTIF($I$2:I340,I340))</f>
        <v>0</v>
      </c>
      <c r="K340">
        <f>COUNTIF($J$2:J340,1)</f>
        <v>47</v>
      </c>
      <c r="N340">
        <v>1</v>
      </c>
      <c r="O340" t="s">
        <v>15</v>
      </c>
      <c r="P340" t="s">
        <v>148</v>
      </c>
      <c r="Q340" t="s">
        <v>149</v>
      </c>
      <c r="R340" t="s">
        <v>160</v>
      </c>
      <c r="S340" t="s">
        <v>161</v>
      </c>
      <c r="T340" t="s">
        <v>162</v>
      </c>
      <c r="U340" t="s">
        <v>163</v>
      </c>
      <c r="W340" t="s">
        <v>21</v>
      </c>
    </row>
    <row r="341" spans="1:26" hidden="1" x14ac:dyDescent="0.25">
      <c r="A341">
        <f>COUNTIF($P$2:P341,P341)</f>
        <v>79</v>
      </c>
      <c r="B341">
        <f>COUNTIF($A$2:A341,1)</f>
        <v>16</v>
      </c>
      <c r="C341" t="str">
        <f t="shared" si="25"/>
        <v>IVS</v>
      </c>
      <c r="D341" t="str">
        <f t="shared" si="26"/>
        <v>IVSDevice</v>
      </c>
      <c r="E341">
        <f>COUNTIF($R$2:R341,R341)</f>
        <v>15</v>
      </c>
      <c r="F341">
        <f>COUNTIF($E$2:E341,1)</f>
        <v>24</v>
      </c>
      <c r="G341" t="str">
        <f t="shared" si="27"/>
        <v>ivs.services.ivsf</v>
      </c>
      <c r="H341" t="str">
        <f t="shared" si="28"/>
        <v>IVSivs.services.ivsfDevice</v>
      </c>
      <c r="I341" t="str">
        <f t="shared" si="29"/>
        <v/>
      </c>
      <c r="J341">
        <f>IF(I341="",0,COUNTIF($I$2:I341,I341))</f>
        <v>0</v>
      </c>
      <c r="K341">
        <f>COUNTIF($J$2:J341,1)</f>
        <v>47</v>
      </c>
      <c r="N341">
        <v>16</v>
      </c>
      <c r="O341" t="s">
        <v>31</v>
      </c>
      <c r="P341" t="s">
        <v>148</v>
      </c>
      <c r="Q341" t="s">
        <v>149</v>
      </c>
      <c r="R341" t="s">
        <v>160</v>
      </c>
      <c r="S341" t="s">
        <v>161</v>
      </c>
      <c r="T341" t="s">
        <v>162</v>
      </c>
      <c r="U341" t="s">
        <v>163</v>
      </c>
      <c r="W341" t="s">
        <v>21</v>
      </c>
    </row>
    <row r="342" spans="1:26" hidden="1" x14ac:dyDescent="0.25">
      <c r="A342">
        <f>COUNTIF($P$2:P342,P342)</f>
        <v>80</v>
      </c>
      <c r="B342">
        <f>COUNTIF($A$2:A342,1)</f>
        <v>16</v>
      </c>
      <c r="C342" t="str">
        <f t="shared" si="25"/>
        <v>IVS</v>
      </c>
      <c r="D342" t="str">
        <f t="shared" si="26"/>
        <v>IVSPerson</v>
      </c>
      <c r="E342">
        <f>COUNTIF($R$2:R342,R342)</f>
        <v>16</v>
      </c>
      <c r="F342">
        <f>COUNTIF($E$2:E342,1)</f>
        <v>24</v>
      </c>
      <c r="G342" t="str">
        <f t="shared" si="27"/>
        <v>ivs.services.ivsf</v>
      </c>
      <c r="H342" t="str">
        <f t="shared" si="28"/>
        <v>IVSivs.services.ivsfPerson</v>
      </c>
      <c r="I342" t="str">
        <f t="shared" si="29"/>
        <v/>
      </c>
      <c r="J342">
        <f>IF(I342="",0,COUNTIF($I$2:I342,I342))</f>
        <v>0</v>
      </c>
      <c r="K342">
        <f>COUNTIF($J$2:J342,1)</f>
        <v>47</v>
      </c>
      <c r="N342">
        <v>1</v>
      </c>
      <c r="O342" t="s">
        <v>24</v>
      </c>
      <c r="P342" t="s">
        <v>148</v>
      </c>
      <c r="Q342" t="s">
        <v>149</v>
      </c>
      <c r="R342" t="s">
        <v>160</v>
      </c>
      <c r="S342" t="s">
        <v>161</v>
      </c>
      <c r="T342" t="s">
        <v>162</v>
      </c>
      <c r="U342" t="s">
        <v>163</v>
      </c>
      <c r="W342" t="s">
        <v>21</v>
      </c>
    </row>
    <row r="343" spans="1:26" hidden="1" x14ac:dyDescent="0.25">
      <c r="A343">
        <f>COUNTIF($P$2:P343,P343)</f>
        <v>81</v>
      </c>
      <c r="B343">
        <f>COUNTIF($A$2:A343,1)</f>
        <v>16</v>
      </c>
      <c r="C343" t="str">
        <f t="shared" si="25"/>
        <v>IVS</v>
      </c>
      <c r="D343" t="str">
        <f t="shared" si="26"/>
        <v>IVSWeb Service</v>
      </c>
      <c r="E343">
        <f>COUNTIF($R$2:R343,R343)</f>
        <v>17</v>
      </c>
      <c r="F343">
        <f>COUNTIF($E$2:E343,1)</f>
        <v>24</v>
      </c>
      <c r="G343" t="str">
        <f t="shared" si="27"/>
        <v>ivs.services.ivsf</v>
      </c>
      <c r="H343" t="str">
        <f t="shared" si="28"/>
        <v>IVSivs.services.ivsfWeb Service</v>
      </c>
      <c r="I343" t="str">
        <f t="shared" si="29"/>
        <v/>
      </c>
      <c r="J343">
        <f>IF(I343="",0,COUNTIF($I$2:I343,I343))</f>
        <v>0</v>
      </c>
      <c r="K343">
        <f>COUNTIF($J$2:J343,1)</f>
        <v>47</v>
      </c>
      <c r="N343">
        <v>4</v>
      </c>
      <c r="O343" t="s">
        <v>81</v>
      </c>
      <c r="P343" t="s">
        <v>148</v>
      </c>
      <c r="Q343" t="s">
        <v>149</v>
      </c>
      <c r="R343" t="s">
        <v>160</v>
      </c>
      <c r="S343" t="s">
        <v>161</v>
      </c>
      <c r="T343" t="s">
        <v>162</v>
      </c>
      <c r="U343" t="s">
        <v>163</v>
      </c>
      <c r="W343" t="s">
        <v>21</v>
      </c>
    </row>
    <row r="344" spans="1:26" hidden="1" x14ac:dyDescent="0.25">
      <c r="A344">
        <f>COUNTIF($P$2:P344,P344)</f>
        <v>82</v>
      </c>
      <c r="B344">
        <f>COUNTIF($A$2:A344,1)</f>
        <v>16</v>
      </c>
      <c r="C344" t="str">
        <f t="shared" si="25"/>
        <v>IVS</v>
      </c>
      <c r="D344" t="str">
        <f t="shared" si="26"/>
        <v>IVSParent</v>
      </c>
      <c r="E344">
        <f>COUNTIF($R$2:R344,R344)</f>
        <v>18</v>
      </c>
      <c r="F344">
        <f>COUNTIF($E$2:E344,1)</f>
        <v>24</v>
      </c>
      <c r="G344" t="str">
        <f t="shared" si="27"/>
        <v>ivs.services.ivsf</v>
      </c>
      <c r="H344" t="str">
        <f t="shared" si="28"/>
        <v>IVSivs.services.ivsfParent</v>
      </c>
      <c r="I344" t="str">
        <f t="shared" si="29"/>
        <v/>
      </c>
      <c r="J344">
        <f>IF(I344="",0,COUNTIF($I$2:I344,I344))</f>
        <v>0</v>
      </c>
      <c r="K344">
        <f>COUNTIF($J$2:J344,1)</f>
        <v>47</v>
      </c>
      <c r="N344">
        <v>2</v>
      </c>
      <c r="O344" t="s">
        <v>15</v>
      </c>
      <c r="P344" t="s">
        <v>148</v>
      </c>
      <c r="Q344" t="s">
        <v>149</v>
      </c>
      <c r="R344" t="s">
        <v>160</v>
      </c>
      <c r="S344" t="s">
        <v>161</v>
      </c>
      <c r="T344" t="s">
        <v>162</v>
      </c>
      <c r="U344" t="s">
        <v>163</v>
      </c>
      <c r="W344" t="s">
        <v>21</v>
      </c>
    </row>
    <row r="345" spans="1:26" hidden="1" x14ac:dyDescent="0.25">
      <c r="A345">
        <f>COUNTIF($P$2:P345,P345)</f>
        <v>83</v>
      </c>
      <c r="B345">
        <f>COUNTIF($A$2:A345,1)</f>
        <v>16</v>
      </c>
      <c r="C345" t="str">
        <f t="shared" si="25"/>
        <v>IVS</v>
      </c>
      <c r="D345" t="str">
        <f t="shared" si="26"/>
        <v>IVSParent</v>
      </c>
      <c r="E345">
        <f>COUNTIF($R$2:R345,R345)</f>
        <v>19</v>
      </c>
      <c r="F345">
        <f>COUNTIF($E$2:E345,1)</f>
        <v>24</v>
      </c>
      <c r="G345" t="str">
        <f t="shared" si="27"/>
        <v>ivs.services.ivsf</v>
      </c>
      <c r="H345" t="str">
        <f t="shared" si="28"/>
        <v>IVSivs.services.ivsfParent</v>
      </c>
      <c r="I345" t="str">
        <f t="shared" si="29"/>
        <v/>
      </c>
      <c r="J345">
        <f>IF(I345="",0,COUNTIF($I$2:I345,I345))</f>
        <v>0</v>
      </c>
      <c r="K345">
        <f>COUNTIF($J$2:J345,1)</f>
        <v>47</v>
      </c>
      <c r="N345">
        <v>130</v>
      </c>
      <c r="O345" t="s">
        <v>15</v>
      </c>
      <c r="P345" t="s">
        <v>148</v>
      </c>
      <c r="Q345" t="s">
        <v>149</v>
      </c>
      <c r="R345" t="s">
        <v>160</v>
      </c>
      <c r="S345" t="s">
        <v>161</v>
      </c>
      <c r="T345" t="s">
        <v>162</v>
      </c>
      <c r="U345" t="s">
        <v>163</v>
      </c>
      <c r="W345" t="s">
        <v>22</v>
      </c>
    </row>
    <row r="346" spans="1:26" hidden="1" x14ac:dyDescent="0.25">
      <c r="A346">
        <f>COUNTIF($P$2:P346,P346)</f>
        <v>84</v>
      </c>
      <c r="B346">
        <f>COUNTIF($A$2:A346,1)</f>
        <v>16</v>
      </c>
      <c r="C346" t="str">
        <f t="shared" si="25"/>
        <v>IVS</v>
      </c>
      <c r="D346" t="str">
        <f t="shared" si="26"/>
        <v>IVSParent</v>
      </c>
      <c r="E346">
        <f>COUNTIF($R$2:R346,R346)</f>
        <v>1</v>
      </c>
      <c r="F346">
        <f>COUNTIF($E$2:E346,1)</f>
        <v>25</v>
      </c>
      <c r="G346" t="str">
        <f t="shared" si="27"/>
        <v>ivs.services.photo</v>
      </c>
      <c r="H346" t="str">
        <f t="shared" si="28"/>
        <v>IVSivs.services.photoParent</v>
      </c>
      <c r="I346" t="str">
        <f t="shared" si="29"/>
        <v>IVSivs.services.photoavs.track.request</v>
      </c>
      <c r="J346">
        <f>IF(I346="",0,COUNTIF($I$2:I346,I346))</f>
        <v>1</v>
      </c>
      <c r="K346">
        <f>COUNTIF($J$2:J346,1)</f>
        <v>48</v>
      </c>
      <c r="N346">
        <v>1</v>
      </c>
      <c r="O346" t="s">
        <v>15</v>
      </c>
      <c r="P346" t="s">
        <v>148</v>
      </c>
      <c r="Q346" t="s">
        <v>149</v>
      </c>
      <c r="R346" t="s">
        <v>164</v>
      </c>
      <c r="S346" t="s">
        <v>165</v>
      </c>
      <c r="T346" t="s">
        <v>166</v>
      </c>
      <c r="U346" t="s">
        <v>167</v>
      </c>
      <c r="V346" t="s">
        <v>32</v>
      </c>
      <c r="W346" t="s">
        <v>21</v>
      </c>
      <c r="X346" t="s">
        <v>21</v>
      </c>
      <c r="Y346" t="b">
        <v>1</v>
      </c>
      <c r="Z346">
        <v>665</v>
      </c>
    </row>
    <row r="347" spans="1:26" hidden="1" x14ac:dyDescent="0.25">
      <c r="A347">
        <f>COUNTIF($P$2:P347,P347)</f>
        <v>85</v>
      </c>
      <c r="B347">
        <f>COUNTIF($A$2:A347,1)</f>
        <v>16</v>
      </c>
      <c r="C347" t="str">
        <f t="shared" si="25"/>
        <v>IVS</v>
      </c>
      <c r="D347" t="str">
        <f t="shared" si="26"/>
        <v>IVSDevice</v>
      </c>
      <c r="E347">
        <f>COUNTIF($R$2:R347,R347)</f>
        <v>2</v>
      </c>
      <c r="F347">
        <f>COUNTIF($E$2:E347,1)</f>
        <v>25</v>
      </c>
      <c r="G347" t="str">
        <f t="shared" si="27"/>
        <v>ivs.services.photo</v>
      </c>
      <c r="H347" t="str">
        <f t="shared" si="28"/>
        <v>IVSivs.services.photoDevice</v>
      </c>
      <c r="I347" t="str">
        <f t="shared" si="29"/>
        <v>IVSivs.services.photoivs.track.request</v>
      </c>
      <c r="J347">
        <f>IF(I347="",0,COUNTIF($I$2:I347,I347))</f>
        <v>1</v>
      </c>
      <c r="K347">
        <f>COUNTIF($J$2:J347,1)</f>
        <v>49</v>
      </c>
      <c r="N347">
        <v>41</v>
      </c>
      <c r="O347" t="s">
        <v>31</v>
      </c>
      <c r="P347" t="s">
        <v>148</v>
      </c>
      <c r="Q347" t="s">
        <v>149</v>
      </c>
      <c r="R347" t="s">
        <v>164</v>
      </c>
      <c r="S347" t="s">
        <v>165</v>
      </c>
      <c r="T347" t="s">
        <v>166</v>
      </c>
      <c r="U347" t="s">
        <v>167</v>
      </c>
      <c r="V347" t="s">
        <v>33</v>
      </c>
      <c r="W347" t="s">
        <v>21</v>
      </c>
      <c r="X347" t="s">
        <v>21</v>
      </c>
      <c r="Y347" t="b">
        <v>1</v>
      </c>
      <c r="Z347">
        <v>4829</v>
      </c>
    </row>
    <row r="348" spans="1:26" hidden="1" x14ac:dyDescent="0.25">
      <c r="A348">
        <f>COUNTIF($P$2:P348,P348)</f>
        <v>86</v>
      </c>
      <c r="B348">
        <f>COUNTIF($A$2:A348,1)</f>
        <v>16</v>
      </c>
      <c r="C348" t="str">
        <f t="shared" si="25"/>
        <v>IVS</v>
      </c>
      <c r="D348" t="str">
        <f t="shared" si="26"/>
        <v>IVSIntegrator</v>
      </c>
      <c r="E348">
        <f>COUNTIF($R$2:R348,R348)</f>
        <v>3</v>
      </c>
      <c r="F348">
        <f>COUNTIF($E$2:E348,1)</f>
        <v>25</v>
      </c>
      <c r="G348" t="str">
        <f t="shared" si="27"/>
        <v>ivs.services.photo</v>
      </c>
      <c r="H348" t="str">
        <f t="shared" si="28"/>
        <v>IVSivs.services.photoIntegrator</v>
      </c>
      <c r="I348" t="str">
        <f t="shared" si="29"/>
        <v>IVSivs.services.photoivs.track.request</v>
      </c>
      <c r="J348">
        <f>IF(I348="",0,COUNTIF($I$2:I348,I348))</f>
        <v>2</v>
      </c>
      <c r="K348">
        <f>COUNTIF($J$2:J348,1)</f>
        <v>49</v>
      </c>
      <c r="N348">
        <v>2</v>
      </c>
      <c r="O348" t="s">
        <v>23</v>
      </c>
      <c r="P348" t="s">
        <v>148</v>
      </c>
      <c r="Q348" t="s">
        <v>149</v>
      </c>
      <c r="R348" t="s">
        <v>164</v>
      </c>
      <c r="S348" t="s">
        <v>165</v>
      </c>
      <c r="T348" t="s">
        <v>166</v>
      </c>
      <c r="U348" t="s">
        <v>167</v>
      </c>
      <c r="V348" t="s">
        <v>33</v>
      </c>
      <c r="W348" t="s">
        <v>21</v>
      </c>
      <c r="X348" t="s">
        <v>21</v>
      </c>
      <c r="Y348" t="b">
        <v>1</v>
      </c>
      <c r="Z348">
        <v>4829</v>
      </c>
    </row>
    <row r="349" spans="1:26" hidden="1" x14ac:dyDescent="0.25">
      <c r="A349">
        <f>COUNTIF($P$2:P349,P349)</f>
        <v>87</v>
      </c>
      <c r="B349">
        <f>COUNTIF($A$2:A349,1)</f>
        <v>16</v>
      </c>
      <c r="C349" t="str">
        <f t="shared" si="25"/>
        <v>IVS</v>
      </c>
      <c r="D349" t="str">
        <f t="shared" si="26"/>
        <v>IVSParent</v>
      </c>
      <c r="E349">
        <f>COUNTIF($R$2:R349,R349)</f>
        <v>4</v>
      </c>
      <c r="F349">
        <f>COUNTIF($E$2:E349,1)</f>
        <v>25</v>
      </c>
      <c r="G349" t="str">
        <f t="shared" si="27"/>
        <v>ivs.services.photo</v>
      </c>
      <c r="H349" t="str">
        <f t="shared" si="28"/>
        <v>IVSivs.services.photoParent</v>
      </c>
      <c r="I349" t="str">
        <f t="shared" si="29"/>
        <v>IVSivs.services.photoivs.track.request</v>
      </c>
      <c r="J349">
        <f>IF(I349="",0,COUNTIF($I$2:I349,I349))</f>
        <v>3</v>
      </c>
      <c r="K349">
        <f>COUNTIF($J$2:J349,1)</f>
        <v>49</v>
      </c>
      <c r="N349">
        <v>1</v>
      </c>
      <c r="O349" t="s">
        <v>15</v>
      </c>
      <c r="P349" t="s">
        <v>148</v>
      </c>
      <c r="Q349" t="s">
        <v>149</v>
      </c>
      <c r="R349" t="s">
        <v>164</v>
      </c>
      <c r="S349" t="s">
        <v>165</v>
      </c>
      <c r="T349" t="s">
        <v>166</v>
      </c>
      <c r="U349" t="s">
        <v>167</v>
      </c>
      <c r="V349" t="s">
        <v>33</v>
      </c>
      <c r="W349" t="s">
        <v>21</v>
      </c>
      <c r="X349" t="s">
        <v>21</v>
      </c>
      <c r="Y349" t="b">
        <v>1</v>
      </c>
      <c r="Z349">
        <v>4829</v>
      </c>
    </row>
    <row r="350" spans="1:26" hidden="1" x14ac:dyDescent="0.25">
      <c r="A350">
        <f>COUNTIF($P$2:P350,P350)</f>
        <v>88</v>
      </c>
      <c r="B350">
        <f>COUNTIF($A$2:A350,1)</f>
        <v>16</v>
      </c>
      <c r="C350" t="str">
        <f t="shared" si="25"/>
        <v>IVS</v>
      </c>
      <c r="D350" t="str">
        <f t="shared" si="26"/>
        <v>IVSDevice</v>
      </c>
      <c r="E350">
        <f>COUNTIF($R$2:R350,R350)</f>
        <v>5</v>
      </c>
      <c r="F350">
        <f>COUNTIF($E$2:E350,1)</f>
        <v>25</v>
      </c>
      <c r="G350" t="str">
        <f t="shared" si="27"/>
        <v>ivs.services.photo</v>
      </c>
      <c r="H350" t="str">
        <f t="shared" si="28"/>
        <v>IVSivs.services.photoDevice</v>
      </c>
      <c r="I350" t="str">
        <f t="shared" si="29"/>
        <v/>
      </c>
      <c r="J350">
        <f>IF(I350="",0,COUNTIF($I$2:I350,I350))</f>
        <v>0</v>
      </c>
      <c r="K350">
        <f>COUNTIF($J$2:J350,1)</f>
        <v>49</v>
      </c>
      <c r="N350">
        <v>1</v>
      </c>
      <c r="O350" t="s">
        <v>31</v>
      </c>
      <c r="P350" t="s">
        <v>148</v>
      </c>
      <c r="Q350" t="s">
        <v>149</v>
      </c>
      <c r="R350" t="s">
        <v>164</v>
      </c>
      <c r="S350" t="s">
        <v>165</v>
      </c>
      <c r="T350" t="s">
        <v>166</v>
      </c>
      <c r="U350" t="s">
        <v>167</v>
      </c>
      <c r="W350" t="s">
        <v>21</v>
      </c>
    </row>
    <row r="351" spans="1:26" hidden="1" x14ac:dyDescent="0.25">
      <c r="A351">
        <f>COUNTIF($P$2:P351,P351)</f>
        <v>89</v>
      </c>
      <c r="B351">
        <f>COUNTIF($A$2:A351,1)</f>
        <v>16</v>
      </c>
      <c r="C351" t="str">
        <f t="shared" si="25"/>
        <v>IVS</v>
      </c>
      <c r="D351" t="str">
        <f t="shared" si="26"/>
        <v>IVSWeb Service</v>
      </c>
      <c r="E351">
        <f>COUNTIF($R$2:R351,R351)</f>
        <v>6</v>
      </c>
      <c r="F351">
        <f>COUNTIF($E$2:E351,1)</f>
        <v>25</v>
      </c>
      <c r="G351" t="str">
        <f t="shared" si="27"/>
        <v>ivs.services.photo</v>
      </c>
      <c r="H351" t="str">
        <f t="shared" si="28"/>
        <v>IVSivs.services.photoWeb Service</v>
      </c>
      <c r="I351" t="str">
        <f t="shared" si="29"/>
        <v/>
      </c>
      <c r="J351">
        <f>IF(I351="",0,COUNTIF($I$2:I351,I351))</f>
        <v>0</v>
      </c>
      <c r="K351">
        <f>COUNTIF($J$2:J351,1)</f>
        <v>49</v>
      </c>
      <c r="N351">
        <v>4</v>
      </c>
      <c r="O351" t="s">
        <v>81</v>
      </c>
      <c r="P351" t="s">
        <v>148</v>
      </c>
      <c r="Q351" t="s">
        <v>149</v>
      </c>
      <c r="R351" t="s">
        <v>164</v>
      </c>
      <c r="S351" t="s">
        <v>165</v>
      </c>
      <c r="T351" t="s">
        <v>166</v>
      </c>
      <c r="U351" t="s">
        <v>167</v>
      </c>
      <c r="W351" t="s">
        <v>21</v>
      </c>
    </row>
    <row r="352" spans="1:26" hidden="1" x14ac:dyDescent="0.25">
      <c r="A352">
        <f>COUNTIF($P$2:P352,P352)</f>
        <v>90</v>
      </c>
      <c r="B352">
        <f>COUNTIF($A$2:A352,1)</f>
        <v>16</v>
      </c>
      <c r="C352" t="str">
        <f t="shared" si="25"/>
        <v>IVS</v>
      </c>
      <c r="D352" t="str">
        <f t="shared" si="26"/>
        <v>IVSParent</v>
      </c>
      <c r="E352">
        <f>COUNTIF($R$2:R352,R352)</f>
        <v>7</v>
      </c>
      <c r="F352">
        <f>COUNTIF($E$2:E352,1)</f>
        <v>25</v>
      </c>
      <c r="G352" t="str">
        <f t="shared" si="27"/>
        <v>ivs.services.photo</v>
      </c>
      <c r="H352" t="str">
        <f t="shared" si="28"/>
        <v>IVSivs.services.photoParent</v>
      </c>
      <c r="I352" t="str">
        <f t="shared" si="29"/>
        <v/>
      </c>
      <c r="J352">
        <f>IF(I352="",0,COUNTIF($I$2:I352,I352))</f>
        <v>0</v>
      </c>
      <c r="K352">
        <f>COUNTIF($J$2:J352,1)</f>
        <v>49</v>
      </c>
      <c r="N352">
        <v>2</v>
      </c>
      <c r="O352" t="s">
        <v>15</v>
      </c>
      <c r="P352" t="s">
        <v>148</v>
      </c>
      <c r="Q352" t="s">
        <v>149</v>
      </c>
      <c r="R352" t="s">
        <v>164</v>
      </c>
      <c r="S352" t="s">
        <v>165</v>
      </c>
      <c r="T352" t="s">
        <v>166</v>
      </c>
      <c r="U352" t="s">
        <v>167</v>
      </c>
      <c r="W352" t="s">
        <v>21</v>
      </c>
    </row>
    <row r="353" spans="1:23" hidden="1" x14ac:dyDescent="0.25">
      <c r="A353">
        <f>COUNTIF($P$2:P353,P353)</f>
        <v>91</v>
      </c>
      <c r="B353">
        <f>COUNTIF($A$2:A353,1)</f>
        <v>16</v>
      </c>
      <c r="C353" t="str">
        <f t="shared" si="25"/>
        <v>IVS</v>
      </c>
      <c r="D353" t="str">
        <f t="shared" si="26"/>
        <v>IVSDevice</v>
      </c>
      <c r="E353">
        <f>COUNTIF($R$2:R353,R353)</f>
        <v>8</v>
      </c>
      <c r="F353">
        <f>COUNTIF($E$2:E353,1)</f>
        <v>25</v>
      </c>
      <c r="G353" t="str">
        <f t="shared" si="27"/>
        <v>ivs.services.photo</v>
      </c>
      <c r="H353" t="str">
        <f t="shared" si="28"/>
        <v>IVSivs.services.photoDevice</v>
      </c>
      <c r="I353" t="str">
        <f t="shared" si="29"/>
        <v/>
      </c>
      <c r="J353">
        <f>IF(I353="",0,COUNTIF($I$2:I353,I353))</f>
        <v>0</v>
      </c>
      <c r="K353">
        <f>COUNTIF($J$2:J353,1)</f>
        <v>49</v>
      </c>
      <c r="N353">
        <v>16</v>
      </c>
      <c r="O353" t="s">
        <v>31</v>
      </c>
      <c r="P353" t="s">
        <v>148</v>
      </c>
      <c r="Q353" t="s">
        <v>149</v>
      </c>
      <c r="R353" t="s">
        <v>164</v>
      </c>
      <c r="S353" t="s">
        <v>165</v>
      </c>
      <c r="T353" t="s">
        <v>166</v>
      </c>
      <c r="U353" t="s">
        <v>167</v>
      </c>
      <c r="W353" t="s">
        <v>21</v>
      </c>
    </row>
    <row r="354" spans="1:23" hidden="1" x14ac:dyDescent="0.25">
      <c r="A354">
        <f>COUNTIF($P$2:P354,P354)</f>
        <v>92</v>
      </c>
      <c r="B354">
        <f>COUNTIF($A$2:A354,1)</f>
        <v>16</v>
      </c>
      <c r="C354" t="str">
        <f t="shared" si="25"/>
        <v>IVS</v>
      </c>
      <c r="D354" t="str">
        <f t="shared" si="26"/>
        <v>IVSPerson</v>
      </c>
      <c r="E354">
        <f>COUNTIF($R$2:R354,R354)</f>
        <v>9</v>
      </c>
      <c r="F354">
        <f>COUNTIF($E$2:E354,1)</f>
        <v>25</v>
      </c>
      <c r="G354" t="str">
        <f t="shared" si="27"/>
        <v>ivs.services.photo</v>
      </c>
      <c r="H354" t="str">
        <f t="shared" si="28"/>
        <v>IVSivs.services.photoPerson</v>
      </c>
      <c r="I354" t="str">
        <f t="shared" si="29"/>
        <v/>
      </c>
      <c r="J354">
        <f>IF(I354="",0,COUNTIF($I$2:I354,I354))</f>
        <v>0</v>
      </c>
      <c r="K354">
        <f>COUNTIF($J$2:J354,1)</f>
        <v>49</v>
      </c>
      <c r="N354">
        <v>1</v>
      </c>
      <c r="O354" t="s">
        <v>24</v>
      </c>
      <c r="P354" t="s">
        <v>148</v>
      </c>
      <c r="Q354" t="s">
        <v>149</v>
      </c>
      <c r="R354" t="s">
        <v>164</v>
      </c>
      <c r="S354" t="s">
        <v>165</v>
      </c>
      <c r="T354" t="s">
        <v>166</v>
      </c>
      <c r="U354" t="s">
        <v>167</v>
      </c>
      <c r="W354" t="s">
        <v>21</v>
      </c>
    </row>
    <row r="355" spans="1:23" hidden="1" x14ac:dyDescent="0.25">
      <c r="A355">
        <f>COUNTIF($P$2:P355,P355)</f>
        <v>93</v>
      </c>
      <c r="B355">
        <f>COUNTIF($A$2:A355,1)</f>
        <v>16</v>
      </c>
      <c r="C355" t="str">
        <f t="shared" si="25"/>
        <v>IVS</v>
      </c>
      <c r="D355" t="str">
        <f t="shared" si="26"/>
        <v>IVSParent</v>
      </c>
      <c r="E355">
        <f>COUNTIF($R$2:R355,R355)</f>
        <v>10</v>
      </c>
      <c r="F355">
        <f>COUNTIF($E$2:E355,1)</f>
        <v>25</v>
      </c>
      <c r="G355" t="str">
        <f t="shared" si="27"/>
        <v>ivs.services.photo</v>
      </c>
      <c r="H355" t="str">
        <f t="shared" si="28"/>
        <v>IVSivs.services.photoParent</v>
      </c>
      <c r="I355" t="str">
        <f t="shared" si="29"/>
        <v/>
      </c>
      <c r="J355">
        <f>IF(I355="",0,COUNTIF($I$2:I355,I355))</f>
        <v>0</v>
      </c>
      <c r="K355">
        <f>COUNTIF($J$2:J355,1)</f>
        <v>49</v>
      </c>
      <c r="N355">
        <v>1</v>
      </c>
      <c r="O355" t="s">
        <v>15</v>
      </c>
      <c r="P355" t="s">
        <v>148</v>
      </c>
      <c r="Q355" t="s">
        <v>149</v>
      </c>
      <c r="R355" t="s">
        <v>164</v>
      </c>
      <c r="S355" t="s">
        <v>165</v>
      </c>
      <c r="T355" t="s">
        <v>166</v>
      </c>
      <c r="U355" t="s">
        <v>167</v>
      </c>
      <c r="W355" t="s">
        <v>21</v>
      </c>
    </row>
    <row r="356" spans="1:23" hidden="1" x14ac:dyDescent="0.25">
      <c r="A356">
        <f>COUNTIF($P$2:P356,P356)</f>
        <v>94</v>
      </c>
      <c r="B356">
        <f>COUNTIF($A$2:A356,1)</f>
        <v>16</v>
      </c>
      <c r="C356" t="str">
        <f t="shared" si="25"/>
        <v>IVS</v>
      </c>
      <c r="D356" t="str">
        <f t="shared" si="26"/>
        <v>IVSParent</v>
      </c>
      <c r="E356">
        <f>COUNTIF($R$2:R356,R356)</f>
        <v>11</v>
      </c>
      <c r="F356">
        <f>COUNTIF($E$2:E356,1)</f>
        <v>25</v>
      </c>
      <c r="G356" t="str">
        <f t="shared" si="27"/>
        <v>ivs.services.photo</v>
      </c>
      <c r="H356" t="str">
        <f t="shared" si="28"/>
        <v>IVSivs.services.photoParent</v>
      </c>
      <c r="I356" t="str">
        <f t="shared" si="29"/>
        <v/>
      </c>
      <c r="J356">
        <f>IF(I356="",0,COUNTIF($I$2:I356,I356))</f>
        <v>0</v>
      </c>
      <c r="K356">
        <f>COUNTIF($J$2:J356,1)</f>
        <v>49</v>
      </c>
      <c r="N356">
        <v>2</v>
      </c>
      <c r="O356" t="s">
        <v>15</v>
      </c>
      <c r="P356" t="s">
        <v>148</v>
      </c>
      <c r="Q356" t="s">
        <v>149</v>
      </c>
      <c r="R356" t="s">
        <v>164</v>
      </c>
      <c r="S356" t="s">
        <v>165</v>
      </c>
      <c r="T356" t="s">
        <v>166</v>
      </c>
      <c r="U356" t="s">
        <v>167</v>
      </c>
      <c r="W356" t="s">
        <v>21</v>
      </c>
    </row>
    <row r="357" spans="1:23" hidden="1" x14ac:dyDescent="0.25">
      <c r="A357">
        <f>COUNTIF($P$2:P357,P357)</f>
        <v>95</v>
      </c>
      <c r="B357">
        <f>COUNTIF($A$2:A357,1)</f>
        <v>16</v>
      </c>
      <c r="C357" t="str">
        <f t="shared" si="25"/>
        <v>IVS</v>
      </c>
      <c r="D357" t="str">
        <f t="shared" si="26"/>
        <v>IVSIntegrator</v>
      </c>
      <c r="E357">
        <f>COUNTIF($R$2:R357,R357)</f>
        <v>12</v>
      </c>
      <c r="F357">
        <f>COUNTIF($E$2:E357,1)</f>
        <v>25</v>
      </c>
      <c r="G357" t="str">
        <f t="shared" si="27"/>
        <v>ivs.services.photo</v>
      </c>
      <c r="H357" t="str">
        <f t="shared" si="28"/>
        <v>IVSivs.services.photoIntegrator</v>
      </c>
      <c r="I357" t="str">
        <f t="shared" si="29"/>
        <v/>
      </c>
      <c r="J357">
        <f>IF(I357="",0,COUNTIF($I$2:I357,I357))</f>
        <v>0</v>
      </c>
      <c r="K357">
        <f>COUNTIF($J$2:J357,1)</f>
        <v>49</v>
      </c>
      <c r="N357">
        <v>160</v>
      </c>
      <c r="O357" t="s">
        <v>23</v>
      </c>
      <c r="P357" t="s">
        <v>148</v>
      </c>
      <c r="Q357" t="s">
        <v>149</v>
      </c>
      <c r="R357" t="s">
        <v>164</v>
      </c>
      <c r="S357" t="s">
        <v>165</v>
      </c>
      <c r="T357" t="s">
        <v>166</v>
      </c>
      <c r="U357" t="s">
        <v>167</v>
      </c>
      <c r="W357" t="s">
        <v>21</v>
      </c>
    </row>
    <row r="358" spans="1:23" hidden="1" x14ac:dyDescent="0.25">
      <c r="A358">
        <f>COUNTIF($P$2:P358,P358)</f>
        <v>96</v>
      </c>
      <c r="B358">
        <f>COUNTIF($A$2:A358,1)</f>
        <v>16</v>
      </c>
      <c r="C358" t="str">
        <f t="shared" si="25"/>
        <v>IVS</v>
      </c>
      <c r="D358" t="str">
        <f t="shared" si="26"/>
        <v>IVSDevice</v>
      </c>
      <c r="E358">
        <f>COUNTIF($R$2:R358,R358)</f>
        <v>13</v>
      </c>
      <c r="F358">
        <f>COUNTIF($E$2:E358,1)</f>
        <v>25</v>
      </c>
      <c r="G358" t="str">
        <f t="shared" si="27"/>
        <v>ivs.services.photo</v>
      </c>
      <c r="H358" t="str">
        <f t="shared" si="28"/>
        <v>IVSivs.services.photoDevice</v>
      </c>
      <c r="I358" t="str">
        <f t="shared" si="29"/>
        <v/>
      </c>
      <c r="J358">
        <f>IF(I358="",0,COUNTIF($I$2:I358,I358))</f>
        <v>0</v>
      </c>
      <c r="K358">
        <f>COUNTIF($J$2:J358,1)</f>
        <v>49</v>
      </c>
      <c r="N358">
        <v>8</v>
      </c>
      <c r="O358" t="s">
        <v>31</v>
      </c>
      <c r="P358" t="s">
        <v>148</v>
      </c>
      <c r="Q358" t="s">
        <v>149</v>
      </c>
      <c r="R358" t="s">
        <v>164</v>
      </c>
      <c r="S358" t="s">
        <v>165</v>
      </c>
      <c r="T358" t="s">
        <v>166</v>
      </c>
      <c r="U358" t="s">
        <v>167</v>
      </c>
      <c r="W358" t="s">
        <v>21</v>
      </c>
    </row>
    <row r="359" spans="1:23" hidden="1" x14ac:dyDescent="0.25">
      <c r="A359">
        <f>COUNTIF($P$2:P359,P359)</f>
        <v>97</v>
      </c>
      <c r="B359">
        <f>COUNTIF($A$2:A359,1)</f>
        <v>16</v>
      </c>
      <c r="C359" t="str">
        <f t="shared" si="25"/>
        <v>IVS</v>
      </c>
      <c r="D359" t="str">
        <f t="shared" si="26"/>
        <v>IVSParent</v>
      </c>
      <c r="E359">
        <f>COUNTIF($R$2:R359,R359)</f>
        <v>14</v>
      </c>
      <c r="F359">
        <f>COUNTIF($E$2:E359,1)</f>
        <v>25</v>
      </c>
      <c r="G359" t="str">
        <f t="shared" si="27"/>
        <v>ivs.services.photo</v>
      </c>
      <c r="H359" t="str">
        <f t="shared" si="28"/>
        <v>IVSivs.services.photoParent</v>
      </c>
      <c r="I359" t="str">
        <f t="shared" si="29"/>
        <v/>
      </c>
      <c r="J359">
        <f>IF(I359="",0,COUNTIF($I$2:I359,I359))</f>
        <v>0</v>
      </c>
      <c r="K359">
        <f>COUNTIF($J$2:J359,1)</f>
        <v>49</v>
      </c>
      <c r="N359">
        <v>165</v>
      </c>
      <c r="O359" t="s">
        <v>15</v>
      </c>
      <c r="P359" t="s">
        <v>148</v>
      </c>
      <c r="Q359" t="s">
        <v>149</v>
      </c>
      <c r="R359" t="s">
        <v>164</v>
      </c>
      <c r="S359" t="s">
        <v>165</v>
      </c>
      <c r="T359" t="s">
        <v>166</v>
      </c>
      <c r="U359" t="s">
        <v>167</v>
      </c>
      <c r="W359" t="s">
        <v>21</v>
      </c>
    </row>
    <row r="360" spans="1:23" hidden="1" x14ac:dyDescent="0.25">
      <c r="A360">
        <f>COUNTIF($P$2:P360,P360)</f>
        <v>98</v>
      </c>
      <c r="B360">
        <f>COUNTIF($A$2:A360,1)</f>
        <v>16</v>
      </c>
      <c r="C360" t="str">
        <f t="shared" si="25"/>
        <v>IVS</v>
      </c>
      <c r="D360" t="str">
        <f t="shared" si="26"/>
        <v>IVSWeb Service</v>
      </c>
      <c r="E360">
        <f>COUNTIF($R$2:R360,R360)</f>
        <v>15</v>
      </c>
      <c r="F360">
        <f>COUNTIF($E$2:E360,1)</f>
        <v>25</v>
      </c>
      <c r="G360" t="str">
        <f t="shared" si="27"/>
        <v>ivs.services.photo</v>
      </c>
      <c r="H360" t="str">
        <f t="shared" si="28"/>
        <v>IVSivs.services.photoWeb Service</v>
      </c>
      <c r="I360" t="str">
        <f t="shared" si="29"/>
        <v/>
      </c>
      <c r="J360">
        <f>IF(I360="",0,COUNTIF($I$2:I360,I360))</f>
        <v>0</v>
      </c>
      <c r="K360">
        <f>COUNTIF($J$2:J360,1)</f>
        <v>49</v>
      </c>
      <c r="N360">
        <v>1</v>
      </c>
      <c r="O360" t="s">
        <v>81</v>
      </c>
      <c r="P360" t="s">
        <v>148</v>
      </c>
      <c r="Q360" t="s">
        <v>149</v>
      </c>
      <c r="R360" t="s">
        <v>164</v>
      </c>
      <c r="S360" t="s">
        <v>165</v>
      </c>
      <c r="T360" t="s">
        <v>166</v>
      </c>
      <c r="U360" t="s">
        <v>167</v>
      </c>
      <c r="W360" t="s">
        <v>22</v>
      </c>
    </row>
    <row r="361" spans="1:23" hidden="1" x14ac:dyDescent="0.25">
      <c r="A361">
        <f>COUNTIF($P$2:P361,P361)</f>
        <v>99</v>
      </c>
      <c r="B361">
        <f>COUNTIF($A$2:A361,1)</f>
        <v>16</v>
      </c>
      <c r="C361" t="str">
        <f t="shared" si="25"/>
        <v>IVS</v>
      </c>
      <c r="D361" t="str">
        <f t="shared" si="26"/>
        <v>IVSParent</v>
      </c>
      <c r="E361">
        <f>COUNTIF($R$2:R361,R361)</f>
        <v>16</v>
      </c>
      <c r="F361">
        <f>COUNTIF($E$2:E361,1)</f>
        <v>25</v>
      </c>
      <c r="G361" t="str">
        <f t="shared" si="27"/>
        <v>ivs.services.photo</v>
      </c>
      <c r="H361" t="str">
        <f t="shared" si="28"/>
        <v>IVSivs.services.photoParent</v>
      </c>
      <c r="I361" t="str">
        <f t="shared" si="29"/>
        <v/>
      </c>
      <c r="J361">
        <f>IF(I361="",0,COUNTIF($I$2:I361,I361))</f>
        <v>0</v>
      </c>
      <c r="K361">
        <f>COUNTIF($J$2:J361,1)</f>
        <v>49</v>
      </c>
      <c r="N361">
        <v>1</v>
      </c>
      <c r="O361" t="s">
        <v>15</v>
      </c>
      <c r="P361" t="s">
        <v>148</v>
      </c>
      <c r="Q361" t="s">
        <v>149</v>
      </c>
      <c r="R361" t="s">
        <v>164</v>
      </c>
      <c r="S361" t="s">
        <v>165</v>
      </c>
      <c r="T361" t="s">
        <v>166</v>
      </c>
      <c r="U361" t="s">
        <v>167</v>
      </c>
      <c r="W361" t="s">
        <v>22</v>
      </c>
    </row>
    <row r="362" spans="1:23" hidden="1" x14ac:dyDescent="0.25">
      <c r="A362">
        <f>COUNTIF($P$2:P362,P362)</f>
        <v>100</v>
      </c>
      <c r="B362">
        <f>COUNTIF($A$2:A362,1)</f>
        <v>16</v>
      </c>
      <c r="C362" t="str">
        <f t="shared" si="25"/>
        <v>IVS</v>
      </c>
      <c r="D362" t="str">
        <f t="shared" si="26"/>
        <v>IVSDevice</v>
      </c>
      <c r="E362">
        <f>COUNTIF($R$2:R362,R362)</f>
        <v>17</v>
      </c>
      <c r="F362">
        <f>COUNTIF($E$2:E362,1)</f>
        <v>25</v>
      </c>
      <c r="G362" t="str">
        <f t="shared" si="27"/>
        <v>ivs.services.photo</v>
      </c>
      <c r="H362" t="str">
        <f t="shared" si="28"/>
        <v>IVSivs.services.photoDevice</v>
      </c>
      <c r="I362" t="str">
        <f t="shared" si="29"/>
        <v/>
      </c>
      <c r="J362">
        <f>IF(I362="",0,COUNTIF($I$2:I362,I362))</f>
        <v>0</v>
      </c>
      <c r="K362">
        <f>COUNTIF($J$2:J362,1)</f>
        <v>49</v>
      </c>
      <c r="N362">
        <v>16</v>
      </c>
      <c r="O362" t="s">
        <v>31</v>
      </c>
      <c r="P362" t="s">
        <v>148</v>
      </c>
      <c r="Q362" t="s">
        <v>149</v>
      </c>
      <c r="R362" t="s">
        <v>164</v>
      </c>
      <c r="S362" t="s">
        <v>165</v>
      </c>
      <c r="T362" t="s">
        <v>166</v>
      </c>
      <c r="U362" t="s">
        <v>167</v>
      </c>
      <c r="W362" t="s">
        <v>22</v>
      </c>
    </row>
    <row r="363" spans="1:23" hidden="1" x14ac:dyDescent="0.25">
      <c r="A363">
        <f>COUNTIF($P$2:P363,P363)</f>
        <v>101</v>
      </c>
      <c r="B363">
        <f>COUNTIF($A$2:A363,1)</f>
        <v>16</v>
      </c>
      <c r="C363" t="str">
        <f t="shared" si="25"/>
        <v>IVS</v>
      </c>
      <c r="D363" t="str">
        <f t="shared" si="26"/>
        <v>IVSIntegrator</v>
      </c>
      <c r="E363">
        <f>COUNTIF($R$2:R363,R363)</f>
        <v>18</v>
      </c>
      <c r="F363">
        <f>COUNTIF($E$2:E363,1)</f>
        <v>25</v>
      </c>
      <c r="G363" t="str">
        <f t="shared" si="27"/>
        <v>ivs.services.photo</v>
      </c>
      <c r="H363" t="str">
        <f t="shared" si="28"/>
        <v>IVSivs.services.photoIntegrator</v>
      </c>
      <c r="I363" t="str">
        <f t="shared" si="29"/>
        <v/>
      </c>
      <c r="J363">
        <f>IF(I363="",0,COUNTIF($I$2:I363,I363))</f>
        <v>0</v>
      </c>
      <c r="K363">
        <f>COUNTIF($J$2:J363,1)</f>
        <v>49</v>
      </c>
      <c r="N363">
        <v>139</v>
      </c>
      <c r="O363" t="s">
        <v>23</v>
      </c>
      <c r="P363" t="s">
        <v>148</v>
      </c>
      <c r="Q363" t="s">
        <v>149</v>
      </c>
      <c r="R363" t="s">
        <v>164</v>
      </c>
      <c r="S363" t="s">
        <v>165</v>
      </c>
      <c r="T363" t="s">
        <v>166</v>
      </c>
      <c r="U363" t="s">
        <v>167</v>
      </c>
      <c r="W363" t="s">
        <v>22</v>
      </c>
    </row>
    <row r="364" spans="1:23" hidden="1" x14ac:dyDescent="0.25">
      <c r="A364">
        <f>COUNTIF($P$2:P364,P364)</f>
        <v>102</v>
      </c>
      <c r="B364">
        <f>COUNTIF($A$2:A364,1)</f>
        <v>16</v>
      </c>
      <c r="C364" t="str">
        <f t="shared" si="25"/>
        <v>IVS</v>
      </c>
      <c r="D364" t="str">
        <f t="shared" si="26"/>
        <v>IVSDevice</v>
      </c>
      <c r="E364">
        <f>COUNTIF($R$2:R364,R364)</f>
        <v>19</v>
      </c>
      <c r="F364">
        <f>COUNTIF($E$2:E364,1)</f>
        <v>25</v>
      </c>
      <c r="G364" t="str">
        <f t="shared" si="27"/>
        <v>ivs.services.photo</v>
      </c>
      <c r="H364" t="str">
        <f t="shared" si="28"/>
        <v>IVSivs.services.photoDevice</v>
      </c>
      <c r="I364" t="str">
        <f t="shared" si="29"/>
        <v/>
      </c>
      <c r="J364">
        <f>IF(I364="",0,COUNTIF($I$2:I364,I364))</f>
        <v>0</v>
      </c>
      <c r="K364">
        <f>COUNTIF($J$2:J364,1)</f>
        <v>49</v>
      </c>
      <c r="N364">
        <v>8</v>
      </c>
      <c r="O364" t="s">
        <v>31</v>
      </c>
      <c r="P364" t="s">
        <v>148</v>
      </c>
      <c r="Q364" t="s">
        <v>149</v>
      </c>
      <c r="R364" t="s">
        <v>164</v>
      </c>
      <c r="S364" t="s">
        <v>165</v>
      </c>
      <c r="T364" t="s">
        <v>166</v>
      </c>
      <c r="U364" t="s">
        <v>167</v>
      </c>
      <c r="W364" t="s">
        <v>22</v>
      </c>
    </row>
    <row r="365" spans="1:23" hidden="1" x14ac:dyDescent="0.25">
      <c r="A365">
        <f>COUNTIF($P$2:P365,P365)</f>
        <v>103</v>
      </c>
      <c r="B365">
        <f>COUNTIF($A$2:A365,1)</f>
        <v>16</v>
      </c>
      <c r="C365" t="str">
        <f t="shared" si="25"/>
        <v>IVS</v>
      </c>
      <c r="D365" t="str">
        <f t="shared" si="26"/>
        <v>IVSParent</v>
      </c>
      <c r="E365">
        <f>COUNTIF($R$2:R365,R365)</f>
        <v>20</v>
      </c>
      <c r="F365">
        <f>COUNTIF($E$2:E365,1)</f>
        <v>25</v>
      </c>
      <c r="G365" t="str">
        <f t="shared" si="27"/>
        <v>ivs.services.photo</v>
      </c>
      <c r="H365" t="str">
        <f t="shared" si="28"/>
        <v>IVSivs.services.photoParent</v>
      </c>
      <c r="I365" t="str">
        <f t="shared" si="29"/>
        <v/>
      </c>
      <c r="J365">
        <f>IF(I365="",0,COUNTIF($I$2:I365,I365))</f>
        <v>0</v>
      </c>
      <c r="K365">
        <f>COUNTIF($J$2:J365,1)</f>
        <v>49</v>
      </c>
      <c r="N365">
        <v>139</v>
      </c>
      <c r="O365" t="s">
        <v>15</v>
      </c>
      <c r="P365" t="s">
        <v>148</v>
      </c>
      <c r="Q365" t="s">
        <v>149</v>
      </c>
      <c r="R365" t="s">
        <v>164</v>
      </c>
      <c r="S365" t="s">
        <v>165</v>
      </c>
      <c r="T365" t="s">
        <v>166</v>
      </c>
      <c r="U365" t="s">
        <v>167</v>
      </c>
      <c r="W365" t="s">
        <v>22</v>
      </c>
    </row>
    <row r="366" spans="1:23" hidden="1" x14ac:dyDescent="0.25">
      <c r="A366">
        <f>COUNTIF($P$2:P366,P366)</f>
        <v>1</v>
      </c>
      <c r="B366">
        <f>COUNTIF($A$2:A366,1)</f>
        <v>17</v>
      </c>
      <c r="C366" t="str">
        <f t="shared" si="25"/>
        <v>OBS</v>
      </c>
      <c r="D366" t="str">
        <f t="shared" si="26"/>
        <v>OBSParent</v>
      </c>
      <c r="E366">
        <f>COUNTIF($R$2:R366,R366)</f>
        <v>1</v>
      </c>
      <c r="F366">
        <f>COUNTIF($E$2:E366,1)</f>
        <v>26</v>
      </c>
      <c r="G366" t="str">
        <f t="shared" si="27"/>
        <v>OBS</v>
      </c>
      <c r="H366" t="str">
        <f t="shared" si="28"/>
        <v>OBSOBSParent</v>
      </c>
      <c r="I366" t="str">
        <f t="shared" si="29"/>
        <v/>
      </c>
      <c r="J366">
        <f>IF(I366="",0,COUNTIF($I$2:I366,I366))</f>
        <v>0</v>
      </c>
      <c r="K366">
        <f>COUNTIF($J$2:J366,1)</f>
        <v>49</v>
      </c>
      <c r="N366">
        <v>1</v>
      </c>
      <c r="O366" t="s">
        <v>15</v>
      </c>
      <c r="P366" t="s">
        <v>168</v>
      </c>
      <c r="Q366" t="s">
        <v>169</v>
      </c>
      <c r="R366" t="s">
        <v>168</v>
      </c>
      <c r="S366" t="s">
        <v>169</v>
      </c>
      <c r="T366" t="s">
        <v>169</v>
      </c>
      <c r="U366" t="s">
        <v>170</v>
      </c>
      <c r="W366" t="s">
        <v>22</v>
      </c>
    </row>
    <row r="367" spans="1:23" hidden="1" x14ac:dyDescent="0.25">
      <c r="A367">
        <f>COUNTIF($P$2:P367,P367)</f>
        <v>2</v>
      </c>
      <c r="B367">
        <f>COUNTIF($A$2:A367,1)</f>
        <v>17</v>
      </c>
      <c r="C367" t="str">
        <f t="shared" si="25"/>
        <v>OBS</v>
      </c>
      <c r="D367" t="str">
        <f t="shared" si="26"/>
        <v>OBSParent</v>
      </c>
      <c r="E367">
        <f>COUNTIF($R$2:R367,R367)</f>
        <v>2</v>
      </c>
      <c r="F367">
        <f>COUNTIF($E$2:E367,1)</f>
        <v>26</v>
      </c>
      <c r="G367" t="str">
        <f t="shared" si="27"/>
        <v>OBS</v>
      </c>
      <c r="H367" t="str">
        <f t="shared" si="28"/>
        <v>OBSOBSParent</v>
      </c>
      <c r="I367" t="str">
        <f t="shared" si="29"/>
        <v/>
      </c>
      <c r="J367">
        <f>IF(I367="",0,COUNTIF($I$2:I367,I367))</f>
        <v>0</v>
      </c>
      <c r="K367">
        <f>COUNTIF($J$2:J367,1)</f>
        <v>49</v>
      </c>
      <c r="N367">
        <v>1</v>
      </c>
      <c r="O367" t="s">
        <v>15</v>
      </c>
      <c r="P367" t="s">
        <v>168</v>
      </c>
      <c r="Q367" t="s">
        <v>169</v>
      </c>
      <c r="R367" t="s">
        <v>168</v>
      </c>
      <c r="S367" t="s">
        <v>169</v>
      </c>
      <c r="T367" t="s">
        <v>169</v>
      </c>
      <c r="U367" t="s">
        <v>170</v>
      </c>
      <c r="W367" t="s">
        <v>21</v>
      </c>
    </row>
    <row r="368" spans="1:23" hidden="1" x14ac:dyDescent="0.25">
      <c r="A368">
        <f>COUNTIF($P$2:P368,P368)</f>
        <v>3</v>
      </c>
      <c r="B368">
        <f>COUNTIF($A$2:A368,1)</f>
        <v>17</v>
      </c>
      <c r="C368" t="str">
        <f t="shared" si="25"/>
        <v>OBS</v>
      </c>
      <c r="D368" t="str">
        <f t="shared" si="26"/>
        <v>OBSParent</v>
      </c>
      <c r="E368">
        <f>COUNTIF($R$2:R368,R368)</f>
        <v>3</v>
      </c>
      <c r="F368">
        <f>COUNTIF($E$2:E368,1)</f>
        <v>26</v>
      </c>
      <c r="G368" t="str">
        <f t="shared" si="27"/>
        <v>OBS</v>
      </c>
      <c r="H368" t="str">
        <f t="shared" si="28"/>
        <v>OBSOBSParent</v>
      </c>
      <c r="I368" t="str">
        <f t="shared" si="29"/>
        <v/>
      </c>
      <c r="J368">
        <f>IF(I368="",0,COUNTIF($I$2:I368,I368))</f>
        <v>0</v>
      </c>
      <c r="K368">
        <f>COUNTIF($J$2:J368,1)</f>
        <v>49</v>
      </c>
      <c r="N368">
        <v>1</v>
      </c>
      <c r="O368" t="s">
        <v>15</v>
      </c>
      <c r="P368" t="s">
        <v>168</v>
      </c>
      <c r="Q368" t="s">
        <v>169</v>
      </c>
      <c r="R368" t="s">
        <v>168</v>
      </c>
      <c r="S368" t="s">
        <v>169</v>
      </c>
      <c r="T368" t="s">
        <v>169</v>
      </c>
      <c r="U368" t="s">
        <v>170</v>
      </c>
      <c r="W368" t="s">
        <v>21</v>
      </c>
    </row>
    <row r="369" spans="1:26" hidden="1" x14ac:dyDescent="0.25">
      <c r="A369">
        <f>COUNTIF($P$2:P369,P369)</f>
        <v>4</v>
      </c>
      <c r="B369">
        <f>COUNTIF($A$2:A369,1)</f>
        <v>17</v>
      </c>
      <c r="C369" t="str">
        <f t="shared" si="25"/>
        <v>OBS</v>
      </c>
      <c r="D369" t="str">
        <f t="shared" si="26"/>
        <v>OBSParent</v>
      </c>
      <c r="E369">
        <f>COUNTIF($R$2:R369,R369)</f>
        <v>4</v>
      </c>
      <c r="F369">
        <f>COUNTIF($E$2:E369,1)</f>
        <v>26</v>
      </c>
      <c r="G369" t="str">
        <f t="shared" si="27"/>
        <v>OBS</v>
      </c>
      <c r="H369" t="str">
        <f t="shared" si="28"/>
        <v>OBSOBSParent</v>
      </c>
      <c r="I369" t="str">
        <f t="shared" si="29"/>
        <v/>
      </c>
      <c r="J369">
        <f>IF(I369="",0,COUNTIF($I$2:I369,I369))</f>
        <v>0</v>
      </c>
      <c r="K369">
        <f>COUNTIF($J$2:J369,1)</f>
        <v>49</v>
      </c>
      <c r="N369">
        <v>1</v>
      </c>
      <c r="O369" t="s">
        <v>15</v>
      </c>
      <c r="P369" t="s">
        <v>168</v>
      </c>
      <c r="Q369" t="s">
        <v>169</v>
      </c>
      <c r="R369" t="s">
        <v>168</v>
      </c>
      <c r="S369" t="s">
        <v>169</v>
      </c>
      <c r="T369" t="s">
        <v>169</v>
      </c>
      <c r="U369" t="s">
        <v>170</v>
      </c>
      <c r="W369" t="s">
        <v>21</v>
      </c>
    </row>
    <row r="370" spans="1:26" hidden="1" x14ac:dyDescent="0.25">
      <c r="A370">
        <f>COUNTIF($P$2:P370,P370)</f>
        <v>5</v>
      </c>
      <c r="B370">
        <f>COUNTIF($A$2:A370,1)</f>
        <v>17</v>
      </c>
      <c r="C370" t="str">
        <f t="shared" si="25"/>
        <v>OBS</v>
      </c>
      <c r="D370" t="str">
        <f t="shared" si="26"/>
        <v>OBSParent</v>
      </c>
      <c r="E370">
        <f>COUNTIF($R$2:R370,R370)</f>
        <v>5</v>
      </c>
      <c r="F370">
        <f>COUNTIF($E$2:E370,1)</f>
        <v>26</v>
      </c>
      <c r="G370" t="str">
        <f t="shared" si="27"/>
        <v>OBS</v>
      </c>
      <c r="H370" t="str">
        <f t="shared" si="28"/>
        <v>OBSOBSParent</v>
      </c>
      <c r="I370" t="str">
        <f t="shared" si="29"/>
        <v/>
      </c>
      <c r="J370">
        <f>IF(I370="",0,COUNTIF($I$2:I370,I370))</f>
        <v>0</v>
      </c>
      <c r="K370">
        <f>COUNTIF($J$2:J370,1)</f>
        <v>49</v>
      </c>
      <c r="N370">
        <v>1</v>
      </c>
      <c r="O370" t="s">
        <v>15</v>
      </c>
      <c r="P370" t="s">
        <v>168</v>
      </c>
      <c r="Q370" t="s">
        <v>169</v>
      </c>
      <c r="R370" t="s">
        <v>168</v>
      </c>
      <c r="S370" t="s">
        <v>169</v>
      </c>
      <c r="T370" t="s">
        <v>169</v>
      </c>
      <c r="U370" t="s">
        <v>170</v>
      </c>
      <c r="W370" t="s">
        <v>22</v>
      </c>
    </row>
    <row r="371" spans="1:26" hidden="1" x14ac:dyDescent="0.25">
      <c r="A371">
        <f>COUNTIF($P$2:P371,P371)</f>
        <v>6</v>
      </c>
      <c r="B371">
        <f>COUNTIF($A$2:A371,1)</f>
        <v>17</v>
      </c>
      <c r="C371" t="str">
        <f t="shared" si="25"/>
        <v>OBS</v>
      </c>
      <c r="D371" t="str">
        <f t="shared" si="26"/>
        <v>OBSParent</v>
      </c>
      <c r="E371">
        <f>COUNTIF($R$2:R371,R371)</f>
        <v>6</v>
      </c>
      <c r="F371">
        <f>COUNTIF($E$2:E371,1)</f>
        <v>26</v>
      </c>
      <c r="G371" t="str">
        <f t="shared" si="27"/>
        <v>OBS</v>
      </c>
      <c r="H371" t="str">
        <f t="shared" si="28"/>
        <v>OBSOBSParent</v>
      </c>
      <c r="I371" t="str">
        <f t="shared" si="29"/>
        <v/>
      </c>
      <c r="J371">
        <f>IF(I371="",0,COUNTIF($I$2:I371,I371))</f>
        <v>0</v>
      </c>
      <c r="K371">
        <f>COUNTIF($J$2:J371,1)</f>
        <v>49</v>
      </c>
      <c r="N371">
        <v>1</v>
      </c>
      <c r="O371" t="s">
        <v>15</v>
      </c>
      <c r="P371" t="s">
        <v>168</v>
      </c>
      <c r="Q371" t="s">
        <v>169</v>
      </c>
      <c r="R371" t="s">
        <v>168</v>
      </c>
      <c r="S371" t="s">
        <v>169</v>
      </c>
      <c r="T371" t="s">
        <v>169</v>
      </c>
      <c r="U371" t="s">
        <v>170</v>
      </c>
      <c r="W371" t="s">
        <v>22</v>
      </c>
    </row>
    <row r="372" spans="1:26" hidden="1" x14ac:dyDescent="0.25">
      <c r="A372">
        <f>COUNTIF($P$2:P372,P372)</f>
        <v>1</v>
      </c>
      <c r="B372">
        <f>COUNTIF($A$2:A372,1)</f>
        <v>18</v>
      </c>
      <c r="C372" t="str">
        <f t="shared" si="25"/>
        <v>OCS</v>
      </c>
      <c r="D372" t="str">
        <f t="shared" si="26"/>
        <v>OCSParent</v>
      </c>
      <c r="E372">
        <f>COUNTIF($R$2:R372,R372)</f>
        <v>1</v>
      </c>
      <c r="F372">
        <f>COUNTIF($E$2:E372,1)</f>
        <v>27</v>
      </c>
      <c r="G372" t="str">
        <f t="shared" si="27"/>
        <v>ocs.services.collection</v>
      </c>
      <c r="H372" t="str">
        <f t="shared" si="28"/>
        <v>OCSocs.services.collectionParent</v>
      </c>
      <c r="I372" t="str">
        <f t="shared" si="29"/>
        <v>OCSocs.services.collectionapp.mandate.creation.enabled</v>
      </c>
      <c r="J372">
        <f>IF(I372="",0,COUNTIF($I$2:I372,I372))</f>
        <v>1</v>
      </c>
      <c r="K372">
        <f>COUNTIF($J$2:J372,1)</f>
        <v>50</v>
      </c>
      <c r="N372">
        <v>4</v>
      </c>
      <c r="O372" t="s">
        <v>15</v>
      </c>
      <c r="P372" t="s">
        <v>171</v>
      </c>
      <c r="Q372" t="s">
        <v>172</v>
      </c>
      <c r="R372" t="s">
        <v>173</v>
      </c>
      <c r="S372" t="s">
        <v>174</v>
      </c>
      <c r="T372" t="s">
        <v>175</v>
      </c>
      <c r="U372" t="s">
        <v>176</v>
      </c>
      <c r="V372" t="s">
        <v>177</v>
      </c>
      <c r="W372" t="s">
        <v>21</v>
      </c>
      <c r="X372" t="s">
        <v>21</v>
      </c>
      <c r="Y372" t="b">
        <v>1</v>
      </c>
      <c r="Z372">
        <v>4184</v>
      </c>
    </row>
    <row r="373" spans="1:26" hidden="1" x14ac:dyDescent="0.25">
      <c r="A373">
        <f>COUNTIF($P$2:P373,P373)</f>
        <v>2</v>
      </c>
      <c r="B373">
        <f>COUNTIF($A$2:A373,1)</f>
        <v>18</v>
      </c>
      <c r="C373" t="str">
        <f t="shared" si="25"/>
        <v>OCS</v>
      </c>
      <c r="D373" t="str">
        <f t="shared" si="26"/>
        <v>OCSDevice</v>
      </c>
      <c r="E373">
        <f>COUNTIF($R$2:R373,R373)</f>
        <v>2</v>
      </c>
      <c r="F373">
        <f>COUNTIF($E$2:E373,1)</f>
        <v>27</v>
      </c>
      <c r="G373" t="str">
        <f t="shared" si="27"/>
        <v>ocs.services.collection</v>
      </c>
      <c r="H373" t="str">
        <f t="shared" si="28"/>
        <v>OCSocs.services.collectionDevice</v>
      </c>
      <c r="I373" t="str">
        <f t="shared" si="29"/>
        <v>OCSocs.services.collectionapp.mandate.creation.enabled</v>
      </c>
      <c r="J373">
        <f>IF(I373="",0,COUNTIF($I$2:I373,I373))</f>
        <v>2</v>
      </c>
      <c r="K373">
        <f>COUNTIF($J$2:J373,1)</f>
        <v>50</v>
      </c>
      <c r="N373">
        <v>20</v>
      </c>
      <c r="O373" t="s">
        <v>31</v>
      </c>
      <c r="P373" t="s">
        <v>171</v>
      </c>
      <c r="Q373" t="s">
        <v>172</v>
      </c>
      <c r="R373" t="s">
        <v>173</v>
      </c>
      <c r="S373" t="s">
        <v>174</v>
      </c>
      <c r="T373" t="s">
        <v>175</v>
      </c>
      <c r="U373" t="s">
        <v>176</v>
      </c>
      <c r="V373" t="s">
        <v>177</v>
      </c>
      <c r="W373" t="s">
        <v>21</v>
      </c>
      <c r="X373" t="s">
        <v>21</v>
      </c>
      <c r="Y373" t="b">
        <v>1</v>
      </c>
      <c r="Z373">
        <v>4184</v>
      </c>
    </row>
    <row r="374" spans="1:26" hidden="1" x14ac:dyDescent="0.25">
      <c r="A374">
        <f>COUNTIF($P$2:P374,P374)</f>
        <v>3</v>
      </c>
      <c r="B374">
        <f>COUNTIF($A$2:A374,1)</f>
        <v>18</v>
      </c>
      <c r="C374" t="str">
        <f t="shared" si="25"/>
        <v>OCS</v>
      </c>
      <c r="D374" t="str">
        <f t="shared" si="26"/>
        <v>OCSParent</v>
      </c>
      <c r="E374">
        <f>COUNTIF($R$2:R374,R374)</f>
        <v>3</v>
      </c>
      <c r="F374">
        <f>COUNTIF($E$2:E374,1)</f>
        <v>27</v>
      </c>
      <c r="G374" t="str">
        <f t="shared" si="27"/>
        <v>ocs.services.collection</v>
      </c>
      <c r="H374" t="str">
        <f t="shared" si="28"/>
        <v>OCSocs.services.collectionParent</v>
      </c>
      <c r="I374" t="str">
        <f t="shared" si="29"/>
        <v>OCSocs.services.collectionapp.mandate.creation.enabled</v>
      </c>
      <c r="J374">
        <f>IF(I374="",0,COUNTIF($I$2:I374,I374))</f>
        <v>3</v>
      </c>
      <c r="K374">
        <f>COUNTIF($J$2:J374,1)</f>
        <v>50</v>
      </c>
      <c r="N374">
        <v>1</v>
      </c>
      <c r="O374" t="s">
        <v>15</v>
      </c>
      <c r="P374" t="s">
        <v>171</v>
      </c>
      <c r="Q374" t="s">
        <v>172</v>
      </c>
      <c r="R374" t="s">
        <v>173</v>
      </c>
      <c r="S374" t="s">
        <v>174</v>
      </c>
      <c r="T374" t="s">
        <v>175</v>
      </c>
      <c r="U374" t="s">
        <v>176</v>
      </c>
      <c r="V374" t="s">
        <v>177</v>
      </c>
      <c r="W374" t="s">
        <v>21</v>
      </c>
      <c r="X374" t="s">
        <v>21</v>
      </c>
      <c r="Y374" t="b">
        <v>1</v>
      </c>
      <c r="Z374">
        <v>4184</v>
      </c>
    </row>
    <row r="375" spans="1:26" hidden="1" x14ac:dyDescent="0.25">
      <c r="A375">
        <f>COUNTIF($P$2:P375,P375)</f>
        <v>4</v>
      </c>
      <c r="B375">
        <f>COUNTIF($A$2:A375,1)</f>
        <v>18</v>
      </c>
      <c r="C375" t="str">
        <f t="shared" si="25"/>
        <v>OCS</v>
      </c>
      <c r="D375" t="str">
        <f t="shared" si="26"/>
        <v>OCSDevice</v>
      </c>
      <c r="E375">
        <f>COUNTIF($R$2:R375,R375)</f>
        <v>4</v>
      </c>
      <c r="F375">
        <f>COUNTIF($E$2:E375,1)</f>
        <v>27</v>
      </c>
      <c r="G375" t="str">
        <f t="shared" si="27"/>
        <v>ocs.services.collection</v>
      </c>
      <c r="H375" t="str">
        <f t="shared" si="28"/>
        <v>OCSocs.services.collectionDevice</v>
      </c>
      <c r="I375" t="str">
        <f t="shared" si="29"/>
        <v>OCSocs.services.collectionapp.transaction.history.enabled</v>
      </c>
      <c r="J375">
        <f>IF(I375="",0,COUNTIF($I$2:I375,I375))</f>
        <v>1</v>
      </c>
      <c r="K375">
        <f>COUNTIF($J$2:J375,1)</f>
        <v>51</v>
      </c>
      <c r="N375">
        <v>7</v>
      </c>
      <c r="O375" t="s">
        <v>31</v>
      </c>
      <c r="P375" t="s">
        <v>171</v>
      </c>
      <c r="Q375" t="s">
        <v>172</v>
      </c>
      <c r="R375" t="s">
        <v>173</v>
      </c>
      <c r="S375" t="s">
        <v>174</v>
      </c>
      <c r="T375" t="s">
        <v>175</v>
      </c>
      <c r="U375" t="s">
        <v>176</v>
      </c>
      <c r="V375" t="s">
        <v>178</v>
      </c>
      <c r="W375" t="s">
        <v>21</v>
      </c>
      <c r="X375" t="s">
        <v>21</v>
      </c>
      <c r="Y375" t="b">
        <v>1</v>
      </c>
      <c r="Z375">
        <v>4185</v>
      </c>
    </row>
    <row r="376" spans="1:26" hidden="1" x14ac:dyDescent="0.25">
      <c r="A376">
        <f>COUNTIF($P$2:P376,P376)</f>
        <v>5</v>
      </c>
      <c r="B376">
        <f>COUNTIF($A$2:A376,1)</f>
        <v>18</v>
      </c>
      <c r="C376" t="str">
        <f t="shared" si="25"/>
        <v>OCS</v>
      </c>
      <c r="D376" t="str">
        <f t="shared" si="26"/>
        <v>OCSDevice</v>
      </c>
      <c r="E376">
        <f>COUNTIF($R$2:R376,R376)</f>
        <v>5</v>
      </c>
      <c r="F376">
        <f>COUNTIF($E$2:E376,1)</f>
        <v>27</v>
      </c>
      <c r="G376" t="str">
        <f t="shared" si="27"/>
        <v>ocs.services.collection</v>
      </c>
      <c r="H376" t="str">
        <f t="shared" si="28"/>
        <v>OCSocs.services.collectionDevice</v>
      </c>
      <c r="I376" t="str">
        <f t="shared" si="29"/>
        <v>OCSocs.services.collectionexternal.status.webhook.url</v>
      </c>
      <c r="J376">
        <f>IF(I376="",0,COUNTIF($I$2:I376,I376))</f>
        <v>1</v>
      </c>
      <c r="K376">
        <f>COUNTIF($J$2:J376,1)</f>
        <v>52</v>
      </c>
      <c r="N376">
        <v>17</v>
      </c>
      <c r="O376" t="s">
        <v>31</v>
      </c>
      <c r="P376" t="s">
        <v>171</v>
      </c>
      <c r="Q376" t="s">
        <v>172</v>
      </c>
      <c r="R376" t="s">
        <v>173</v>
      </c>
      <c r="S376" t="s">
        <v>174</v>
      </c>
      <c r="T376" t="s">
        <v>175</v>
      </c>
      <c r="U376" t="s">
        <v>176</v>
      </c>
      <c r="V376" t="s">
        <v>179</v>
      </c>
      <c r="W376" t="s">
        <v>21</v>
      </c>
      <c r="X376" t="s">
        <v>21</v>
      </c>
      <c r="Y376" t="s">
        <v>180</v>
      </c>
      <c r="Z376">
        <v>5016</v>
      </c>
    </row>
    <row r="377" spans="1:26" hidden="1" x14ac:dyDescent="0.25">
      <c r="A377">
        <f>COUNTIF($P$2:P377,P377)</f>
        <v>6</v>
      </c>
      <c r="B377">
        <f>COUNTIF($A$2:A377,1)</f>
        <v>18</v>
      </c>
      <c r="C377" t="str">
        <f t="shared" si="25"/>
        <v>OCS</v>
      </c>
      <c r="D377" t="str">
        <f t="shared" si="26"/>
        <v>OCSIntegrator</v>
      </c>
      <c r="E377">
        <f>COUNTIF($R$2:R377,R377)</f>
        <v>6</v>
      </c>
      <c r="F377">
        <f>COUNTIF($E$2:E377,1)</f>
        <v>27</v>
      </c>
      <c r="G377" t="str">
        <f t="shared" si="27"/>
        <v>ocs.services.collection</v>
      </c>
      <c r="H377" t="str">
        <f t="shared" si="28"/>
        <v>OCSocs.services.collectionIntegrator</v>
      </c>
      <c r="I377" t="str">
        <f t="shared" si="29"/>
        <v>OCSocs.services.collectionexternal.status.webhook.url</v>
      </c>
      <c r="J377">
        <f>IF(I377="",0,COUNTIF($I$2:I377,I377))</f>
        <v>2</v>
      </c>
      <c r="K377">
        <f>COUNTIF($J$2:J377,1)</f>
        <v>52</v>
      </c>
      <c r="N377">
        <v>1</v>
      </c>
      <c r="O377" t="s">
        <v>23</v>
      </c>
      <c r="P377" t="s">
        <v>171</v>
      </c>
      <c r="Q377" t="s">
        <v>172</v>
      </c>
      <c r="R377" t="s">
        <v>173</v>
      </c>
      <c r="S377" t="s">
        <v>174</v>
      </c>
      <c r="T377" t="s">
        <v>175</v>
      </c>
      <c r="U377" t="s">
        <v>176</v>
      </c>
      <c r="V377" t="s">
        <v>179</v>
      </c>
      <c r="W377" t="s">
        <v>21</v>
      </c>
      <c r="X377" t="s">
        <v>21</v>
      </c>
      <c r="Y377" t="s">
        <v>180</v>
      </c>
      <c r="Z377">
        <v>5016</v>
      </c>
    </row>
    <row r="378" spans="1:26" hidden="1" x14ac:dyDescent="0.25">
      <c r="A378">
        <f>COUNTIF($P$2:P378,P378)</f>
        <v>7</v>
      </c>
      <c r="B378">
        <f>COUNTIF($A$2:A378,1)</f>
        <v>18</v>
      </c>
      <c r="C378" t="str">
        <f t="shared" si="25"/>
        <v>OCS</v>
      </c>
      <c r="D378" t="str">
        <f t="shared" si="26"/>
        <v>OCSParent</v>
      </c>
      <c r="E378">
        <f>COUNTIF($R$2:R378,R378)</f>
        <v>7</v>
      </c>
      <c r="F378">
        <f>COUNTIF($E$2:E378,1)</f>
        <v>27</v>
      </c>
      <c r="G378" t="str">
        <f t="shared" si="27"/>
        <v>ocs.services.collection</v>
      </c>
      <c r="H378" t="str">
        <f t="shared" si="28"/>
        <v>OCSocs.services.collectionParent</v>
      </c>
      <c r="I378" t="str">
        <f t="shared" si="29"/>
        <v>OCSocs.services.collectionexternal.status.webhook.url</v>
      </c>
      <c r="J378">
        <f>IF(I378="",0,COUNTIF($I$2:I378,I378))</f>
        <v>3</v>
      </c>
      <c r="K378">
        <f>COUNTIF($J$2:J378,1)</f>
        <v>52</v>
      </c>
      <c r="N378">
        <v>5</v>
      </c>
      <c r="O378" t="s">
        <v>15</v>
      </c>
      <c r="P378" t="s">
        <v>171</v>
      </c>
      <c r="Q378" t="s">
        <v>172</v>
      </c>
      <c r="R378" t="s">
        <v>173</v>
      </c>
      <c r="S378" t="s">
        <v>174</v>
      </c>
      <c r="T378" t="s">
        <v>175</v>
      </c>
      <c r="U378" t="s">
        <v>176</v>
      </c>
      <c r="V378" t="s">
        <v>179</v>
      </c>
      <c r="W378" t="s">
        <v>21</v>
      </c>
      <c r="X378" t="s">
        <v>21</v>
      </c>
      <c r="Y378" t="s">
        <v>180</v>
      </c>
      <c r="Z378">
        <v>5016</v>
      </c>
    </row>
    <row r="379" spans="1:26" hidden="1" x14ac:dyDescent="0.25">
      <c r="A379">
        <f>COUNTIF($P$2:P379,P379)</f>
        <v>8</v>
      </c>
      <c r="B379">
        <f>COUNTIF($A$2:A379,1)</f>
        <v>18</v>
      </c>
      <c r="C379" t="str">
        <f t="shared" si="25"/>
        <v>OCS</v>
      </c>
      <c r="D379" t="str">
        <f t="shared" si="26"/>
        <v>OCSIntegrator</v>
      </c>
      <c r="E379">
        <f>COUNTIF($R$2:R379,R379)</f>
        <v>8</v>
      </c>
      <c r="F379">
        <f>COUNTIF($E$2:E379,1)</f>
        <v>27</v>
      </c>
      <c r="G379" t="str">
        <f t="shared" si="27"/>
        <v>ocs.services.collection</v>
      </c>
      <c r="H379" t="str">
        <f t="shared" si="28"/>
        <v>OCSocs.services.collectionIntegrator</v>
      </c>
      <c r="I379" t="str">
        <f t="shared" si="29"/>
        <v>OCSocs.services.collectionocs.df.scheme</v>
      </c>
      <c r="J379">
        <f>IF(I379="",0,COUNTIF($I$2:I379,I379))</f>
        <v>1</v>
      </c>
      <c r="K379">
        <f>COUNTIF($J$2:J379,1)</f>
        <v>53</v>
      </c>
      <c r="N379">
        <v>23</v>
      </c>
      <c r="O379" t="s">
        <v>23</v>
      </c>
      <c r="P379" t="s">
        <v>171</v>
      </c>
      <c r="Q379" t="s">
        <v>172</v>
      </c>
      <c r="R379" t="s">
        <v>173</v>
      </c>
      <c r="S379" t="s">
        <v>174</v>
      </c>
      <c r="T379" t="s">
        <v>175</v>
      </c>
      <c r="U379" t="s">
        <v>176</v>
      </c>
      <c r="V379" t="s">
        <v>181</v>
      </c>
      <c r="W379" t="s">
        <v>21</v>
      </c>
      <c r="X379" t="s">
        <v>21</v>
      </c>
      <c r="Y379" t="s">
        <v>182</v>
      </c>
      <c r="Z379">
        <v>5055</v>
      </c>
    </row>
    <row r="380" spans="1:26" hidden="1" x14ac:dyDescent="0.25">
      <c r="A380">
        <f>COUNTIF($P$2:P380,P380)</f>
        <v>9</v>
      </c>
      <c r="B380">
        <f>COUNTIF($A$2:A380,1)</f>
        <v>18</v>
      </c>
      <c r="C380" t="str">
        <f t="shared" si="25"/>
        <v>OCS</v>
      </c>
      <c r="D380" t="str">
        <f t="shared" si="26"/>
        <v>OCSPerson</v>
      </c>
      <c r="E380">
        <f>COUNTIF($R$2:R380,R380)</f>
        <v>9</v>
      </c>
      <c r="F380">
        <f>COUNTIF($E$2:E380,1)</f>
        <v>27</v>
      </c>
      <c r="G380" t="str">
        <f t="shared" si="27"/>
        <v>ocs.services.collection</v>
      </c>
      <c r="H380" t="str">
        <f t="shared" si="28"/>
        <v>OCSocs.services.collectionPerson</v>
      </c>
      <c r="I380" t="str">
        <f t="shared" si="29"/>
        <v>OCSocs.services.collectionocs.df.scheme</v>
      </c>
      <c r="J380">
        <f>IF(I380="",0,COUNTIF($I$2:I380,I380))</f>
        <v>2</v>
      </c>
      <c r="K380">
        <f>COUNTIF($J$2:J380,1)</f>
        <v>53</v>
      </c>
      <c r="N380">
        <v>11</v>
      </c>
      <c r="O380" t="s">
        <v>24</v>
      </c>
      <c r="P380" t="s">
        <v>171</v>
      </c>
      <c r="Q380" t="s">
        <v>172</v>
      </c>
      <c r="R380" t="s">
        <v>173</v>
      </c>
      <c r="S380" t="s">
        <v>174</v>
      </c>
      <c r="T380" t="s">
        <v>175</v>
      </c>
      <c r="U380" t="s">
        <v>176</v>
      </c>
      <c r="V380" t="s">
        <v>181</v>
      </c>
      <c r="W380" t="s">
        <v>21</v>
      </c>
      <c r="X380" t="s">
        <v>21</v>
      </c>
      <c r="Y380" t="s">
        <v>182</v>
      </c>
      <c r="Z380">
        <v>5055</v>
      </c>
    </row>
    <row r="381" spans="1:26" hidden="1" x14ac:dyDescent="0.25">
      <c r="A381">
        <f>COUNTIF($P$2:P381,P381)</f>
        <v>10</v>
      </c>
      <c r="B381">
        <f>COUNTIF($A$2:A381,1)</f>
        <v>18</v>
      </c>
      <c r="C381" t="str">
        <f t="shared" si="25"/>
        <v>OCS</v>
      </c>
      <c r="D381" t="str">
        <f t="shared" si="26"/>
        <v>OCSParent</v>
      </c>
      <c r="E381">
        <f>COUNTIF($R$2:R381,R381)</f>
        <v>10</v>
      </c>
      <c r="F381">
        <f>COUNTIF($E$2:E381,1)</f>
        <v>27</v>
      </c>
      <c r="G381" t="str">
        <f t="shared" si="27"/>
        <v>ocs.services.collection</v>
      </c>
      <c r="H381" t="str">
        <f t="shared" si="28"/>
        <v>OCSocs.services.collectionParent</v>
      </c>
      <c r="I381" t="str">
        <f t="shared" si="29"/>
        <v>OCSocs.services.collectionocs.df.scheme</v>
      </c>
      <c r="J381">
        <f>IF(I381="",0,COUNTIF($I$2:I381,I381))</f>
        <v>3</v>
      </c>
      <c r="K381">
        <f>COUNTIF($J$2:J381,1)</f>
        <v>53</v>
      </c>
      <c r="N381">
        <v>90</v>
      </c>
      <c r="O381" t="s">
        <v>15</v>
      </c>
      <c r="P381" t="s">
        <v>171</v>
      </c>
      <c r="Q381" t="s">
        <v>172</v>
      </c>
      <c r="R381" t="s">
        <v>173</v>
      </c>
      <c r="S381" t="s">
        <v>174</v>
      </c>
      <c r="T381" t="s">
        <v>175</v>
      </c>
      <c r="U381" t="s">
        <v>176</v>
      </c>
      <c r="V381" t="s">
        <v>181</v>
      </c>
      <c r="W381" t="s">
        <v>21</v>
      </c>
      <c r="X381" t="s">
        <v>21</v>
      </c>
      <c r="Y381" t="s">
        <v>182</v>
      </c>
      <c r="Z381">
        <v>5055</v>
      </c>
    </row>
    <row r="382" spans="1:26" hidden="1" x14ac:dyDescent="0.25">
      <c r="A382">
        <f>COUNTIF($P$2:P382,P382)</f>
        <v>11</v>
      </c>
      <c r="B382">
        <f>COUNTIF($A$2:A382,1)</f>
        <v>18</v>
      </c>
      <c r="C382" t="str">
        <f t="shared" si="25"/>
        <v>OCS</v>
      </c>
      <c r="D382" t="str">
        <f t="shared" si="26"/>
        <v>OCSParent</v>
      </c>
      <c r="E382">
        <f>COUNTIF($R$2:R382,R382)</f>
        <v>11</v>
      </c>
      <c r="F382">
        <f>COUNTIF($E$2:E382,1)</f>
        <v>27</v>
      </c>
      <c r="G382" t="str">
        <f t="shared" si="27"/>
        <v>ocs.services.collection</v>
      </c>
      <c r="H382" t="str">
        <f t="shared" si="28"/>
        <v>OCSocs.services.collectionParent</v>
      </c>
      <c r="I382" t="str">
        <f t="shared" si="29"/>
        <v>OCSocs.services.collectionocs.easy.loan.webhook.url</v>
      </c>
      <c r="J382">
        <f>IF(I382="",0,COUNTIF($I$2:I382,I382))</f>
        <v>1</v>
      </c>
      <c r="K382">
        <f>COUNTIF($J$2:J382,1)</f>
        <v>54</v>
      </c>
      <c r="N382">
        <v>1</v>
      </c>
      <c r="O382" t="s">
        <v>15</v>
      </c>
      <c r="P382" t="s">
        <v>171</v>
      </c>
      <c r="Q382" t="s">
        <v>172</v>
      </c>
      <c r="R382" t="s">
        <v>173</v>
      </c>
      <c r="S382" t="s">
        <v>174</v>
      </c>
      <c r="T382" t="s">
        <v>175</v>
      </c>
      <c r="U382" t="s">
        <v>176</v>
      </c>
      <c r="V382" t="s">
        <v>183</v>
      </c>
      <c r="W382" t="s">
        <v>22</v>
      </c>
      <c r="X382" t="s">
        <v>22</v>
      </c>
      <c r="Y382" t="s">
        <v>184</v>
      </c>
      <c r="Z382">
        <v>1910</v>
      </c>
    </row>
    <row r="383" spans="1:26" hidden="1" x14ac:dyDescent="0.25">
      <c r="A383">
        <f>COUNTIF($P$2:P383,P383)</f>
        <v>12</v>
      </c>
      <c r="B383">
        <f>COUNTIF($A$2:A383,1)</f>
        <v>18</v>
      </c>
      <c r="C383" t="str">
        <f t="shared" si="25"/>
        <v>OCS</v>
      </c>
      <c r="D383" t="str">
        <f t="shared" si="26"/>
        <v>OCSIntegrator</v>
      </c>
      <c r="E383">
        <f>COUNTIF($R$2:R383,R383)</f>
        <v>12</v>
      </c>
      <c r="F383">
        <f>COUNTIF($E$2:E383,1)</f>
        <v>27</v>
      </c>
      <c r="G383" t="str">
        <f t="shared" si="27"/>
        <v>ocs.services.collection</v>
      </c>
      <c r="H383" t="str">
        <f t="shared" si="28"/>
        <v>OCSocs.services.collectionIntegrator</v>
      </c>
      <c r="I383" t="str">
        <f t="shared" si="29"/>
        <v>OCSocs.services.collectionocs.easy.loan.webhook.url</v>
      </c>
      <c r="J383">
        <f>IF(I383="",0,COUNTIF($I$2:I383,I383))</f>
        <v>2</v>
      </c>
      <c r="K383">
        <f>COUNTIF($J$2:J383,1)</f>
        <v>54</v>
      </c>
      <c r="N383">
        <v>15</v>
      </c>
      <c r="O383" t="s">
        <v>23</v>
      </c>
      <c r="P383" t="s">
        <v>171</v>
      </c>
      <c r="Q383" t="s">
        <v>172</v>
      </c>
      <c r="R383" t="s">
        <v>173</v>
      </c>
      <c r="S383" t="s">
        <v>174</v>
      </c>
      <c r="T383" t="s">
        <v>175</v>
      </c>
      <c r="U383" t="s">
        <v>176</v>
      </c>
      <c r="V383" t="s">
        <v>183</v>
      </c>
      <c r="W383" t="s">
        <v>22</v>
      </c>
      <c r="X383" t="s">
        <v>22</v>
      </c>
      <c r="Y383" t="s">
        <v>184</v>
      </c>
      <c r="Z383">
        <v>1910</v>
      </c>
    </row>
    <row r="384" spans="1:26" hidden="1" x14ac:dyDescent="0.25">
      <c r="A384">
        <f>COUNTIF($P$2:P384,P384)</f>
        <v>13</v>
      </c>
      <c r="B384">
        <f>COUNTIF($A$2:A384,1)</f>
        <v>18</v>
      </c>
      <c r="C384" t="str">
        <f t="shared" si="25"/>
        <v>OCS</v>
      </c>
      <c r="D384" t="str">
        <f t="shared" si="26"/>
        <v>OCSIntegrator</v>
      </c>
      <c r="E384">
        <f>COUNTIF($R$2:R384,R384)</f>
        <v>13</v>
      </c>
      <c r="F384">
        <f>COUNTIF($E$2:E384,1)</f>
        <v>27</v>
      </c>
      <c r="G384" t="str">
        <f t="shared" si="27"/>
        <v>ocs.services.collection</v>
      </c>
      <c r="H384" t="str">
        <f t="shared" si="28"/>
        <v>OCSocs.services.collectionIntegrator</v>
      </c>
      <c r="I384" t="str">
        <f t="shared" si="29"/>
        <v>OCSocs.services.collectionocs.ed.do.gc</v>
      </c>
      <c r="J384">
        <f>IF(I384="",0,COUNTIF($I$2:I384,I384))</f>
        <v>1</v>
      </c>
      <c r="K384">
        <f>COUNTIF($J$2:J384,1)</f>
        <v>55</v>
      </c>
      <c r="N384">
        <v>7</v>
      </c>
      <c r="O384" t="s">
        <v>23</v>
      </c>
      <c r="P384" t="s">
        <v>171</v>
      </c>
      <c r="Q384" t="s">
        <v>172</v>
      </c>
      <c r="R384" t="s">
        <v>173</v>
      </c>
      <c r="S384" t="s">
        <v>174</v>
      </c>
      <c r="T384" t="s">
        <v>175</v>
      </c>
      <c r="U384" t="s">
        <v>176</v>
      </c>
      <c r="V384" t="s">
        <v>185</v>
      </c>
      <c r="W384" t="s">
        <v>21</v>
      </c>
      <c r="X384" t="s">
        <v>21</v>
      </c>
      <c r="Y384" t="s">
        <v>186</v>
      </c>
      <c r="Z384">
        <v>5003</v>
      </c>
    </row>
    <row r="385" spans="1:26" hidden="1" x14ac:dyDescent="0.25">
      <c r="A385">
        <f>COUNTIF($P$2:P385,P385)</f>
        <v>14</v>
      </c>
      <c r="B385">
        <f>COUNTIF($A$2:A385,1)</f>
        <v>18</v>
      </c>
      <c r="C385" t="str">
        <f t="shared" si="25"/>
        <v>OCS</v>
      </c>
      <c r="D385" t="str">
        <f t="shared" si="26"/>
        <v>OCSParent</v>
      </c>
      <c r="E385">
        <f>COUNTIF($R$2:R385,R385)</f>
        <v>14</v>
      </c>
      <c r="F385">
        <f>COUNTIF($E$2:E385,1)</f>
        <v>27</v>
      </c>
      <c r="G385" t="str">
        <f t="shared" si="27"/>
        <v>ocs.services.collection</v>
      </c>
      <c r="H385" t="str">
        <f t="shared" si="28"/>
        <v>OCSocs.services.collectionParent</v>
      </c>
      <c r="I385" t="str">
        <f t="shared" si="29"/>
        <v>OCSocs.services.collectionocs.ed.do.gc</v>
      </c>
      <c r="J385">
        <f>IF(I385="",0,COUNTIF($I$2:I385,I385))</f>
        <v>2</v>
      </c>
      <c r="K385">
        <f>COUNTIF($J$2:J385,1)</f>
        <v>55</v>
      </c>
      <c r="N385">
        <v>30</v>
      </c>
      <c r="O385" t="s">
        <v>15</v>
      </c>
      <c r="P385" t="s">
        <v>171</v>
      </c>
      <c r="Q385" t="s">
        <v>172</v>
      </c>
      <c r="R385" t="s">
        <v>173</v>
      </c>
      <c r="S385" t="s">
        <v>174</v>
      </c>
      <c r="T385" t="s">
        <v>175</v>
      </c>
      <c r="U385" t="s">
        <v>176</v>
      </c>
      <c r="V385" t="s">
        <v>185</v>
      </c>
      <c r="W385" t="s">
        <v>21</v>
      </c>
      <c r="X385" t="s">
        <v>21</v>
      </c>
      <c r="Y385" t="s">
        <v>186</v>
      </c>
      <c r="Z385">
        <v>5003</v>
      </c>
    </row>
    <row r="386" spans="1:26" hidden="1" x14ac:dyDescent="0.25">
      <c r="A386">
        <f>COUNTIF($P$2:P386,P386)</f>
        <v>15</v>
      </c>
      <c r="B386">
        <f>COUNTIF($A$2:A386,1)</f>
        <v>18</v>
      </c>
      <c r="C386" t="str">
        <f t="shared" si="25"/>
        <v>OCS</v>
      </c>
      <c r="D386" t="str">
        <f t="shared" si="26"/>
        <v>OCSParent</v>
      </c>
      <c r="E386">
        <f>COUNTIF($R$2:R386,R386)</f>
        <v>15</v>
      </c>
      <c r="F386">
        <f>COUNTIF($E$2:E386,1)</f>
        <v>27</v>
      </c>
      <c r="G386" t="str">
        <f t="shared" si="27"/>
        <v>ocs.services.collection</v>
      </c>
      <c r="H386" t="str">
        <f t="shared" si="28"/>
        <v>OCSocs.services.collectionParent</v>
      </c>
      <c r="I386" t="str">
        <f t="shared" si="29"/>
        <v>OCSocs.services.collectionocs.ed.do.sc.gc.map</v>
      </c>
      <c r="J386">
        <f>IF(I386="",0,COUNTIF($I$2:I386,I386))</f>
        <v>1</v>
      </c>
      <c r="K386">
        <f>COUNTIF($J$2:J386,1)</f>
        <v>56</v>
      </c>
      <c r="N386">
        <v>33</v>
      </c>
      <c r="O386" t="s">
        <v>15</v>
      </c>
      <c r="P386" t="s">
        <v>171</v>
      </c>
      <c r="Q386" t="s">
        <v>172</v>
      </c>
      <c r="R386" t="s">
        <v>173</v>
      </c>
      <c r="S386" t="s">
        <v>174</v>
      </c>
      <c r="T386" t="s">
        <v>175</v>
      </c>
      <c r="U386" t="s">
        <v>176</v>
      </c>
      <c r="V386" t="s">
        <v>187</v>
      </c>
      <c r="W386" t="s">
        <v>21</v>
      </c>
      <c r="X386" t="s">
        <v>21</v>
      </c>
      <c r="Y386" t="s">
        <v>188</v>
      </c>
      <c r="Z386">
        <v>5011</v>
      </c>
    </row>
    <row r="387" spans="1:26" hidden="1" x14ac:dyDescent="0.25">
      <c r="A387">
        <f>COUNTIF($P$2:P387,P387)</f>
        <v>16</v>
      </c>
      <c r="B387">
        <f>COUNTIF($A$2:A387,1)</f>
        <v>18</v>
      </c>
      <c r="C387" t="str">
        <f t="shared" ref="C387:C450" si="30">IF(A387=1,P387,C386)</f>
        <v>OCS</v>
      </c>
      <c r="D387" t="str">
        <f t="shared" ref="D387:D450" si="31">C387&amp;O387</f>
        <v>OCSIntegrator</v>
      </c>
      <c r="E387">
        <f>COUNTIF($R$2:R387,R387)</f>
        <v>16</v>
      </c>
      <c r="F387">
        <f>COUNTIF($E$2:E387,1)</f>
        <v>27</v>
      </c>
      <c r="G387" t="str">
        <f t="shared" ref="G387:G450" si="32">IF(E387=1,R387,G386)</f>
        <v>ocs.services.collection</v>
      </c>
      <c r="H387" t="str">
        <f t="shared" ref="H387:H450" si="33">C387&amp;G387&amp;O387</f>
        <v>OCSocs.services.collectionIntegrator</v>
      </c>
      <c r="I387" t="str">
        <f t="shared" ref="I387:I450" si="34">IF(V387="","",P387&amp;R387&amp;V387)</f>
        <v>OCSocs.services.collectionocs.ed.do.sc.gc.map</v>
      </c>
      <c r="J387">
        <f>IF(I387="",0,COUNTIF($I$2:I387,I387))</f>
        <v>2</v>
      </c>
      <c r="K387">
        <f>COUNTIF($J$2:J387,1)</f>
        <v>56</v>
      </c>
      <c r="N387">
        <v>7</v>
      </c>
      <c r="O387" t="s">
        <v>23</v>
      </c>
      <c r="P387" t="s">
        <v>171</v>
      </c>
      <c r="Q387" t="s">
        <v>172</v>
      </c>
      <c r="R387" t="s">
        <v>173</v>
      </c>
      <c r="S387" t="s">
        <v>174</v>
      </c>
      <c r="T387" t="s">
        <v>175</v>
      </c>
      <c r="U387" t="s">
        <v>176</v>
      </c>
      <c r="V387" t="s">
        <v>187</v>
      </c>
      <c r="W387" t="s">
        <v>21</v>
      </c>
      <c r="X387" t="s">
        <v>21</v>
      </c>
      <c r="Y387" t="s">
        <v>188</v>
      </c>
      <c r="Z387">
        <v>5011</v>
      </c>
    </row>
    <row r="388" spans="1:26" x14ac:dyDescent="0.25">
      <c r="A388">
        <f>COUNTIF($P$2:P388,P388)</f>
        <v>17</v>
      </c>
      <c r="B388">
        <f>COUNTIF($A$2:A388,1)</f>
        <v>18</v>
      </c>
      <c r="C388" t="str">
        <f t="shared" si="30"/>
        <v>OCS</v>
      </c>
      <c r="D388" t="str">
        <f t="shared" si="31"/>
        <v>OCSDevice</v>
      </c>
      <c r="E388">
        <f>COUNTIF($R$2:R388,R388)</f>
        <v>17</v>
      </c>
      <c r="F388">
        <f>COUNTIF($E$2:E388,1)</f>
        <v>27</v>
      </c>
      <c r="G388" t="str">
        <f t="shared" si="32"/>
        <v>ocs.services.collection</v>
      </c>
      <c r="H388" t="str">
        <f t="shared" si="33"/>
        <v>OCSocs.services.collectionDevice</v>
      </c>
      <c r="I388" t="str">
        <f t="shared" si="34"/>
        <v>OCSocs.services.collectionocs.ed.mandate.default.details</v>
      </c>
      <c r="J388">
        <f>IF(I388="",0,COUNTIF($I$2:I388,I388))</f>
        <v>1</v>
      </c>
      <c r="K388">
        <f>COUNTIF($J$2:J388,1)</f>
        <v>57</v>
      </c>
      <c r="N388">
        <v>17</v>
      </c>
      <c r="O388" t="s">
        <v>31</v>
      </c>
      <c r="P388" t="s">
        <v>171</v>
      </c>
      <c r="Q388" t="s">
        <v>172</v>
      </c>
      <c r="R388" t="s">
        <v>173</v>
      </c>
      <c r="S388" t="s">
        <v>174</v>
      </c>
      <c r="T388" t="s">
        <v>175</v>
      </c>
      <c r="U388" t="s">
        <v>176</v>
      </c>
      <c r="V388" t="s">
        <v>189</v>
      </c>
      <c r="W388" t="s">
        <v>21</v>
      </c>
      <c r="X388" t="s">
        <v>21</v>
      </c>
      <c r="Y388" t="s">
        <v>190</v>
      </c>
      <c r="Z388">
        <v>5017</v>
      </c>
    </row>
    <row r="389" spans="1:26" x14ac:dyDescent="0.25">
      <c r="A389">
        <f>COUNTIF($P$2:P389,P389)</f>
        <v>18</v>
      </c>
      <c r="B389">
        <f>COUNTIF($A$2:A389,1)</f>
        <v>18</v>
      </c>
      <c r="C389" t="str">
        <f t="shared" si="30"/>
        <v>OCS</v>
      </c>
      <c r="D389" t="str">
        <f t="shared" si="31"/>
        <v>OCSParent</v>
      </c>
      <c r="E389">
        <f>COUNTIF($R$2:R389,R389)</f>
        <v>18</v>
      </c>
      <c r="F389">
        <f>COUNTIF($E$2:E389,1)</f>
        <v>27</v>
      </c>
      <c r="G389" t="str">
        <f t="shared" si="32"/>
        <v>ocs.services.collection</v>
      </c>
      <c r="H389" t="str">
        <f t="shared" si="33"/>
        <v>OCSocs.services.collectionParent</v>
      </c>
      <c r="I389" t="str">
        <f t="shared" si="34"/>
        <v>OCSocs.services.collectionocs.ed.mandate.default.details</v>
      </c>
      <c r="J389">
        <f>IF(I389="",0,COUNTIF($I$2:I389,I389))</f>
        <v>2</v>
      </c>
      <c r="K389">
        <f>COUNTIF($J$2:J389,1)</f>
        <v>57</v>
      </c>
      <c r="N389">
        <v>7</v>
      </c>
      <c r="O389" t="s">
        <v>15</v>
      </c>
      <c r="P389" t="s">
        <v>171</v>
      </c>
      <c r="Q389" t="s">
        <v>172</v>
      </c>
      <c r="R389" t="s">
        <v>173</v>
      </c>
      <c r="S389" t="s">
        <v>174</v>
      </c>
      <c r="T389" t="s">
        <v>175</v>
      </c>
      <c r="U389" t="s">
        <v>176</v>
      </c>
      <c r="V389" t="s">
        <v>189</v>
      </c>
      <c r="W389" t="s">
        <v>21</v>
      </c>
      <c r="X389" t="s">
        <v>21</v>
      </c>
      <c r="Y389" t="s">
        <v>190</v>
      </c>
      <c r="Z389">
        <v>5017</v>
      </c>
    </row>
    <row r="390" spans="1:26" x14ac:dyDescent="0.25">
      <c r="A390">
        <f>COUNTIF($P$2:P390,P390)</f>
        <v>19</v>
      </c>
      <c r="B390">
        <f>COUNTIF($A$2:A390,1)</f>
        <v>18</v>
      </c>
      <c r="C390" t="str">
        <f t="shared" si="30"/>
        <v>OCS</v>
      </c>
      <c r="D390" t="str">
        <f t="shared" si="31"/>
        <v>OCSIntegrator</v>
      </c>
      <c r="E390">
        <f>COUNTIF($R$2:R390,R390)</f>
        <v>19</v>
      </c>
      <c r="F390">
        <f>COUNTIF($E$2:E390,1)</f>
        <v>27</v>
      </c>
      <c r="G390" t="str">
        <f t="shared" si="32"/>
        <v>ocs.services.collection</v>
      </c>
      <c r="H390" t="str">
        <f t="shared" si="33"/>
        <v>OCSocs.services.collectionIntegrator</v>
      </c>
      <c r="I390" t="str">
        <f t="shared" si="34"/>
        <v>OCSocs.services.collectionocs.ed.mandate.default.details</v>
      </c>
      <c r="J390">
        <f>IF(I390="",0,COUNTIF($I$2:I390,I390))</f>
        <v>3</v>
      </c>
      <c r="K390">
        <f>COUNTIF($J$2:J390,1)</f>
        <v>57</v>
      </c>
      <c r="N390">
        <v>2</v>
      </c>
      <c r="O390" t="s">
        <v>23</v>
      </c>
      <c r="P390" t="s">
        <v>171</v>
      </c>
      <c r="Q390" t="s">
        <v>172</v>
      </c>
      <c r="R390" t="s">
        <v>173</v>
      </c>
      <c r="S390" t="s">
        <v>174</v>
      </c>
      <c r="T390" t="s">
        <v>175</v>
      </c>
      <c r="U390" t="s">
        <v>176</v>
      </c>
      <c r="V390" t="s">
        <v>189</v>
      </c>
      <c r="W390" t="s">
        <v>21</v>
      </c>
      <c r="X390" t="s">
        <v>21</v>
      </c>
      <c r="Y390" t="s">
        <v>190</v>
      </c>
      <c r="Z390">
        <v>5017</v>
      </c>
    </row>
    <row r="391" spans="1:26" hidden="1" x14ac:dyDescent="0.25">
      <c r="A391">
        <f>COUNTIF($P$2:P391,P391)</f>
        <v>20</v>
      </c>
      <c r="B391">
        <f>COUNTIF($A$2:A391,1)</f>
        <v>18</v>
      </c>
      <c r="C391" t="str">
        <f t="shared" si="30"/>
        <v>OCS</v>
      </c>
      <c r="D391" t="str">
        <f t="shared" si="31"/>
        <v>OCSIntegrator</v>
      </c>
      <c r="E391">
        <f>COUNTIF($R$2:R391,R391)</f>
        <v>20</v>
      </c>
      <c r="F391">
        <f>COUNTIF($E$2:E391,1)</f>
        <v>27</v>
      </c>
      <c r="G391" t="str">
        <f t="shared" si="32"/>
        <v>ocs.services.collection</v>
      </c>
      <c r="H391" t="str">
        <f t="shared" si="33"/>
        <v>OCSocs.services.collectionIntegrator</v>
      </c>
      <c r="I391" t="str">
        <f t="shared" si="34"/>
        <v>OCSocs.services.collectionocs.ed.passthrough</v>
      </c>
      <c r="J391">
        <f>IF(I391="",0,COUNTIF($I$2:I391,I391))</f>
        <v>1</v>
      </c>
      <c r="K391">
        <f>COUNTIF($J$2:J391,1)</f>
        <v>58</v>
      </c>
      <c r="N391">
        <v>11</v>
      </c>
      <c r="O391" t="s">
        <v>23</v>
      </c>
      <c r="P391" t="s">
        <v>171</v>
      </c>
      <c r="Q391" t="s">
        <v>172</v>
      </c>
      <c r="R391" t="s">
        <v>173</v>
      </c>
      <c r="S391" t="s">
        <v>174</v>
      </c>
      <c r="T391" t="s">
        <v>175</v>
      </c>
      <c r="U391" t="s">
        <v>176</v>
      </c>
      <c r="V391" t="s">
        <v>191</v>
      </c>
      <c r="W391" t="s">
        <v>21</v>
      </c>
      <c r="X391" t="s">
        <v>21</v>
      </c>
      <c r="Y391" t="b">
        <v>1</v>
      </c>
      <c r="Z391">
        <v>5056</v>
      </c>
    </row>
    <row r="392" spans="1:26" hidden="1" x14ac:dyDescent="0.25">
      <c r="A392">
        <f>COUNTIF($P$2:P392,P392)</f>
        <v>21</v>
      </c>
      <c r="B392">
        <f>COUNTIF($A$2:A392,1)</f>
        <v>18</v>
      </c>
      <c r="C392" t="str">
        <f t="shared" si="30"/>
        <v>OCS</v>
      </c>
      <c r="D392" t="str">
        <f t="shared" si="31"/>
        <v>OCSParent</v>
      </c>
      <c r="E392">
        <f>COUNTIF($R$2:R392,R392)</f>
        <v>21</v>
      </c>
      <c r="F392">
        <f>COUNTIF($E$2:E392,1)</f>
        <v>27</v>
      </c>
      <c r="G392" t="str">
        <f t="shared" si="32"/>
        <v>ocs.services.collection</v>
      </c>
      <c r="H392" t="str">
        <f t="shared" si="33"/>
        <v>OCSocs.services.collectionParent</v>
      </c>
      <c r="I392" t="str">
        <f t="shared" si="34"/>
        <v>OCSocs.services.collectionocs.ed.passthrough</v>
      </c>
      <c r="J392">
        <f>IF(I392="",0,COUNTIF($I$2:I392,I392))</f>
        <v>2</v>
      </c>
      <c r="K392">
        <f>COUNTIF($J$2:J392,1)</f>
        <v>58</v>
      </c>
      <c r="N392">
        <v>61</v>
      </c>
      <c r="O392" t="s">
        <v>15</v>
      </c>
      <c r="P392" t="s">
        <v>171</v>
      </c>
      <c r="Q392" t="s">
        <v>172</v>
      </c>
      <c r="R392" t="s">
        <v>173</v>
      </c>
      <c r="S392" t="s">
        <v>174</v>
      </c>
      <c r="T392" t="s">
        <v>175</v>
      </c>
      <c r="U392" t="s">
        <v>176</v>
      </c>
      <c r="V392" t="s">
        <v>191</v>
      </c>
      <c r="W392" t="s">
        <v>21</v>
      </c>
      <c r="X392" t="s">
        <v>21</v>
      </c>
      <c r="Y392" t="b">
        <v>1</v>
      </c>
      <c r="Z392">
        <v>5056</v>
      </c>
    </row>
    <row r="393" spans="1:26" hidden="1" x14ac:dyDescent="0.25">
      <c r="A393">
        <f>COUNTIF($P$2:P393,P393)</f>
        <v>22</v>
      </c>
      <c r="B393">
        <f>COUNTIF($A$2:A393,1)</f>
        <v>18</v>
      </c>
      <c r="C393" t="str">
        <f t="shared" si="30"/>
        <v>OCS</v>
      </c>
      <c r="D393" t="str">
        <f t="shared" si="31"/>
        <v>OCSPerson</v>
      </c>
      <c r="E393">
        <f>COUNTIF($R$2:R393,R393)</f>
        <v>22</v>
      </c>
      <c r="F393">
        <f>COUNTIF($E$2:E393,1)</f>
        <v>27</v>
      </c>
      <c r="G393" t="str">
        <f t="shared" si="32"/>
        <v>ocs.services.collection</v>
      </c>
      <c r="H393" t="str">
        <f t="shared" si="33"/>
        <v>OCSocs.services.collectionPerson</v>
      </c>
      <c r="I393" t="str">
        <f t="shared" si="34"/>
        <v>OCSocs.services.collectionocs.ed.passthrough</v>
      </c>
      <c r="J393">
        <f>IF(I393="",0,COUNTIF($I$2:I393,I393))</f>
        <v>3</v>
      </c>
      <c r="K393">
        <f>COUNTIF($J$2:J393,1)</f>
        <v>58</v>
      </c>
      <c r="N393">
        <v>1</v>
      </c>
      <c r="O393" t="s">
        <v>24</v>
      </c>
      <c r="P393" t="s">
        <v>171</v>
      </c>
      <c r="Q393" t="s">
        <v>172</v>
      </c>
      <c r="R393" t="s">
        <v>173</v>
      </c>
      <c r="S393" t="s">
        <v>174</v>
      </c>
      <c r="T393" t="s">
        <v>175</v>
      </c>
      <c r="U393" t="s">
        <v>176</v>
      </c>
      <c r="V393" t="s">
        <v>191</v>
      </c>
      <c r="W393" t="s">
        <v>21</v>
      </c>
      <c r="X393" t="s">
        <v>21</v>
      </c>
      <c r="Y393" t="b">
        <v>1</v>
      </c>
      <c r="Z393">
        <v>5056</v>
      </c>
    </row>
    <row r="394" spans="1:26" hidden="1" x14ac:dyDescent="0.25">
      <c r="A394">
        <f>COUNTIF($P$2:P394,P394)</f>
        <v>23</v>
      </c>
      <c r="B394">
        <f>COUNTIF($A$2:A394,1)</f>
        <v>18</v>
      </c>
      <c r="C394" t="str">
        <f t="shared" si="30"/>
        <v>OCS</v>
      </c>
      <c r="D394" t="str">
        <f t="shared" si="31"/>
        <v>OCSIntegrator</v>
      </c>
      <c r="E394">
        <f>COUNTIF($R$2:R394,R394)</f>
        <v>23</v>
      </c>
      <c r="F394">
        <f>COUNTIF($E$2:E394,1)</f>
        <v>27</v>
      </c>
      <c r="G394" t="str">
        <f t="shared" si="32"/>
        <v>ocs.services.collection</v>
      </c>
      <c r="H394" t="str">
        <f t="shared" si="33"/>
        <v>OCSocs.services.collectionIntegrator</v>
      </c>
      <c r="I394" t="str">
        <f t="shared" si="34"/>
        <v>OCSocs.services.collectionocs.ed.sc.gc.map</v>
      </c>
      <c r="J394">
        <f>IF(I394="",0,COUNTIF($I$2:I394,I394))</f>
        <v>1</v>
      </c>
      <c r="K394">
        <f>COUNTIF($J$2:J394,1)</f>
        <v>59</v>
      </c>
      <c r="N394">
        <v>35</v>
      </c>
      <c r="O394" t="s">
        <v>23</v>
      </c>
      <c r="P394" t="s">
        <v>171</v>
      </c>
      <c r="Q394" t="s">
        <v>172</v>
      </c>
      <c r="R394" t="s">
        <v>173</v>
      </c>
      <c r="S394" t="s">
        <v>174</v>
      </c>
      <c r="T394" t="s">
        <v>175</v>
      </c>
      <c r="U394" t="s">
        <v>176</v>
      </c>
      <c r="V394" t="s">
        <v>192</v>
      </c>
      <c r="W394" t="s">
        <v>21</v>
      </c>
      <c r="X394" t="s">
        <v>21</v>
      </c>
      <c r="Y394" t="s">
        <v>193</v>
      </c>
      <c r="Z394">
        <v>5054</v>
      </c>
    </row>
    <row r="395" spans="1:26" hidden="1" x14ac:dyDescent="0.25">
      <c r="A395">
        <f>COUNTIF($P$2:P395,P395)</f>
        <v>24</v>
      </c>
      <c r="B395">
        <f>COUNTIF($A$2:A395,1)</f>
        <v>18</v>
      </c>
      <c r="C395" t="str">
        <f t="shared" si="30"/>
        <v>OCS</v>
      </c>
      <c r="D395" t="str">
        <f t="shared" si="31"/>
        <v>OCSParent</v>
      </c>
      <c r="E395">
        <f>COUNTIF($R$2:R395,R395)</f>
        <v>24</v>
      </c>
      <c r="F395">
        <f>COUNTIF($E$2:E395,1)</f>
        <v>27</v>
      </c>
      <c r="G395" t="str">
        <f t="shared" si="32"/>
        <v>ocs.services.collection</v>
      </c>
      <c r="H395" t="str">
        <f t="shared" si="33"/>
        <v>OCSocs.services.collectionParent</v>
      </c>
      <c r="I395" t="str">
        <f t="shared" si="34"/>
        <v>OCSocs.services.collectionocs.ed.sc.gc.map</v>
      </c>
      <c r="J395">
        <f>IF(I395="",0,COUNTIF($I$2:I395,I395))</f>
        <v>2</v>
      </c>
      <c r="K395">
        <f>COUNTIF($J$2:J395,1)</f>
        <v>59</v>
      </c>
      <c r="N395">
        <v>90</v>
      </c>
      <c r="O395" t="s">
        <v>15</v>
      </c>
      <c r="P395" t="s">
        <v>171</v>
      </c>
      <c r="Q395" t="s">
        <v>172</v>
      </c>
      <c r="R395" t="s">
        <v>173</v>
      </c>
      <c r="S395" t="s">
        <v>174</v>
      </c>
      <c r="T395" t="s">
        <v>175</v>
      </c>
      <c r="U395" t="s">
        <v>176</v>
      </c>
      <c r="V395" t="s">
        <v>192</v>
      </c>
      <c r="W395" t="s">
        <v>21</v>
      </c>
      <c r="X395" t="s">
        <v>21</v>
      </c>
      <c r="Y395" t="s">
        <v>193</v>
      </c>
      <c r="Z395">
        <v>5054</v>
      </c>
    </row>
    <row r="396" spans="1:26" hidden="1" x14ac:dyDescent="0.25">
      <c r="A396">
        <f>COUNTIF($P$2:P396,P396)</f>
        <v>25</v>
      </c>
      <c r="B396">
        <f>COUNTIF($A$2:A396,1)</f>
        <v>18</v>
      </c>
      <c r="C396" t="str">
        <f t="shared" si="30"/>
        <v>OCS</v>
      </c>
      <c r="D396" t="str">
        <f t="shared" si="31"/>
        <v>OCSPerson</v>
      </c>
      <c r="E396">
        <f>COUNTIF($R$2:R396,R396)</f>
        <v>25</v>
      </c>
      <c r="F396">
        <f>COUNTIF($E$2:E396,1)</f>
        <v>27</v>
      </c>
      <c r="G396" t="str">
        <f t="shared" si="32"/>
        <v>ocs.services.collection</v>
      </c>
      <c r="H396" t="str">
        <f t="shared" si="33"/>
        <v>OCSocs.services.collectionPerson</v>
      </c>
      <c r="I396" t="str">
        <f t="shared" si="34"/>
        <v>OCSocs.services.collectionocs.ed.sc.gc.map</v>
      </c>
      <c r="J396">
        <f>IF(I396="",0,COUNTIF($I$2:I396,I396))</f>
        <v>3</v>
      </c>
      <c r="K396">
        <f>COUNTIF($J$2:J396,1)</f>
        <v>59</v>
      </c>
      <c r="N396">
        <v>11</v>
      </c>
      <c r="O396" t="s">
        <v>24</v>
      </c>
      <c r="P396" t="s">
        <v>171</v>
      </c>
      <c r="Q396" t="s">
        <v>172</v>
      </c>
      <c r="R396" t="s">
        <v>173</v>
      </c>
      <c r="S396" t="s">
        <v>174</v>
      </c>
      <c r="T396" t="s">
        <v>175</v>
      </c>
      <c r="U396" t="s">
        <v>176</v>
      </c>
      <c r="V396" t="s">
        <v>192</v>
      </c>
      <c r="W396" t="s">
        <v>21</v>
      </c>
      <c r="X396" t="s">
        <v>21</v>
      </c>
      <c r="Y396" t="s">
        <v>193</v>
      </c>
      <c r="Z396">
        <v>5054</v>
      </c>
    </row>
    <row r="397" spans="1:26" hidden="1" x14ac:dyDescent="0.25">
      <c r="A397">
        <f>COUNTIF($P$2:P397,P397)</f>
        <v>26</v>
      </c>
      <c r="B397">
        <f>COUNTIF($A$2:A397,1)</f>
        <v>18</v>
      </c>
      <c r="C397" t="str">
        <f t="shared" si="30"/>
        <v>OCS</v>
      </c>
      <c r="D397" t="str">
        <f t="shared" si="31"/>
        <v>OCSIntegrator</v>
      </c>
      <c r="E397">
        <f>COUNTIF($R$2:R397,R397)</f>
        <v>26</v>
      </c>
      <c r="F397">
        <f>COUNTIF($E$2:E397,1)</f>
        <v>27</v>
      </c>
      <c r="G397" t="str">
        <f t="shared" si="32"/>
        <v>ocs.services.collection</v>
      </c>
      <c r="H397" t="str">
        <f t="shared" si="33"/>
        <v>OCSocs.services.collectionIntegrator</v>
      </c>
      <c r="I397" t="str">
        <f t="shared" si="34"/>
        <v>OCSocs.services.collectionocs.ed.ul.gc.map</v>
      </c>
      <c r="J397">
        <f>IF(I397="",0,COUNTIF($I$2:I397,I397))</f>
        <v>1</v>
      </c>
      <c r="K397">
        <f>COUNTIF($J$2:J397,1)</f>
        <v>60</v>
      </c>
      <c r="N397">
        <v>11</v>
      </c>
      <c r="O397" t="s">
        <v>23</v>
      </c>
      <c r="P397" t="s">
        <v>171</v>
      </c>
      <c r="Q397" t="s">
        <v>172</v>
      </c>
      <c r="R397" t="s">
        <v>173</v>
      </c>
      <c r="S397" t="s">
        <v>174</v>
      </c>
      <c r="T397" t="s">
        <v>175</v>
      </c>
      <c r="U397" t="s">
        <v>176</v>
      </c>
      <c r="V397" t="s">
        <v>194</v>
      </c>
      <c r="W397" t="s">
        <v>21</v>
      </c>
      <c r="X397" t="s">
        <v>21</v>
      </c>
      <c r="Z397">
        <v>5015</v>
      </c>
    </row>
    <row r="398" spans="1:26" hidden="1" x14ac:dyDescent="0.25">
      <c r="A398">
        <f>COUNTIF($P$2:P398,P398)</f>
        <v>27</v>
      </c>
      <c r="B398">
        <f>COUNTIF($A$2:A398,1)</f>
        <v>18</v>
      </c>
      <c r="C398" t="str">
        <f t="shared" si="30"/>
        <v>OCS</v>
      </c>
      <c r="D398" t="str">
        <f t="shared" si="31"/>
        <v>OCSParent</v>
      </c>
      <c r="E398">
        <f>COUNTIF($R$2:R398,R398)</f>
        <v>27</v>
      </c>
      <c r="F398">
        <f>COUNTIF($E$2:E398,1)</f>
        <v>27</v>
      </c>
      <c r="G398" t="str">
        <f t="shared" si="32"/>
        <v>ocs.services.collection</v>
      </c>
      <c r="H398" t="str">
        <f t="shared" si="33"/>
        <v>OCSocs.services.collectionParent</v>
      </c>
      <c r="I398" t="str">
        <f t="shared" si="34"/>
        <v>OCSocs.services.collectionocs.ed.ul.gc.map</v>
      </c>
      <c r="J398">
        <f>IF(I398="",0,COUNTIF($I$2:I398,I398))</f>
        <v>2</v>
      </c>
      <c r="K398">
        <f>COUNTIF($J$2:J398,1)</f>
        <v>60</v>
      </c>
      <c r="N398">
        <v>12</v>
      </c>
      <c r="O398" t="s">
        <v>15</v>
      </c>
      <c r="P398" t="s">
        <v>171</v>
      </c>
      <c r="Q398" t="s">
        <v>172</v>
      </c>
      <c r="R398" t="s">
        <v>173</v>
      </c>
      <c r="S398" t="s">
        <v>174</v>
      </c>
      <c r="T398" t="s">
        <v>175</v>
      </c>
      <c r="U398" t="s">
        <v>176</v>
      </c>
      <c r="V398" t="s">
        <v>194</v>
      </c>
      <c r="W398" t="s">
        <v>21</v>
      </c>
      <c r="X398" t="s">
        <v>21</v>
      </c>
      <c r="Z398">
        <v>5015</v>
      </c>
    </row>
    <row r="399" spans="1:26" hidden="1" x14ac:dyDescent="0.25">
      <c r="A399">
        <f>COUNTIF($P$2:P399,P399)</f>
        <v>28</v>
      </c>
      <c r="B399">
        <f>COUNTIF($A$2:A399,1)</f>
        <v>18</v>
      </c>
      <c r="C399" t="str">
        <f t="shared" si="30"/>
        <v>OCS</v>
      </c>
      <c r="D399" t="str">
        <f t="shared" si="31"/>
        <v>OCSPerson</v>
      </c>
      <c r="E399">
        <f>COUNTIF($R$2:R399,R399)</f>
        <v>28</v>
      </c>
      <c r="F399">
        <f>COUNTIF($E$2:E399,1)</f>
        <v>27</v>
      </c>
      <c r="G399" t="str">
        <f t="shared" si="32"/>
        <v>ocs.services.collection</v>
      </c>
      <c r="H399" t="str">
        <f t="shared" si="33"/>
        <v>OCSocs.services.collectionPerson</v>
      </c>
      <c r="I399" t="str">
        <f t="shared" si="34"/>
        <v>OCSocs.services.collectionocs.ed.ws.gc</v>
      </c>
      <c r="J399">
        <f>IF(I399="",0,COUNTIF($I$2:I399,I399))</f>
        <v>1</v>
      </c>
      <c r="K399">
        <f>COUNTIF($J$2:J399,1)</f>
        <v>61</v>
      </c>
      <c r="N399">
        <v>11</v>
      </c>
      <c r="O399" t="s">
        <v>24</v>
      </c>
      <c r="P399" t="s">
        <v>171</v>
      </c>
      <c r="Q399" t="s">
        <v>172</v>
      </c>
      <c r="R399" t="s">
        <v>173</v>
      </c>
      <c r="S399" t="s">
        <v>174</v>
      </c>
      <c r="T399" t="s">
        <v>175</v>
      </c>
      <c r="U399" t="s">
        <v>176</v>
      </c>
      <c r="V399" t="s">
        <v>195</v>
      </c>
      <c r="W399" t="s">
        <v>21</v>
      </c>
      <c r="X399" t="s">
        <v>21</v>
      </c>
      <c r="Y399" t="s">
        <v>182</v>
      </c>
      <c r="Z399">
        <v>5051</v>
      </c>
    </row>
    <row r="400" spans="1:26" hidden="1" x14ac:dyDescent="0.25">
      <c r="A400">
        <f>COUNTIF($P$2:P400,P400)</f>
        <v>29</v>
      </c>
      <c r="B400">
        <f>COUNTIF($A$2:A400,1)</f>
        <v>18</v>
      </c>
      <c r="C400" t="str">
        <f t="shared" si="30"/>
        <v>OCS</v>
      </c>
      <c r="D400" t="str">
        <f t="shared" si="31"/>
        <v>OCSParent</v>
      </c>
      <c r="E400">
        <f>COUNTIF($R$2:R400,R400)</f>
        <v>29</v>
      </c>
      <c r="F400">
        <f>COUNTIF($E$2:E400,1)</f>
        <v>27</v>
      </c>
      <c r="G400" t="str">
        <f t="shared" si="32"/>
        <v>ocs.services.collection</v>
      </c>
      <c r="H400" t="str">
        <f t="shared" si="33"/>
        <v>OCSocs.services.collectionParent</v>
      </c>
      <c r="I400" t="str">
        <f t="shared" si="34"/>
        <v>OCSocs.services.collectionocs.ed.ws.gc</v>
      </c>
      <c r="J400">
        <f>IF(I400="",0,COUNTIF($I$2:I400,I400))</f>
        <v>2</v>
      </c>
      <c r="K400">
        <f>COUNTIF($J$2:J400,1)</f>
        <v>61</v>
      </c>
      <c r="N400">
        <v>1</v>
      </c>
      <c r="O400" t="s">
        <v>15</v>
      </c>
      <c r="P400" t="s">
        <v>171</v>
      </c>
      <c r="Q400" t="s">
        <v>172</v>
      </c>
      <c r="R400" t="s">
        <v>173</v>
      </c>
      <c r="S400" t="s">
        <v>174</v>
      </c>
      <c r="T400" t="s">
        <v>175</v>
      </c>
      <c r="U400" t="s">
        <v>176</v>
      </c>
      <c r="V400" t="s">
        <v>195</v>
      </c>
      <c r="W400" t="s">
        <v>21</v>
      </c>
      <c r="X400" t="s">
        <v>21</v>
      </c>
      <c r="Y400" t="s">
        <v>182</v>
      </c>
      <c r="Z400">
        <v>5051</v>
      </c>
    </row>
    <row r="401" spans="1:26" hidden="1" x14ac:dyDescent="0.25">
      <c r="A401">
        <f>COUNTIF($P$2:P401,P401)</f>
        <v>30</v>
      </c>
      <c r="B401">
        <f>COUNTIF($A$2:A401,1)</f>
        <v>18</v>
      </c>
      <c r="C401" t="str">
        <f t="shared" si="30"/>
        <v>OCS</v>
      </c>
      <c r="D401" t="str">
        <f t="shared" si="31"/>
        <v>OCSParent</v>
      </c>
      <c r="E401">
        <f>COUNTIF($R$2:R401,R401)</f>
        <v>30</v>
      </c>
      <c r="F401">
        <f>COUNTIF($E$2:E401,1)</f>
        <v>27</v>
      </c>
      <c r="G401" t="str">
        <f t="shared" si="32"/>
        <v>ocs.services.collection</v>
      </c>
      <c r="H401" t="str">
        <f t="shared" si="33"/>
        <v>OCSocs.services.collectionParent</v>
      </c>
      <c r="I401" t="str">
        <f t="shared" si="34"/>
        <v>OCSocs.services.collectionocs.ed.ws.gc</v>
      </c>
      <c r="J401">
        <f>IF(I401="",0,COUNTIF($I$2:I401,I401))</f>
        <v>3</v>
      </c>
      <c r="K401">
        <f>COUNTIF($J$2:J401,1)</f>
        <v>61</v>
      </c>
      <c r="N401">
        <v>2</v>
      </c>
      <c r="O401" t="s">
        <v>15</v>
      </c>
      <c r="P401" t="s">
        <v>171</v>
      </c>
      <c r="Q401" t="s">
        <v>172</v>
      </c>
      <c r="R401" t="s">
        <v>173</v>
      </c>
      <c r="S401" t="s">
        <v>174</v>
      </c>
      <c r="T401" t="s">
        <v>175</v>
      </c>
      <c r="U401" t="s">
        <v>176</v>
      </c>
      <c r="V401" t="s">
        <v>195</v>
      </c>
      <c r="W401" t="s">
        <v>21</v>
      </c>
      <c r="X401" t="s">
        <v>21</v>
      </c>
      <c r="Y401" t="s">
        <v>182</v>
      </c>
      <c r="Z401">
        <v>5051</v>
      </c>
    </row>
    <row r="402" spans="1:26" hidden="1" x14ac:dyDescent="0.25">
      <c r="A402">
        <f>COUNTIF($P$2:P402,P402)</f>
        <v>31</v>
      </c>
      <c r="B402">
        <f>COUNTIF($A$2:A402,1)</f>
        <v>18</v>
      </c>
      <c r="C402" t="str">
        <f t="shared" si="30"/>
        <v>OCS</v>
      </c>
      <c r="D402" t="str">
        <f t="shared" si="31"/>
        <v>OCSIntegrator</v>
      </c>
      <c r="E402">
        <f>COUNTIF($R$2:R402,R402)</f>
        <v>31</v>
      </c>
      <c r="F402">
        <f>COUNTIF($E$2:E402,1)</f>
        <v>27</v>
      </c>
      <c r="G402" t="str">
        <f t="shared" si="32"/>
        <v>ocs.services.collection</v>
      </c>
      <c r="H402" t="str">
        <f t="shared" si="33"/>
        <v>OCSocs.services.collectionIntegrator</v>
      </c>
      <c r="I402" t="str">
        <f t="shared" si="34"/>
        <v>OCSocs.services.collectionocs.ed.ws.gc</v>
      </c>
      <c r="J402">
        <f>IF(I402="",0,COUNTIF($I$2:I402,I402))</f>
        <v>4</v>
      </c>
      <c r="K402">
        <f>COUNTIF($J$2:J402,1)</f>
        <v>61</v>
      </c>
      <c r="N402">
        <v>35</v>
      </c>
      <c r="O402" t="s">
        <v>23</v>
      </c>
      <c r="P402" t="s">
        <v>171</v>
      </c>
      <c r="Q402" t="s">
        <v>172</v>
      </c>
      <c r="R402" t="s">
        <v>173</v>
      </c>
      <c r="S402" t="s">
        <v>174</v>
      </c>
      <c r="T402" t="s">
        <v>175</v>
      </c>
      <c r="U402" t="s">
        <v>176</v>
      </c>
      <c r="V402" t="s">
        <v>195</v>
      </c>
      <c r="W402" t="s">
        <v>21</v>
      </c>
      <c r="X402" t="s">
        <v>21</v>
      </c>
      <c r="Y402" t="s">
        <v>182</v>
      </c>
      <c r="Z402">
        <v>5051</v>
      </c>
    </row>
    <row r="403" spans="1:26" hidden="1" x14ac:dyDescent="0.25">
      <c r="A403">
        <f>COUNTIF($P$2:P403,P403)</f>
        <v>32</v>
      </c>
      <c r="B403">
        <f>COUNTIF($A$2:A403,1)</f>
        <v>18</v>
      </c>
      <c r="C403" t="str">
        <f t="shared" si="30"/>
        <v>OCS</v>
      </c>
      <c r="D403" t="str">
        <f t="shared" si="31"/>
        <v>OCSParent</v>
      </c>
      <c r="E403">
        <f>COUNTIF($R$2:R403,R403)</f>
        <v>32</v>
      </c>
      <c r="F403">
        <f>COUNTIF($E$2:E403,1)</f>
        <v>27</v>
      </c>
      <c r="G403" t="str">
        <f t="shared" si="32"/>
        <v>ocs.services.collection</v>
      </c>
      <c r="H403" t="str">
        <f t="shared" si="33"/>
        <v>OCSocs.services.collectionParent</v>
      </c>
      <c r="I403" t="str">
        <f t="shared" si="34"/>
        <v>OCSocs.services.collectionocs.ed.ws.gc</v>
      </c>
      <c r="J403">
        <f>IF(I403="",0,COUNTIF($I$2:I403,I403))</f>
        <v>5</v>
      </c>
      <c r="K403">
        <f>COUNTIF($J$2:J403,1)</f>
        <v>61</v>
      </c>
      <c r="N403">
        <v>88</v>
      </c>
      <c r="O403" t="s">
        <v>15</v>
      </c>
      <c r="P403" t="s">
        <v>171</v>
      </c>
      <c r="Q403" t="s">
        <v>172</v>
      </c>
      <c r="R403" t="s">
        <v>173</v>
      </c>
      <c r="S403" t="s">
        <v>174</v>
      </c>
      <c r="T403" t="s">
        <v>175</v>
      </c>
      <c r="U403" t="s">
        <v>176</v>
      </c>
      <c r="V403" t="s">
        <v>195</v>
      </c>
      <c r="W403" t="s">
        <v>21</v>
      </c>
      <c r="X403" t="s">
        <v>21</v>
      </c>
      <c r="Y403" t="s">
        <v>182</v>
      </c>
      <c r="Z403">
        <v>5051</v>
      </c>
    </row>
    <row r="404" spans="1:26" hidden="1" x14ac:dyDescent="0.25">
      <c r="A404">
        <f>COUNTIF($P$2:P404,P404)</f>
        <v>33</v>
      </c>
      <c r="B404">
        <f>COUNTIF($A$2:A404,1)</f>
        <v>18</v>
      </c>
      <c r="C404" t="str">
        <f t="shared" si="30"/>
        <v>OCS</v>
      </c>
      <c r="D404" t="str">
        <f t="shared" si="31"/>
        <v>OCSDevice</v>
      </c>
      <c r="E404">
        <f>COUNTIF($R$2:R404,R404)</f>
        <v>33</v>
      </c>
      <c r="F404">
        <f>COUNTIF($E$2:E404,1)</f>
        <v>27</v>
      </c>
      <c r="G404" t="str">
        <f t="shared" si="32"/>
        <v>ocs.services.collection</v>
      </c>
      <c r="H404" t="str">
        <f t="shared" si="33"/>
        <v>OCSocs.services.collectionDevice</v>
      </c>
      <c r="I404" t="str">
        <f t="shared" si="34"/>
        <v>OCSocs.services.collectionocs.ed.ws.gc</v>
      </c>
      <c r="J404">
        <f>IF(I404="",0,COUNTIF($I$2:I404,I404))</f>
        <v>6</v>
      </c>
      <c r="K404">
        <f>COUNTIF($J$2:J404,1)</f>
        <v>61</v>
      </c>
      <c r="N404">
        <v>14</v>
      </c>
      <c r="O404" t="s">
        <v>31</v>
      </c>
      <c r="P404" t="s">
        <v>171</v>
      </c>
      <c r="Q404" t="s">
        <v>172</v>
      </c>
      <c r="R404" t="s">
        <v>173</v>
      </c>
      <c r="S404" t="s">
        <v>174</v>
      </c>
      <c r="T404" t="s">
        <v>175</v>
      </c>
      <c r="U404" t="s">
        <v>176</v>
      </c>
      <c r="V404" t="s">
        <v>195</v>
      </c>
      <c r="W404" t="s">
        <v>21</v>
      </c>
      <c r="X404" t="s">
        <v>21</v>
      </c>
      <c r="Y404" t="s">
        <v>182</v>
      </c>
      <c r="Z404">
        <v>5051</v>
      </c>
    </row>
    <row r="405" spans="1:26" hidden="1" x14ac:dyDescent="0.25">
      <c r="A405">
        <f>COUNTIF($P$2:P405,P405)</f>
        <v>34</v>
      </c>
      <c r="B405">
        <f>COUNTIF($A$2:A405,1)</f>
        <v>18</v>
      </c>
      <c r="C405" t="str">
        <f t="shared" si="30"/>
        <v>OCS</v>
      </c>
      <c r="D405" t="str">
        <f t="shared" si="31"/>
        <v>OCSParent</v>
      </c>
      <c r="E405">
        <f>COUNTIF($R$2:R405,R405)</f>
        <v>34</v>
      </c>
      <c r="F405">
        <f>COUNTIF($E$2:E405,1)</f>
        <v>27</v>
      </c>
      <c r="G405" t="str">
        <f t="shared" si="32"/>
        <v>ocs.services.collection</v>
      </c>
      <c r="H405" t="str">
        <f t="shared" si="33"/>
        <v>OCSocs.services.collectionParent</v>
      </c>
      <c r="I405" t="str">
        <f t="shared" si="34"/>
        <v>OCSocs.services.collectionocs.ed.ws.pwd</v>
      </c>
      <c r="J405">
        <f>IF(I405="",0,COUNTIF($I$2:I405,I405))</f>
        <v>1</v>
      </c>
      <c r="K405">
        <f>COUNTIF($J$2:J405,1)</f>
        <v>62</v>
      </c>
      <c r="N405">
        <v>2</v>
      </c>
      <c r="O405" t="s">
        <v>15</v>
      </c>
      <c r="P405" t="s">
        <v>171</v>
      </c>
      <c r="Q405" t="s">
        <v>172</v>
      </c>
      <c r="R405" t="s">
        <v>173</v>
      </c>
      <c r="S405" t="s">
        <v>174</v>
      </c>
      <c r="T405" t="s">
        <v>175</v>
      </c>
      <c r="U405" t="s">
        <v>176</v>
      </c>
      <c r="V405" t="s">
        <v>196</v>
      </c>
      <c r="W405" t="s">
        <v>21</v>
      </c>
      <c r="X405" t="s">
        <v>21</v>
      </c>
      <c r="Y405" t="s">
        <v>197</v>
      </c>
      <c r="Z405">
        <v>5053</v>
      </c>
    </row>
    <row r="406" spans="1:26" hidden="1" x14ac:dyDescent="0.25">
      <c r="A406">
        <f>COUNTIF($P$2:P406,P406)</f>
        <v>35</v>
      </c>
      <c r="B406">
        <f>COUNTIF($A$2:A406,1)</f>
        <v>18</v>
      </c>
      <c r="C406" t="str">
        <f t="shared" si="30"/>
        <v>OCS</v>
      </c>
      <c r="D406" t="str">
        <f t="shared" si="31"/>
        <v>OCSPerson</v>
      </c>
      <c r="E406">
        <f>COUNTIF($R$2:R406,R406)</f>
        <v>35</v>
      </c>
      <c r="F406">
        <f>COUNTIF($E$2:E406,1)</f>
        <v>27</v>
      </c>
      <c r="G406" t="str">
        <f t="shared" si="32"/>
        <v>ocs.services.collection</v>
      </c>
      <c r="H406" t="str">
        <f t="shared" si="33"/>
        <v>OCSocs.services.collectionPerson</v>
      </c>
      <c r="I406" t="str">
        <f t="shared" si="34"/>
        <v>OCSocs.services.collectionocs.ed.ws.pwd</v>
      </c>
      <c r="J406">
        <f>IF(I406="",0,COUNTIF($I$2:I406,I406))</f>
        <v>2</v>
      </c>
      <c r="K406">
        <f>COUNTIF($J$2:J406,1)</f>
        <v>62</v>
      </c>
      <c r="N406">
        <v>11</v>
      </c>
      <c r="O406" t="s">
        <v>24</v>
      </c>
      <c r="P406" t="s">
        <v>171</v>
      </c>
      <c r="Q406" t="s">
        <v>172</v>
      </c>
      <c r="R406" t="s">
        <v>173</v>
      </c>
      <c r="S406" t="s">
        <v>174</v>
      </c>
      <c r="T406" t="s">
        <v>175</v>
      </c>
      <c r="U406" t="s">
        <v>176</v>
      </c>
      <c r="V406" t="s">
        <v>196</v>
      </c>
      <c r="W406" t="s">
        <v>21</v>
      </c>
      <c r="X406" t="s">
        <v>21</v>
      </c>
      <c r="Y406" t="s">
        <v>197</v>
      </c>
      <c r="Z406">
        <v>5053</v>
      </c>
    </row>
    <row r="407" spans="1:26" hidden="1" x14ac:dyDescent="0.25">
      <c r="A407">
        <f>COUNTIF($P$2:P407,P407)</f>
        <v>36</v>
      </c>
      <c r="B407">
        <f>COUNTIF($A$2:A407,1)</f>
        <v>18</v>
      </c>
      <c r="C407" t="str">
        <f t="shared" si="30"/>
        <v>OCS</v>
      </c>
      <c r="D407" t="str">
        <f t="shared" si="31"/>
        <v>OCSDevice</v>
      </c>
      <c r="E407">
        <f>COUNTIF($R$2:R407,R407)</f>
        <v>36</v>
      </c>
      <c r="F407">
        <f>COUNTIF($E$2:E407,1)</f>
        <v>27</v>
      </c>
      <c r="G407" t="str">
        <f t="shared" si="32"/>
        <v>ocs.services.collection</v>
      </c>
      <c r="H407" t="str">
        <f t="shared" si="33"/>
        <v>OCSocs.services.collectionDevice</v>
      </c>
      <c r="I407" t="str">
        <f t="shared" si="34"/>
        <v>OCSocs.services.collectionocs.ed.ws.pwd</v>
      </c>
      <c r="J407">
        <f>IF(I407="",0,COUNTIF($I$2:I407,I407))</f>
        <v>3</v>
      </c>
      <c r="K407">
        <f>COUNTIF($J$2:J407,1)</f>
        <v>62</v>
      </c>
      <c r="N407">
        <v>14</v>
      </c>
      <c r="O407" t="s">
        <v>31</v>
      </c>
      <c r="P407" t="s">
        <v>171</v>
      </c>
      <c r="Q407" t="s">
        <v>172</v>
      </c>
      <c r="R407" t="s">
        <v>173</v>
      </c>
      <c r="S407" t="s">
        <v>174</v>
      </c>
      <c r="T407" t="s">
        <v>175</v>
      </c>
      <c r="U407" t="s">
        <v>176</v>
      </c>
      <c r="V407" t="s">
        <v>196</v>
      </c>
      <c r="W407" t="s">
        <v>21</v>
      </c>
      <c r="X407" t="s">
        <v>21</v>
      </c>
      <c r="Y407" t="s">
        <v>197</v>
      </c>
      <c r="Z407">
        <v>5053</v>
      </c>
    </row>
    <row r="408" spans="1:26" hidden="1" x14ac:dyDescent="0.25">
      <c r="A408">
        <f>COUNTIF($P$2:P408,P408)</f>
        <v>37</v>
      </c>
      <c r="B408">
        <f>COUNTIF($A$2:A408,1)</f>
        <v>18</v>
      </c>
      <c r="C408" t="str">
        <f t="shared" si="30"/>
        <v>OCS</v>
      </c>
      <c r="D408" t="str">
        <f t="shared" si="31"/>
        <v>OCSParent</v>
      </c>
      <c r="E408">
        <f>COUNTIF($R$2:R408,R408)</f>
        <v>37</v>
      </c>
      <c r="F408">
        <f>COUNTIF($E$2:E408,1)</f>
        <v>27</v>
      </c>
      <c r="G408" t="str">
        <f t="shared" si="32"/>
        <v>ocs.services.collection</v>
      </c>
      <c r="H408" t="str">
        <f t="shared" si="33"/>
        <v>OCSocs.services.collectionParent</v>
      </c>
      <c r="I408" t="str">
        <f t="shared" si="34"/>
        <v>OCSocs.services.collectionocs.ed.ws.pwd</v>
      </c>
      <c r="J408">
        <f>IF(I408="",0,COUNTIF($I$2:I408,I408))</f>
        <v>4</v>
      </c>
      <c r="K408">
        <f>COUNTIF($J$2:J408,1)</f>
        <v>62</v>
      </c>
      <c r="N408">
        <v>90</v>
      </c>
      <c r="O408" t="s">
        <v>15</v>
      </c>
      <c r="P408" t="s">
        <v>171</v>
      </c>
      <c r="Q408" t="s">
        <v>172</v>
      </c>
      <c r="R408" t="s">
        <v>173</v>
      </c>
      <c r="S408" t="s">
        <v>174</v>
      </c>
      <c r="T408" t="s">
        <v>175</v>
      </c>
      <c r="U408" t="s">
        <v>176</v>
      </c>
      <c r="V408" t="s">
        <v>196</v>
      </c>
      <c r="W408" t="s">
        <v>21</v>
      </c>
      <c r="X408" t="s">
        <v>21</v>
      </c>
      <c r="Y408" t="s">
        <v>197</v>
      </c>
      <c r="Z408">
        <v>5053</v>
      </c>
    </row>
    <row r="409" spans="1:26" hidden="1" x14ac:dyDescent="0.25">
      <c r="A409">
        <f>COUNTIF($P$2:P409,P409)</f>
        <v>38</v>
      </c>
      <c r="B409">
        <f>COUNTIF($A$2:A409,1)</f>
        <v>18</v>
      </c>
      <c r="C409" t="str">
        <f t="shared" si="30"/>
        <v>OCS</v>
      </c>
      <c r="D409" t="str">
        <f t="shared" si="31"/>
        <v>OCSIntegrator</v>
      </c>
      <c r="E409">
        <f>COUNTIF($R$2:R409,R409)</f>
        <v>38</v>
      </c>
      <c r="F409">
        <f>COUNTIF($E$2:E409,1)</f>
        <v>27</v>
      </c>
      <c r="G409" t="str">
        <f t="shared" si="32"/>
        <v>ocs.services.collection</v>
      </c>
      <c r="H409" t="str">
        <f t="shared" si="33"/>
        <v>OCSocs.services.collectionIntegrator</v>
      </c>
      <c r="I409" t="str">
        <f t="shared" si="34"/>
        <v>OCSocs.services.collectionocs.ed.ws.pwd</v>
      </c>
      <c r="J409">
        <f>IF(I409="",0,COUNTIF($I$2:I409,I409))</f>
        <v>5</v>
      </c>
      <c r="K409">
        <f>COUNTIF($J$2:J409,1)</f>
        <v>62</v>
      </c>
      <c r="N409">
        <v>34</v>
      </c>
      <c r="O409" t="s">
        <v>23</v>
      </c>
      <c r="P409" t="s">
        <v>171</v>
      </c>
      <c r="Q409" t="s">
        <v>172</v>
      </c>
      <c r="R409" t="s">
        <v>173</v>
      </c>
      <c r="S409" t="s">
        <v>174</v>
      </c>
      <c r="T409" t="s">
        <v>175</v>
      </c>
      <c r="U409" t="s">
        <v>176</v>
      </c>
      <c r="V409" t="s">
        <v>196</v>
      </c>
      <c r="W409" t="s">
        <v>21</v>
      </c>
      <c r="X409" t="s">
        <v>21</v>
      </c>
      <c r="Y409" t="s">
        <v>197</v>
      </c>
      <c r="Z409">
        <v>5053</v>
      </c>
    </row>
    <row r="410" spans="1:26" hidden="1" x14ac:dyDescent="0.25">
      <c r="A410">
        <f>COUNTIF($P$2:P410,P410)</f>
        <v>39</v>
      </c>
      <c r="B410">
        <f>COUNTIF($A$2:A410,1)</f>
        <v>18</v>
      </c>
      <c r="C410" t="str">
        <f t="shared" si="30"/>
        <v>OCS</v>
      </c>
      <c r="D410" t="str">
        <f t="shared" si="31"/>
        <v>OCSParent</v>
      </c>
      <c r="E410">
        <f>COUNTIF($R$2:R410,R410)</f>
        <v>39</v>
      </c>
      <c r="F410">
        <f>COUNTIF($E$2:E410,1)</f>
        <v>27</v>
      </c>
      <c r="G410" t="str">
        <f t="shared" si="32"/>
        <v>ocs.services.collection</v>
      </c>
      <c r="H410" t="str">
        <f t="shared" si="33"/>
        <v>OCSocs.services.collectionParent</v>
      </c>
      <c r="I410" t="str">
        <f t="shared" si="34"/>
        <v>OCSocs.services.collectionocs.ed.ws.pwd</v>
      </c>
      <c r="J410">
        <f>IF(I410="",0,COUNTIF($I$2:I410,I410))</f>
        <v>6</v>
      </c>
      <c r="K410">
        <f>COUNTIF($J$2:J410,1)</f>
        <v>62</v>
      </c>
      <c r="N410">
        <v>1</v>
      </c>
      <c r="O410" t="s">
        <v>15</v>
      </c>
      <c r="P410" t="s">
        <v>171</v>
      </c>
      <c r="Q410" t="s">
        <v>172</v>
      </c>
      <c r="R410" t="s">
        <v>173</v>
      </c>
      <c r="S410" t="s">
        <v>174</v>
      </c>
      <c r="T410" t="s">
        <v>175</v>
      </c>
      <c r="U410" t="s">
        <v>176</v>
      </c>
      <c r="V410" t="s">
        <v>196</v>
      </c>
      <c r="W410" t="s">
        <v>21</v>
      </c>
      <c r="X410" t="s">
        <v>21</v>
      </c>
      <c r="Y410" t="s">
        <v>197</v>
      </c>
      <c r="Z410">
        <v>5053</v>
      </c>
    </row>
    <row r="411" spans="1:26" hidden="1" x14ac:dyDescent="0.25">
      <c r="A411">
        <f>COUNTIF($P$2:P411,P411)</f>
        <v>40</v>
      </c>
      <c r="B411">
        <f>COUNTIF($A$2:A411,1)</f>
        <v>18</v>
      </c>
      <c r="C411" t="str">
        <f t="shared" si="30"/>
        <v>OCS</v>
      </c>
      <c r="D411" t="str">
        <f t="shared" si="31"/>
        <v>OCSParent</v>
      </c>
      <c r="E411">
        <f>COUNTIF($R$2:R411,R411)</f>
        <v>40</v>
      </c>
      <c r="F411">
        <f>COUNTIF($E$2:E411,1)</f>
        <v>27</v>
      </c>
      <c r="G411" t="str">
        <f t="shared" si="32"/>
        <v>ocs.services.collection</v>
      </c>
      <c r="H411" t="str">
        <f t="shared" si="33"/>
        <v>OCSocs.services.collectionParent</v>
      </c>
      <c r="I411" t="str">
        <f t="shared" si="34"/>
        <v>OCSocs.services.collectionocs.ed.ws.usr</v>
      </c>
      <c r="J411">
        <f>IF(I411="",0,COUNTIF($I$2:I411,I411))</f>
        <v>1</v>
      </c>
      <c r="K411">
        <f>COUNTIF($J$2:J411,1)</f>
        <v>63</v>
      </c>
      <c r="N411">
        <v>90</v>
      </c>
      <c r="O411" t="s">
        <v>15</v>
      </c>
      <c r="P411" t="s">
        <v>171</v>
      </c>
      <c r="Q411" t="s">
        <v>172</v>
      </c>
      <c r="R411" t="s">
        <v>173</v>
      </c>
      <c r="S411" t="s">
        <v>174</v>
      </c>
      <c r="T411" t="s">
        <v>175</v>
      </c>
      <c r="U411" t="s">
        <v>176</v>
      </c>
      <c r="V411" t="s">
        <v>198</v>
      </c>
      <c r="W411" t="s">
        <v>21</v>
      </c>
      <c r="X411" t="s">
        <v>21</v>
      </c>
      <c r="Y411" t="s">
        <v>199</v>
      </c>
      <c r="Z411">
        <v>5052</v>
      </c>
    </row>
    <row r="412" spans="1:26" hidden="1" x14ac:dyDescent="0.25">
      <c r="A412">
        <f>COUNTIF($P$2:P412,P412)</f>
        <v>41</v>
      </c>
      <c r="B412">
        <f>COUNTIF($A$2:A412,1)</f>
        <v>18</v>
      </c>
      <c r="C412" t="str">
        <f t="shared" si="30"/>
        <v>OCS</v>
      </c>
      <c r="D412" t="str">
        <f t="shared" si="31"/>
        <v>OCSDevice</v>
      </c>
      <c r="E412">
        <f>COUNTIF($R$2:R412,R412)</f>
        <v>41</v>
      </c>
      <c r="F412">
        <f>COUNTIF($E$2:E412,1)</f>
        <v>27</v>
      </c>
      <c r="G412" t="str">
        <f t="shared" si="32"/>
        <v>ocs.services.collection</v>
      </c>
      <c r="H412" t="str">
        <f t="shared" si="33"/>
        <v>OCSocs.services.collectionDevice</v>
      </c>
      <c r="I412" t="str">
        <f t="shared" si="34"/>
        <v>OCSocs.services.collectionocs.ed.ws.usr</v>
      </c>
      <c r="J412">
        <f>IF(I412="",0,COUNTIF($I$2:I412,I412))</f>
        <v>2</v>
      </c>
      <c r="K412">
        <f>COUNTIF($J$2:J412,1)</f>
        <v>63</v>
      </c>
      <c r="N412">
        <v>14</v>
      </c>
      <c r="O412" t="s">
        <v>31</v>
      </c>
      <c r="P412" t="s">
        <v>171</v>
      </c>
      <c r="Q412" t="s">
        <v>172</v>
      </c>
      <c r="R412" t="s">
        <v>173</v>
      </c>
      <c r="S412" t="s">
        <v>174</v>
      </c>
      <c r="T412" t="s">
        <v>175</v>
      </c>
      <c r="U412" t="s">
        <v>176</v>
      </c>
      <c r="V412" t="s">
        <v>198</v>
      </c>
      <c r="W412" t="s">
        <v>21</v>
      </c>
      <c r="X412" t="s">
        <v>21</v>
      </c>
      <c r="Y412" t="s">
        <v>199</v>
      </c>
      <c r="Z412">
        <v>5052</v>
      </c>
    </row>
    <row r="413" spans="1:26" hidden="1" x14ac:dyDescent="0.25">
      <c r="A413">
        <f>COUNTIF($P$2:P413,P413)</f>
        <v>42</v>
      </c>
      <c r="B413">
        <f>COUNTIF($A$2:A413,1)</f>
        <v>18</v>
      </c>
      <c r="C413" t="str">
        <f t="shared" si="30"/>
        <v>OCS</v>
      </c>
      <c r="D413" t="str">
        <f t="shared" si="31"/>
        <v>OCSPerson</v>
      </c>
      <c r="E413">
        <f>COUNTIF($R$2:R413,R413)</f>
        <v>42</v>
      </c>
      <c r="F413">
        <f>COUNTIF($E$2:E413,1)</f>
        <v>27</v>
      </c>
      <c r="G413" t="str">
        <f t="shared" si="32"/>
        <v>ocs.services.collection</v>
      </c>
      <c r="H413" t="str">
        <f t="shared" si="33"/>
        <v>OCSocs.services.collectionPerson</v>
      </c>
      <c r="I413" t="str">
        <f t="shared" si="34"/>
        <v>OCSocs.services.collectionocs.ed.ws.usr</v>
      </c>
      <c r="J413">
        <f>IF(I413="",0,COUNTIF($I$2:I413,I413))</f>
        <v>3</v>
      </c>
      <c r="K413">
        <f>COUNTIF($J$2:J413,1)</f>
        <v>63</v>
      </c>
      <c r="N413">
        <v>11</v>
      </c>
      <c r="O413" t="s">
        <v>24</v>
      </c>
      <c r="P413" t="s">
        <v>171</v>
      </c>
      <c r="Q413" t="s">
        <v>172</v>
      </c>
      <c r="R413" t="s">
        <v>173</v>
      </c>
      <c r="S413" t="s">
        <v>174</v>
      </c>
      <c r="T413" t="s">
        <v>175</v>
      </c>
      <c r="U413" t="s">
        <v>176</v>
      </c>
      <c r="V413" t="s">
        <v>198</v>
      </c>
      <c r="W413" t="s">
        <v>21</v>
      </c>
      <c r="X413" t="s">
        <v>21</v>
      </c>
      <c r="Y413" t="s">
        <v>199</v>
      </c>
      <c r="Z413">
        <v>5052</v>
      </c>
    </row>
    <row r="414" spans="1:26" hidden="1" x14ac:dyDescent="0.25">
      <c r="A414">
        <f>COUNTIF($P$2:P414,P414)</f>
        <v>43</v>
      </c>
      <c r="B414">
        <f>COUNTIF($A$2:A414,1)</f>
        <v>18</v>
      </c>
      <c r="C414" t="str">
        <f t="shared" si="30"/>
        <v>OCS</v>
      </c>
      <c r="D414" t="str">
        <f t="shared" si="31"/>
        <v>OCSParent</v>
      </c>
      <c r="E414">
        <f>COUNTIF($R$2:R414,R414)</f>
        <v>43</v>
      </c>
      <c r="F414">
        <f>COUNTIF($E$2:E414,1)</f>
        <v>27</v>
      </c>
      <c r="G414" t="str">
        <f t="shared" si="32"/>
        <v>ocs.services.collection</v>
      </c>
      <c r="H414" t="str">
        <f t="shared" si="33"/>
        <v>OCSocs.services.collectionParent</v>
      </c>
      <c r="I414" t="str">
        <f t="shared" si="34"/>
        <v>OCSocs.services.collectionocs.ed.ws.usr</v>
      </c>
      <c r="J414">
        <f>IF(I414="",0,COUNTIF($I$2:I414,I414))</f>
        <v>4</v>
      </c>
      <c r="K414">
        <f>COUNTIF($J$2:J414,1)</f>
        <v>63</v>
      </c>
      <c r="N414">
        <v>1</v>
      </c>
      <c r="O414" t="s">
        <v>15</v>
      </c>
      <c r="P414" t="s">
        <v>171</v>
      </c>
      <c r="Q414" t="s">
        <v>172</v>
      </c>
      <c r="R414" t="s">
        <v>173</v>
      </c>
      <c r="S414" t="s">
        <v>174</v>
      </c>
      <c r="T414" t="s">
        <v>175</v>
      </c>
      <c r="U414" t="s">
        <v>176</v>
      </c>
      <c r="V414" t="s">
        <v>198</v>
      </c>
      <c r="W414" t="s">
        <v>21</v>
      </c>
      <c r="X414" t="s">
        <v>21</v>
      </c>
      <c r="Y414" t="s">
        <v>199</v>
      </c>
      <c r="Z414">
        <v>5052</v>
      </c>
    </row>
    <row r="415" spans="1:26" hidden="1" x14ac:dyDescent="0.25">
      <c r="A415">
        <f>COUNTIF($P$2:P415,P415)</f>
        <v>44</v>
      </c>
      <c r="B415">
        <f>COUNTIF($A$2:A415,1)</f>
        <v>18</v>
      </c>
      <c r="C415" t="str">
        <f t="shared" si="30"/>
        <v>OCS</v>
      </c>
      <c r="D415" t="str">
        <f t="shared" si="31"/>
        <v>OCSParent</v>
      </c>
      <c r="E415">
        <f>COUNTIF($R$2:R415,R415)</f>
        <v>44</v>
      </c>
      <c r="F415">
        <f>COUNTIF($E$2:E415,1)</f>
        <v>27</v>
      </c>
      <c r="G415" t="str">
        <f t="shared" si="32"/>
        <v>ocs.services.collection</v>
      </c>
      <c r="H415" t="str">
        <f t="shared" si="33"/>
        <v>OCSocs.services.collectionParent</v>
      </c>
      <c r="I415" t="str">
        <f t="shared" si="34"/>
        <v>OCSocs.services.collectionocs.ed.ws.usr</v>
      </c>
      <c r="J415">
        <f>IF(I415="",0,COUNTIF($I$2:I415,I415))</f>
        <v>5</v>
      </c>
      <c r="K415">
        <f>COUNTIF($J$2:J415,1)</f>
        <v>63</v>
      </c>
      <c r="N415">
        <v>2</v>
      </c>
      <c r="O415" t="s">
        <v>15</v>
      </c>
      <c r="P415" t="s">
        <v>171</v>
      </c>
      <c r="Q415" t="s">
        <v>172</v>
      </c>
      <c r="R415" t="s">
        <v>173</v>
      </c>
      <c r="S415" t="s">
        <v>174</v>
      </c>
      <c r="T415" t="s">
        <v>175</v>
      </c>
      <c r="U415" t="s">
        <v>176</v>
      </c>
      <c r="V415" t="s">
        <v>198</v>
      </c>
      <c r="W415" t="s">
        <v>21</v>
      </c>
      <c r="X415" t="s">
        <v>21</v>
      </c>
      <c r="Y415" t="s">
        <v>199</v>
      </c>
      <c r="Z415">
        <v>5052</v>
      </c>
    </row>
    <row r="416" spans="1:26" hidden="1" x14ac:dyDescent="0.25">
      <c r="A416">
        <f>COUNTIF($P$2:P416,P416)</f>
        <v>45</v>
      </c>
      <c r="B416">
        <f>COUNTIF($A$2:A416,1)</f>
        <v>18</v>
      </c>
      <c r="C416" t="str">
        <f t="shared" si="30"/>
        <v>OCS</v>
      </c>
      <c r="D416" t="str">
        <f t="shared" si="31"/>
        <v>OCSIntegrator</v>
      </c>
      <c r="E416">
        <f>COUNTIF($R$2:R416,R416)</f>
        <v>45</v>
      </c>
      <c r="F416">
        <f>COUNTIF($E$2:E416,1)</f>
        <v>27</v>
      </c>
      <c r="G416" t="str">
        <f t="shared" si="32"/>
        <v>ocs.services.collection</v>
      </c>
      <c r="H416" t="str">
        <f t="shared" si="33"/>
        <v>OCSocs.services.collectionIntegrator</v>
      </c>
      <c r="I416" t="str">
        <f t="shared" si="34"/>
        <v>OCSocs.services.collectionocs.ed.ws.usr</v>
      </c>
      <c r="J416">
        <f>IF(I416="",0,COUNTIF($I$2:I416,I416))</f>
        <v>6</v>
      </c>
      <c r="K416">
        <f>COUNTIF($J$2:J416,1)</f>
        <v>63</v>
      </c>
      <c r="N416">
        <v>34</v>
      </c>
      <c r="O416" t="s">
        <v>23</v>
      </c>
      <c r="P416" t="s">
        <v>171</v>
      </c>
      <c r="Q416" t="s">
        <v>172</v>
      </c>
      <c r="R416" t="s">
        <v>173</v>
      </c>
      <c r="S416" t="s">
        <v>174</v>
      </c>
      <c r="T416" t="s">
        <v>175</v>
      </c>
      <c r="U416" t="s">
        <v>176</v>
      </c>
      <c r="V416" t="s">
        <v>198</v>
      </c>
      <c r="W416" t="s">
        <v>21</v>
      </c>
      <c r="X416" t="s">
        <v>21</v>
      </c>
      <c r="Y416" t="s">
        <v>199</v>
      </c>
      <c r="Z416">
        <v>5052</v>
      </c>
    </row>
    <row r="417" spans="1:26" hidden="1" x14ac:dyDescent="0.25">
      <c r="A417">
        <f>COUNTIF($P$2:P417,P417)</f>
        <v>46</v>
      </c>
      <c r="B417">
        <f>COUNTIF($A$2:A417,1)</f>
        <v>18</v>
      </c>
      <c r="C417" t="str">
        <f t="shared" si="30"/>
        <v>OCS</v>
      </c>
      <c r="D417" t="str">
        <f t="shared" si="31"/>
        <v>OCSDevice</v>
      </c>
      <c r="E417">
        <f>COUNTIF($R$2:R417,R417)</f>
        <v>46</v>
      </c>
      <c r="F417">
        <f>COUNTIF($E$2:E417,1)</f>
        <v>27</v>
      </c>
      <c r="G417" t="str">
        <f t="shared" si="32"/>
        <v>ocs.services.collection</v>
      </c>
      <c r="H417" t="str">
        <f t="shared" si="33"/>
        <v>OCSocs.services.collectionDevice</v>
      </c>
      <c r="I417" t="str">
        <f t="shared" si="34"/>
        <v/>
      </c>
      <c r="J417">
        <f>IF(I417="",0,COUNTIF($I$2:I417,I417))</f>
        <v>0</v>
      </c>
      <c r="K417">
        <f>COUNTIF($J$2:J417,1)</f>
        <v>63</v>
      </c>
      <c r="N417">
        <v>44</v>
      </c>
      <c r="O417" t="s">
        <v>31</v>
      </c>
      <c r="P417" t="s">
        <v>171</v>
      </c>
      <c r="Q417" t="s">
        <v>172</v>
      </c>
      <c r="R417" t="s">
        <v>173</v>
      </c>
      <c r="S417" t="s">
        <v>174</v>
      </c>
      <c r="T417" t="s">
        <v>175</v>
      </c>
      <c r="U417" t="s">
        <v>176</v>
      </c>
      <c r="W417" t="s">
        <v>21</v>
      </c>
    </row>
    <row r="418" spans="1:26" hidden="1" x14ac:dyDescent="0.25">
      <c r="A418">
        <f>COUNTIF($P$2:P418,P418)</f>
        <v>47</v>
      </c>
      <c r="B418">
        <f>COUNTIF($A$2:A418,1)</f>
        <v>18</v>
      </c>
      <c r="C418" t="str">
        <f t="shared" si="30"/>
        <v>OCS</v>
      </c>
      <c r="D418" t="str">
        <f t="shared" si="31"/>
        <v>OCSPerson</v>
      </c>
      <c r="E418">
        <f>COUNTIF($R$2:R418,R418)</f>
        <v>47</v>
      </c>
      <c r="F418">
        <f>COUNTIF($E$2:E418,1)</f>
        <v>27</v>
      </c>
      <c r="G418" t="str">
        <f t="shared" si="32"/>
        <v>ocs.services.collection</v>
      </c>
      <c r="H418" t="str">
        <f t="shared" si="33"/>
        <v>OCSocs.services.collectionPerson</v>
      </c>
      <c r="I418" t="str">
        <f t="shared" si="34"/>
        <v/>
      </c>
      <c r="J418">
        <f>IF(I418="",0,COUNTIF($I$2:I418,I418))</f>
        <v>0</v>
      </c>
      <c r="K418">
        <f>COUNTIF($J$2:J418,1)</f>
        <v>63</v>
      </c>
      <c r="N418">
        <v>22</v>
      </c>
      <c r="O418" t="s">
        <v>24</v>
      </c>
      <c r="P418" t="s">
        <v>171</v>
      </c>
      <c r="Q418" t="s">
        <v>172</v>
      </c>
      <c r="R418" t="s">
        <v>173</v>
      </c>
      <c r="S418" t="s">
        <v>174</v>
      </c>
      <c r="T418" t="s">
        <v>175</v>
      </c>
      <c r="U418" t="s">
        <v>176</v>
      </c>
      <c r="W418" t="s">
        <v>22</v>
      </c>
    </row>
    <row r="419" spans="1:26" hidden="1" x14ac:dyDescent="0.25">
      <c r="A419">
        <f>COUNTIF($P$2:P419,P419)</f>
        <v>48</v>
      </c>
      <c r="B419">
        <f>COUNTIF($A$2:A419,1)</f>
        <v>18</v>
      </c>
      <c r="C419" t="str">
        <f t="shared" si="30"/>
        <v>OCS</v>
      </c>
      <c r="D419" t="str">
        <f t="shared" si="31"/>
        <v>OCSParent</v>
      </c>
      <c r="E419">
        <f>COUNTIF($R$2:R419,R419)</f>
        <v>48</v>
      </c>
      <c r="F419">
        <f>COUNTIF($E$2:E419,1)</f>
        <v>27</v>
      </c>
      <c r="G419" t="str">
        <f t="shared" si="32"/>
        <v>ocs.services.collection</v>
      </c>
      <c r="H419" t="str">
        <f t="shared" si="33"/>
        <v>OCSocs.services.collectionParent</v>
      </c>
      <c r="I419" t="str">
        <f t="shared" si="34"/>
        <v/>
      </c>
      <c r="J419">
        <f>IF(I419="",0,COUNTIF($I$2:I419,I419))</f>
        <v>0</v>
      </c>
      <c r="K419">
        <f>COUNTIF($J$2:J419,1)</f>
        <v>63</v>
      </c>
      <c r="N419">
        <v>2</v>
      </c>
      <c r="O419" t="s">
        <v>15</v>
      </c>
      <c r="P419" t="s">
        <v>171</v>
      </c>
      <c r="Q419" t="s">
        <v>172</v>
      </c>
      <c r="R419" t="s">
        <v>173</v>
      </c>
      <c r="S419" t="s">
        <v>174</v>
      </c>
      <c r="T419" t="s">
        <v>175</v>
      </c>
      <c r="U419" t="s">
        <v>176</v>
      </c>
      <c r="W419" t="s">
        <v>22</v>
      </c>
    </row>
    <row r="420" spans="1:26" hidden="1" x14ac:dyDescent="0.25">
      <c r="A420">
        <f>COUNTIF($P$2:P420,P420)</f>
        <v>49</v>
      </c>
      <c r="B420">
        <f>COUNTIF($A$2:A420,1)</f>
        <v>18</v>
      </c>
      <c r="C420" t="str">
        <f t="shared" si="30"/>
        <v>OCS</v>
      </c>
      <c r="D420" t="str">
        <f t="shared" si="31"/>
        <v>OCSParent</v>
      </c>
      <c r="E420">
        <f>COUNTIF($R$2:R420,R420)</f>
        <v>49</v>
      </c>
      <c r="F420">
        <f>COUNTIF($E$2:E420,1)</f>
        <v>27</v>
      </c>
      <c r="G420" t="str">
        <f t="shared" si="32"/>
        <v>ocs.services.collection</v>
      </c>
      <c r="H420" t="str">
        <f t="shared" si="33"/>
        <v>OCSocs.services.collectionParent</v>
      </c>
      <c r="I420" t="str">
        <f t="shared" si="34"/>
        <v/>
      </c>
      <c r="J420">
        <f>IF(I420="",0,COUNTIF($I$2:I420,I420))</f>
        <v>0</v>
      </c>
      <c r="K420">
        <f>COUNTIF($J$2:J420,1)</f>
        <v>63</v>
      </c>
      <c r="N420">
        <v>2</v>
      </c>
      <c r="O420" t="s">
        <v>15</v>
      </c>
      <c r="P420" t="s">
        <v>171</v>
      </c>
      <c r="Q420" t="s">
        <v>172</v>
      </c>
      <c r="R420" t="s">
        <v>173</v>
      </c>
      <c r="S420" t="s">
        <v>174</v>
      </c>
      <c r="T420" t="s">
        <v>175</v>
      </c>
      <c r="U420" t="s">
        <v>176</v>
      </c>
      <c r="W420" t="s">
        <v>22</v>
      </c>
    </row>
    <row r="421" spans="1:26" hidden="1" x14ac:dyDescent="0.25">
      <c r="A421">
        <f>COUNTIF($P$2:P421,P421)</f>
        <v>50</v>
      </c>
      <c r="B421">
        <f>COUNTIF($A$2:A421,1)</f>
        <v>18</v>
      </c>
      <c r="C421" t="str">
        <f t="shared" si="30"/>
        <v>OCS</v>
      </c>
      <c r="D421" t="str">
        <f t="shared" si="31"/>
        <v>OCSIntegrator</v>
      </c>
      <c r="E421">
        <f>COUNTIF($R$2:R421,R421)</f>
        <v>50</v>
      </c>
      <c r="F421">
        <f>COUNTIF($E$2:E421,1)</f>
        <v>27</v>
      </c>
      <c r="G421" t="str">
        <f t="shared" si="32"/>
        <v>ocs.services.collection</v>
      </c>
      <c r="H421" t="str">
        <f t="shared" si="33"/>
        <v>OCSocs.services.collectionIntegrator</v>
      </c>
      <c r="I421" t="str">
        <f t="shared" si="34"/>
        <v/>
      </c>
      <c r="J421">
        <f>IF(I421="",0,COUNTIF($I$2:I421,I421))</f>
        <v>0</v>
      </c>
      <c r="K421">
        <f>COUNTIF($J$2:J421,1)</f>
        <v>63</v>
      </c>
      <c r="N421">
        <v>83</v>
      </c>
      <c r="O421" t="s">
        <v>23</v>
      </c>
      <c r="P421" t="s">
        <v>171</v>
      </c>
      <c r="Q421" t="s">
        <v>172</v>
      </c>
      <c r="R421" t="s">
        <v>173</v>
      </c>
      <c r="S421" t="s">
        <v>174</v>
      </c>
      <c r="T421" t="s">
        <v>175</v>
      </c>
      <c r="U421" t="s">
        <v>176</v>
      </c>
      <c r="W421" t="s">
        <v>22</v>
      </c>
    </row>
    <row r="422" spans="1:26" hidden="1" x14ac:dyDescent="0.25">
      <c r="A422">
        <f>COUNTIF($P$2:P422,P422)</f>
        <v>51</v>
      </c>
      <c r="B422">
        <f>COUNTIF($A$2:A422,1)</f>
        <v>18</v>
      </c>
      <c r="C422" t="str">
        <f t="shared" si="30"/>
        <v>OCS</v>
      </c>
      <c r="D422" t="str">
        <f t="shared" si="31"/>
        <v>OCSParent</v>
      </c>
      <c r="E422">
        <f>COUNTIF($R$2:R422,R422)</f>
        <v>51</v>
      </c>
      <c r="F422">
        <f>COUNTIF($E$2:E422,1)</f>
        <v>27</v>
      </c>
      <c r="G422" t="str">
        <f t="shared" si="32"/>
        <v>ocs.services.collection</v>
      </c>
      <c r="H422" t="str">
        <f t="shared" si="33"/>
        <v>OCSocs.services.collectionParent</v>
      </c>
      <c r="I422" t="str">
        <f t="shared" si="34"/>
        <v/>
      </c>
      <c r="J422">
        <f>IF(I422="",0,COUNTIF($I$2:I422,I422))</f>
        <v>0</v>
      </c>
      <c r="K422">
        <f>COUNTIF($J$2:J422,1)</f>
        <v>63</v>
      </c>
      <c r="N422">
        <v>92</v>
      </c>
      <c r="O422" t="s">
        <v>15</v>
      </c>
      <c r="P422" t="s">
        <v>171</v>
      </c>
      <c r="Q422" t="s">
        <v>172</v>
      </c>
      <c r="R422" t="s">
        <v>173</v>
      </c>
      <c r="S422" t="s">
        <v>174</v>
      </c>
      <c r="T422" t="s">
        <v>175</v>
      </c>
      <c r="U422" t="s">
        <v>176</v>
      </c>
      <c r="W422" t="s">
        <v>22</v>
      </c>
    </row>
    <row r="423" spans="1:26" hidden="1" x14ac:dyDescent="0.25">
      <c r="A423">
        <f>COUNTIF($P$2:P423,P423)</f>
        <v>52</v>
      </c>
      <c r="B423">
        <f>COUNTIF($A$2:A423,1)</f>
        <v>18</v>
      </c>
      <c r="C423" t="str">
        <f t="shared" si="30"/>
        <v>OCS</v>
      </c>
      <c r="D423" t="str">
        <f t="shared" si="31"/>
        <v>OCSParent</v>
      </c>
      <c r="E423">
        <f>COUNTIF($R$2:R423,R423)</f>
        <v>52</v>
      </c>
      <c r="F423">
        <f>COUNTIF($E$2:E423,1)</f>
        <v>27</v>
      </c>
      <c r="G423" t="str">
        <f t="shared" si="32"/>
        <v>ocs.services.collection</v>
      </c>
      <c r="H423" t="str">
        <f t="shared" si="33"/>
        <v>OCSocs.services.collectionParent</v>
      </c>
      <c r="I423" t="str">
        <f t="shared" si="34"/>
        <v/>
      </c>
      <c r="J423">
        <f>IF(I423="",0,COUNTIF($I$2:I423,I423))</f>
        <v>0</v>
      </c>
      <c r="K423">
        <f>COUNTIF($J$2:J423,1)</f>
        <v>63</v>
      </c>
      <c r="N423">
        <v>259</v>
      </c>
      <c r="O423" t="s">
        <v>15</v>
      </c>
      <c r="P423" t="s">
        <v>171</v>
      </c>
      <c r="Q423" t="s">
        <v>172</v>
      </c>
      <c r="R423" t="s">
        <v>173</v>
      </c>
      <c r="S423" t="s">
        <v>174</v>
      </c>
      <c r="T423" t="s">
        <v>175</v>
      </c>
      <c r="U423" t="s">
        <v>176</v>
      </c>
      <c r="W423" t="s">
        <v>22</v>
      </c>
    </row>
    <row r="424" spans="1:26" hidden="1" x14ac:dyDescent="0.25">
      <c r="A424">
        <f>COUNTIF($P$2:P424,P424)</f>
        <v>53</v>
      </c>
      <c r="B424">
        <f>COUNTIF($A$2:A424,1)</f>
        <v>18</v>
      </c>
      <c r="C424" t="str">
        <f t="shared" si="30"/>
        <v>OCS</v>
      </c>
      <c r="D424" t="str">
        <f t="shared" si="31"/>
        <v>OCSDevice</v>
      </c>
      <c r="E424">
        <f>COUNTIF($R$2:R424,R424)</f>
        <v>53</v>
      </c>
      <c r="F424">
        <f>COUNTIF($E$2:E424,1)</f>
        <v>27</v>
      </c>
      <c r="G424" t="str">
        <f t="shared" si="32"/>
        <v>ocs.services.collection</v>
      </c>
      <c r="H424" t="str">
        <f t="shared" si="33"/>
        <v>OCSocs.services.collectionDevice</v>
      </c>
      <c r="I424" t="str">
        <f t="shared" si="34"/>
        <v/>
      </c>
      <c r="J424">
        <f>IF(I424="",0,COUNTIF($I$2:I424,I424))</f>
        <v>0</v>
      </c>
      <c r="K424">
        <f>COUNTIF($J$2:J424,1)</f>
        <v>63</v>
      </c>
      <c r="N424">
        <v>1</v>
      </c>
      <c r="O424" t="s">
        <v>31</v>
      </c>
      <c r="P424" t="s">
        <v>171</v>
      </c>
      <c r="Q424" t="s">
        <v>172</v>
      </c>
      <c r="R424" t="s">
        <v>173</v>
      </c>
      <c r="S424" t="s">
        <v>174</v>
      </c>
      <c r="T424" t="s">
        <v>175</v>
      </c>
      <c r="U424" t="s">
        <v>176</v>
      </c>
      <c r="W424" t="s">
        <v>21</v>
      </c>
    </row>
    <row r="425" spans="1:26" hidden="1" x14ac:dyDescent="0.25">
      <c r="A425">
        <f>COUNTIF($P$2:P425,P425)</f>
        <v>54</v>
      </c>
      <c r="B425">
        <f>COUNTIF($A$2:A425,1)</f>
        <v>18</v>
      </c>
      <c r="C425" t="str">
        <f t="shared" si="30"/>
        <v>OCS</v>
      </c>
      <c r="D425" t="str">
        <f t="shared" si="31"/>
        <v>OCSParent</v>
      </c>
      <c r="E425">
        <f>COUNTIF($R$2:R425,R425)</f>
        <v>54</v>
      </c>
      <c r="F425">
        <f>COUNTIF($E$2:E425,1)</f>
        <v>27</v>
      </c>
      <c r="G425" t="str">
        <f t="shared" si="32"/>
        <v>ocs.services.collection</v>
      </c>
      <c r="H425" t="str">
        <f t="shared" si="33"/>
        <v>OCSocs.services.collectionParent</v>
      </c>
      <c r="I425" t="str">
        <f t="shared" si="34"/>
        <v/>
      </c>
      <c r="J425">
        <f>IF(I425="",0,COUNTIF($I$2:I425,I425))</f>
        <v>0</v>
      </c>
      <c r="K425">
        <f>COUNTIF($J$2:J425,1)</f>
        <v>63</v>
      </c>
      <c r="N425">
        <v>1</v>
      </c>
      <c r="O425" t="s">
        <v>15</v>
      </c>
      <c r="P425" t="s">
        <v>171</v>
      </c>
      <c r="Q425" t="s">
        <v>172</v>
      </c>
      <c r="R425" t="s">
        <v>173</v>
      </c>
      <c r="S425" t="s">
        <v>174</v>
      </c>
      <c r="T425" t="s">
        <v>175</v>
      </c>
      <c r="U425" t="s">
        <v>176</v>
      </c>
      <c r="W425" t="s">
        <v>21</v>
      </c>
    </row>
    <row r="426" spans="1:26" hidden="1" x14ac:dyDescent="0.25">
      <c r="A426">
        <f>COUNTIF($P$2:P426,P426)</f>
        <v>55</v>
      </c>
      <c r="B426">
        <f>COUNTIF($A$2:A426,1)</f>
        <v>18</v>
      </c>
      <c r="C426" t="str">
        <f t="shared" si="30"/>
        <v>OCS</v>
      </c>
      <c r="D426" t="str">
        <f t="shared" si="31"/>
        <v>OCSIntegrator</v>
      </c>
      <c r="E426">
        <f>COUNTIF($R$2:R426,R426)</f>
        <v>55</v>
      </c>
      <c r="F426">
        <f>COUNTIF($E$2:E426,1)</f>
        <v>27</v>
      </c>
      <c r="G426" t="str">
        <f t="shared" si="32"/>
        <v>ocs.services.collection</v>
      </c>
      <c r="H426" t="str">
        <f t="shared" si="33"/>
        <v>OCSocs.services.collectionIntegrator</v>
      </c>
      <c r="I426" t="str">
        <f t="shared" si="34"/>
        <v/>
      </c>
      <c r="J426">
        <f>IF(I426="",0,COUNTIF($I$2:I426,I426))</f>
        <v>0</v>
      </c>
      <c r="K426">
        <f>COUNTIF($J$2:J426,1)</f>
        <v>63</v>
      </c>
      <c r="N426">
        <v>60</v>
      </c>
      <c r="O426" t="s">
        <v>23</v>
      </c>
      <c r="P426" t="s">
        <v>171</v>
      </c>
      <c r="Q426" t="s">
        <v>172</v>
      </c>
      <c r="R426" t="s">
        <v>173</v>
      </c>
      <c r="S426" t="s">
        <v>174</v>
      </c>
      <c r="T426" t="s">
        <v>175</v>
      </c>
      <c r="U426" t="s">
        <v>176</v>
      </c>
      <c r="W426" t="s">
        <v>21</v>
      </c>
    </row>
    <row r="427" spans="1:26" hidden="1" x14ac:dyDescent="0.25">
      <c r="A427">
        <f>COUNTIF($P$2:P427,P427)</f>
        <v>56</v>
      </c>
      <c r="B427">
        <f>COUNTIF($A$2:A427,1)</f>
        <v>18</v>
      </c>
      <c r="C427" t="str">
        <f t="shared" si="30"/>
        <v>OCS</v>
      </c>
      <c r="D427" t="str">
        <f t="shared" si="31"/>
        <v>OCSParent</v>
      </c>
      <c r="E427">
        <f>COUNTIF($R$2:R427,R427)</f>
        <v>56</v>
      </c>
      <c r="F427">
        <f>COUNTIF($E$2:E427,1)</f>
        <v>27</v>
      </c>
      <c r="G427" t="str">
        <f t="shared" si="32"/>
        <v>ocs.services.collection</v>
      </c>
      <c r="H427" t="str">
        <f t="shared" si="33"/>
        <v>OCSocs.services.collectionParent</v>
      </c>
      <c r="I427" t="str">
        <f t="shared" si="34"/>
        <v/>
      </c>
      <c r="J427">
        <f>IF(I427="",0,COUNTIF($I$2:I427,I427))</f>
        <v>0</v>
      </c>
      <c r="K427">
        <f>COUNTIF($J$2:J427,1)</f>
        <v>63</v>
      </c>
      <c r="N427">
        <v>1</v>
      </c>
      <c r="O427" t="s">
        <v>15</v>
      </c>
      <c r="P427" t="s">
        <v>171</v>
      </c>
      <c r="Q427" t="s">
        <v>172</v>
      </c>
      <c r="R427" t="s">
        <v>173</v>
      </c>
      <c r="S427" t="s">
        <v>174</v>
      </c>
      <c r="T427" t="s">
        <v>175</v>
      </c>
      <c r="U427" t="s">
        <v>176</v>
      </c>
      <c r="W427" t="s">
        <v>21</v>
      </c>
    </row>
    <row r="428" spans="1:26" hidden="1" x14ac:dyDescent="0.25">
      <c r="A428">
        <f>COUNTIF($P$2:P428,P428)</f>
        <v>57</v>
      </c>
      <c r="B428">
        <f>COUNTIF($A$2:A428,1)</f>
        <v>18</v>
      </c>
      <c r="C428" t="str">
        <f t="shared" si="30"/>
        <v>OCS</v>
      </c>
      <c r="D428" t="str">
        <f t="shared" si="31"/>
        <v>OCSParent</v>
      </c>
      <c r="E428">
        <f>COUNTIF($R$2:R428,R428)</f>
        <v>57</v>
      </c>
      <c r="F428">
        <f>COUNTIF($E$2:E428,1)</f>
        <v>27</v>
      </c>
      <c r="G428" t="str">
        <f t="shared" si="32"/>
        <v>ocs.services.collection</v>
      </c>
      <c r="H428" t="str">
        <f t="shared" si="33"/>
        <v>OCSocs.services.collectionParent</v>
      </c>
      <c r="I428" t="str">
        <f t="shared" si="34"/>
        <v/>
      </c>
      <c r="J428">
        <f>IF(I428="",0,COUNTIF($I$2:I428,I428))</f>
        <v>0</v>
      </c>
      <c r="K428">
        <f>COUNTIF($J$2:J428,1)</f>
        <v>63</v>
      </c>
      <c r="N428">
        <v>265</v>
      </c>
      <c r="O428" t="s">
        <v>15</v>
      </c>
      <c r="P428" t="s">
        <v>171</v>
      </c>
      <c r="Q428" t="s">
        <v>172</v>
      </c>
      <c r="R428" t="s">
        <v>173</v>
      </c>
      <c r="S428" t="s">
        <v>174</v>
      </c>
      <c r="T428" t="s">
        <v>175</v>
      </c>
      <c r="U428" t="s">
        <v>176</v>
      </c>
      <c r="W428" t="s">
        <v>21</v>
      </c>
    </row>
    <row r="429" spans="1:26" hidden="1" x14ac:dyDescent="0.25">
      <c r="A429">
        <f>COUNTIF($P$2:P429,P429)</f>
        <v>58</v>
      </c>
      <c r="B429">
        <f>COUNTIF($A$2:A429,1)</f>
        <v>18</v>
      </c>
      <c r="C429" t="str">
        <f t="shared" si="30"/>
        <v>OCS</v>
      </c>
      <c r="D429" t="str">
        <f t="shared" si="31"/>
        <v>OCSDevice</v>
      </c>
      <c r="E429">
        <f>COUNTIF($R$2:R429,R429)</f>
        <v>58</v>
      </c>
      <c r="F429">
        <f>COUNTIF($E$2:E429,1)</f>
        <v>27</v>
      </c>
      <c r="G429" t="str">
        <f t="shared" si="32"/>
        <v>ocs.services.collection</v>
      </c>
      <c r="H429" t="str">
        <f t="shared" si="33"/>
        <v>OCSocs.services.collectionDevice</v>
      </c>
      <c r="I429" t="str">
        <f t="shared" si="34"/>
        <v/>
      </c>
      <c r="J429">
        <f>IF(I429="",0,COUNTIF($I$2:I429,I429))</f>
        <v>0</v>
      </c>
      <c r="K429">
        <f>COUNTIF($J$2:J429,1)</f>
        <v>63</v>
      </c>
      <c r="N429">
        <v>15</v>
      </c>
      <c r="O429" t="s">
        <v>31</v>
      </c>
      <c r="P429" t="s">
        <v>171</v>
      </c>
      <c r="Q429" t="s">
        <v>172</v>
      </c>
      <c r="R429" t="s">
        <v>173</v>
      </c>
      <c r="S429" t="s">
        <v>174</v>
      </c>
      <c r="T429" t="s">
        <v>175</v>
      </c>
      <c r="U429" t="s">
        <v>176</v>
      </c>
      <c r="W429" t="s">
        <v>21</v>
      </c>
    </row>
    <row r="430" spans="1:26" hidden="1" x14ac:dyDescent="0.25">
      <c r="A430">
        <f>COUNTIF($P$2:P430,P430)</f>
        <v>59</v>
      </c>
      <c r="B430">
        <f>COUNTIF($A$2:A430,1)</f>
        <v>18</v>
      </c>
      <c r="C430" t="str">
        <f t="shared" si="30"/>
        <v>OCS</v>
      </c>
      <c r="D430" t="str">
        <f t="shared" si="31"/>
        <v>OCSPerson</v>
      </c>
      <c r="E430">
        <f>COUNTIF($R$2:R430,R430)</f>
        <v>59</v>
      </c>
      <c r="F430">
        <f>COUNTIF($E$2:E430,1)</f>
        <v>27</v>
      </c>
      <c r="G430" t="str">
        <f t="shared" si="32"/>
        <v>ocs.services.collection</v>
      </c>
      <c r="H430" t="str">
        <f t="shared" si="33"/>
        <v>OCSocs.services.collectionPerson</v>
      </c>
      <c r="I430" t="str">
        <f t="shared" si="34"/>
        <v/>
      </c>
      <c r="J430">
        <f>IF(I430="",0,COUNTIF($I$2:I430,I430))</f>
        <v>0</v>
      </c>
      <c r="K430">
        <f>COUNTIF($J$2:J430,1)</f>
        <v>63</v>
      </c>
      <c r="N430">
        <v>10</v>
      </c>
      <c r="O430" t="s">
        <v>24</v>
      </c>
      <c r="P430" t="s">
        <v>171</v>
      </c>
      <c r="Q430" t="s">
        <v>172</v>
      </c>
      <c r="R430" t="s">
        <v>173</v>
      </c>
      <c r="S430" t="s">
        <v>174</v>
      </c>
      <c r="T430" t="s">
        <v>175</v>
      </c>
      <c r="U430" t="s">
        <v>176</v>
      </c>
      <c r="W430" t="s">
        <v>21</v>
      </c>
    </row>
    <row r="431" spans="1:26" hidden="1" x14ac:dyDescent="0.25">
      <c r="A431">
        <f>COUNTIF($P$2:P431,P431)</f>
        <v>60</v>
      </c>
      <c r="B431">
        <f>COUNTIF($A$2:A431,1)</f>
        <v>18</v>
      </c>
      <c r="C431" t="str">
        <f t="shared" si="30"/>
        <v>OCS</v>
      </c>
      <c r="D431" t="str">
        <f t="shared" si="31"/>
        <v>OCSDevice</v>
      </c>
      <c r="E431">
        <f>COUNTIF($R$2:R431,R431)</f>
        <v>60</v>
      </c>
      <c r="F431">
        <f>COUNTIF($E$2:E431,1)</f>
        <v>27</v>
      </c>
      <c r="G431" t="str">
        <f t="shared" si="32"/>
        <v>ocs.services.collection</v>
      </c>
      <c r="H431" t="str">
        <f t="shared" si="33"/>
        <v>OCSocs.services.collectionDevice</v>
      </c>
      <c r="I431" t="str">
        <f t="shared" si="34"/>
        <v/>
      </c>
      <c r="J431">
        <f>IF(I431="",0,COUNTIF($I$2:I431,I431))</f>
        <v>0</v>
      </c>
      <c r="K431">
        <f>COUNTIF($J$2:J431,1)</f>
        <v>63</v>
      </c>
      <c r="N431">
        <v>40</v>
      </c>
      <c r="O431" t="s">
        <v>31</v>
      </c>
      <c r="P431" t="s">
        <v>171</v>
      </c>
      <c r="Q431" t="s">
        <v>172</v>
      </c>
      <c r="R431" t="s">
        <v>173</v>
      </c>
      <c r="S431" t="s">
        <v>174</v>
      </c>
      <c r="T431" t="s">
        <v>175</v>
      </c>
      <c r="U431" t="s">
        <v>176</v>
      </c>
      <c r="W431" t="s">
        <v>22</v>
      </c>
    </row>
    <row r="432" spans="1:26" hidden="1" x14ac:dyDescent="0.25">
      <c r="A432">
        <f>COUNTIF($P$2:P432,P432)</f>
        <v>61</v>
      </c>
      <c r="B432">
        <f>COUNTIF($A$2:A432,1)</f>
        <v>18</v>
      </c>
      <c r="C432" t="str">
        <f t="shared" si="30"/>
        <v>OCS</v>
      </c>
      <c r="D432" t="str">
        <f t="shared" si="31"/>
        <v>OCSDevice</v>
      </c>
      <c r="E432">
        <f>COUNTIF($R$2:R432,R432)</f>
        <v>1</v>
      </c>
      <c r="F432">
        <f>COUNTIF($E$2:E432,1)</f>
        <v>28</v>
      </c>
      <c r="G432" t="str">
        <f t="shared" si="32"/>
        <v>ocs.services.debitorder</v>
      </c>
      <c r="H432" t="str">
        <f t="shared" si="33"/>
        <v>OCSocs.services.debitorderDevice</v>
      </c>
      <c r="I432" t="str">
        <f t="shared" si="34"/>
        <v>OCSocs.services.debitorderapp.mandate.creation.enabled</v>
      </c>
      <c r="J432">
        <f>IF(I432="",0,COUNTIF($I$2:I432,I432))</f>
        <v>1</v>
      </c>
      <c r="K432">
        <f>COUNTIF($J$2:J432,1)</f>
        <v>64</v>
      </c>
      <c r="N432">
        <v>20</v>
      </c>
      <c r="O432" t="s">
        <v>31</v>
      </c>
      <c r="P432" t="s">
        <v>171</v>
      </c>
      <c r="Q432" t="s">
        <v>172</v>
      </c>
      <c r="R432" t="s">
        <v>200</v>
      </c>
      <c r="S432" t="s">
        <v>201</v>
      </c>
      <c r="T432" t="s">
        <v>202</v>
      </c>
      <c r="U432" t="s">
        <v>203</v>
      </c>
      <c r="V432" t="s">
        <v>177</v>
      </c>
      <c r="W432" t="s">
        <v>21</v>
      </c>
      <c r="X432" t="s">
        <v>21</v>
      </c>
      <c r="Y432" t="b">
        <v>1</v>
      </c>
      <c r="Z432">
        <v>4184</v>
      </c>
    </row>
    <row r="433" spans="1:26" hidden="1" x14ac:dyDescent="0.25">
      <c r="A433">
        <f>COUNTIF($P$2:P433,P433)</f>
        <v>62</v>
      </c>
      <c r="B433">
        <f>COUNTIF($A$2:A433,1)</f>
        <v>18</v>
      </c>
      <c r="C433" t="str">
        <f t="shared" si="30"/>
        <v>OCS</v>
      </c>
      <c r="D433" t="str">
        <f t="shared" si="31"/>
        <v>OCSParent</v>
      </c>
      <c r="E433">
        <f>COUNTIF($R$2:R433,R433)</f>
        <v>2</v>
      </c>
      <c r="F433">
        <f>COUNTIF($E$2:E433,1)</f>
        <v>28</v>
      </c>
      <c r="G433" t="str">
        <f t="shared" si="32"/>
        <v>ocs.services.debitorder</v>
      </c>
      <c r="H433" t="str">
        <f t="shared" si="33"/>
        <v>OCSocs.services.debitorderParent</v>
      </c>
      <c r="I433" t="str">
        <f t="shared" si="34"/>
        <v>OCSocs.services.debitorderapp.mandate.creation.enabled</v>
      </c>
      <c r="J433">
        <f>IF(I433="",0,COUNTIF($I$2:I433,I433))</f>
        <v>2</v>
      </c>
      <c r="K433">
        <f>COUNTIF($J$2:J433,1)</f>
        <v>64</v>
      </c>
      <c r="N433">
        <v>4</v>
      </c>
      <c r="O433" t="s">
        <v>15</v>
      </c>
      <c r="P433" t="s">
        <v>171</v>
      </c>
      <c r="Q433" t="s">
        <v>172</v>
      </c>
      <c r="R433" t="s">
        <v>200</v>
      </c>
      <c r="S433" t="s">
        <v>201</v>
      </c>
      <c r="T433" t="s">
        <v>202</v>
      </c>
      <c r="U433" t="s">
        <v>203</v>
      </c>
      <c r="V433" t="s">
        <v>177</v>
      </c>
      <c r="W433" t="s">
        <v>21</v>
      </c>
      <c r="X433" t="s">
        <v>21</v>
      </c>
      <c r="Y433" t="b">
        <v>1</v>
      </c>
      <c r="Z433">
        <v>4184</v>
      </c>
    </row>
    <row r="434" spans="1:26" hidden="1" x14ac:dyDescent="0.25">
      <c r="A434">
        <f>COUNTIF($P$2:P434,P434)</f>
        <v>63</v>
      </c>
      <c r="B434">
        <f>COUNTIF($A$2:A434,1)</f>
        <v>18</v>
      </c>
      <c r="C434" t="str">
        <f t="shared" si="30"/>
        <v>OCS</v>
      </c>
      <c r="D434" t="str">
        <f t="shared" si="31"/>
        <v>OCSParent</v>
      </c>
      <c r="E434">
        <f>COUNTIF($R$2:R434,R434)</f>
        <v>3</v>
      </c>
      <c r="F434">
        <f>COUNTIF($E$2:E434,1)</f>
        <v>28</v>
      </c>
      <c r="G434" t="str">
        <f t="shared" si="32"/>
        <v>ocs.services.debitorder</v>
      </c>
      <c r="H434" t="str">
        <f t="shared" si="33"/>
        <v>OCSocs.services.debitorderParent</v>
      </c>
      <c r="I434" t="str">
        <f t="shared" si="34"/>
        <v>OCSocs.services.debitorderapp.mandate.creation.enabled</v>
      </c>
      <c r="J434">
        <f>IF(I434="",0,COUNTIF($I$2:I434,I434))</f>
        <v>3</v>
      </c>
      <c r="K434">
        <f>COUNTIF($J$2:J434,1)</f>
        <v>64</v>
      </c>
      <c r="N434">
        <v>1</v>
      </c>
      <c r="O434" t="s">
        <v>15</v>
      </c>
      <c r="P434" t="s">
        <v>171</v>
      </c>
      <c r="Q434" t="s">
        <v>172</v>
      </c>
      <c r="R434" t="s">
        <v>200</v>
      </c>
      <c r="S434" t="s">
        <v>201</v>
      </c>
      <c r="T434" t="s">
        <v>202</v>
      </c>
      <c r="U434" t="s">
        <v>203</v>
      </c>
      <c r="V434" t="s">
        <v>177</v>
      </c>
      <c r="W434" t="s">
        <v>21</v>
      </c>
      <c r="X434" t="s">
        <v>21</v>
      </c>
      <c r="Y434" t="b">
        <v>1</v>
      </c>
      <c r="Z434">
        <v>4184</v>
      </c>
    </row>
    <row r="435" spans="1:26" hidden="1" x14ac:dyDescent="0.25">
      <c r="A435">
        <f>COUNTIF($P$2:P435,P435)</f>
        <v>64</v>
      </c>
      <c r="B435">
        <f>COUNTIF($A$2:A435,1)</f>
        <v>18</v>
      </c>
      <c r="C435" t="str">
        <f t="shared" si="30"/>
        <v>OCS</v>
      </c>
      <c r="D435" t="str">
        <f t="shared" si="31"/>
        <v>OCSDevice</v>
      </c>
      <c r="E435">
        <f>COUNTIF($R$2:R435,R435)</f>
        <v>4</v>
      </c>
      <c r="F435">
        <f>COUNTIF($E$2:E435,1)</f>
        <v>28</v>
      </c>
      <c r="G435" t="str">
        <f t="shared" si="32"/>
        <v>ocs.services.debitorder</v>
      </c>
      <c r="H435" t="str">
        <f t="shared" si="33"/>
        <v>OCSocs.services.debitorderDevice</v>
      </c>
      <c r="I435" t="str">
        <f t="shared" si="34"/>
        <v>OCSocs.services.debitorderapp.transaction.history.enabled</v>
      </c>
      <c r="J435">
        <f>IF(I435="",0,COUNTIF($I$2:I435,I435))</f>
        <v>1</v>
      </c>
      <c r="K435">
        <f>COUNTIF($J$2:J435,1)</f>
        <v>65</v>
      </c>
      <c r="N435">
        <v>7</v>
      </c>
      <c r="O435" t="s">
        <v>31</v>
      </c>
      <c r="P435" t="s">
        <v>171</v>
      </c>
      <c r="Q435" t="s">
        <v>172</v>
      </c>
      <c r="R435" t="s">
        <v>200</v>
      </c>
      <c r="S435" t="s">
        <v>201</v>
      </c>
      <c r="T435" t="s">
        <v>202</v>
      </c>
      <c r="U435" t="s">
        <v>203</v>
      </c>
      <c r="V435" t="s">
        <v>178</v>
      </c>
      <c r="W435" t="s">
        <v>21</v>
      </c>
      <c r="X435" t="s">
        <v>21</v>
      </c>
      <c r="Y435" t="b">
        <v>1</v>
      </c>
      <c r="Z435">
        <v>4185</v>
      </c>
    </row>
    <row r="436" spans="1:26" hidden="1" x14ac:dyDescent="0.25">
      <c r="A436">
        <f>COUNTIF($P$2:P436,P436)</f>
        <v>65</v>
      </c>
      <c r="B436">
        <f>COUNTIF($A$2:A436,1)</f>
        <v>18</v>
      </c>
      <c r="C436" t="str">
        <f t="shared" si="30"/>
        <v>OCS</v>
      </c>
      <c r="D436" t="str">
        <f t="shared" si="31"/>
        <v>OCSIntegrator</v>
      </c>
      <c r="E436">
        <f>COUNTIF($R$2:R436,R436)</f>
        <v>5</v>
      </c>
      <c r="F436">
        <f>COUNTIF($E$2:E436,1)</f>
        <v>28</v>
      </c>
      <c r="G436" t="str">
        <f t="shared" si="32"/>
        <v>ocs.services.debitorder</v>
      </c>
      <c r="H436" t="str">
        <f t="shared" si="33"/>
        <v>OCSocs.services.debitorderIntegrator</v>
      </c>
      <c r="I436" t="str">
        <f t="shared" si="34"/>
        <v>OCSocs.services.debitorderexternal.status.webhook.url</v>
      </c>
      <c r="J436">
        <f>IF(I436="",0,COUNTIF($I$2:I436,I436))</f>
        <v>1</v>
      </c>
      <c r="K436">
        <f>COUNTIF($J$2:J436,1)</f>
        <v>66</v>
      </c>
      <c r="N436">
        <v>1</v>
      </c>
      <c r="O436" t="s">
        <v>23</v>
      </c>
      <c r="P436" t="s">
        <v>171</v>
      </c>
      <c r="Q436" t="s">
        <v>172</v>
      </c>
      <c r="R436" t="s">
        <v>200</v>
      </c>
      <c r="S436" t="s">
        <v>201</v>
      </c>
      <c r="T436" t="s">
        <v>202</v>
      </c>
      <c r="U436" t="s">
        <v>203</v>
      </c>
      <c r="V436" t="s">
        <v>179</v>
      </c>
      <c r="W436" t="s">
        <v>21</v>
      </c>
      <c r="X436" t="s">
        <v>21</v>
      </c>
      <c r="Y436" t="s">
        <v>180</v>
      </c>
      <c r="Z436">
        <v>5016</v>
      </c>
    </row>
    <row r="437" spans="1:26" hidden="1" x14ac:dyDescent="0.25">
      <c r="A437">
        <f>COUNTIF($P$2:P437,P437)</f>
        <v>66</v>
      </c>
      <c r="B437">
        <f>COUNTIF($A$2:A437,1)</f>
        <v>18</v>
      </c>
      <c r="C437" t="str">
        <f t="shared" si="30"/>
        <v>OCS</v>
      </c>
      <c r="D437" t="str">
        <f t="shared" si="31"/>
        <v>OCSDevice</v>
      </c>
      <c r="E437">
        <f>COUNTIF($R$2:R437,R437)</f>
        <v>6</v>
      </c>
      <c r="F437">
        <f>COUNTIF($E$2:E437,1)</f>
        <v>28</v>
      </c>
      <c r="G437" t="str">
        <f t="shared" si="32"/>
        <v>ocs.services.debitorder</v>
      </c>
      <c r="H437" t="str">
        <f t="shared" si="33"/>
        <v>OCSocs.services.debitorderDevice</v>
      </c>
      <c r="I437" t="str">
        <f t="shared" si="34"/>
        <v>OCSocs.services.debitorderexternal.status.webhook.url</v>
      </c>
      <c r="J437">
        <f>IF(I437="",0,COUNTIF($I$2:I437,I437))</f>
        <v>2</v>
      </c>
      <c r="K437">
        <f>COUNTIF($J$2:J437,1)</f>
        <v>66</v>
      </c>
      <c r="N437">
        <v>17</v>
      </c>
      <c r="O437" t="s">
        <v>31</v>
      </c>
      <c r="P437" t="s">
        <v>171</v>
      </c>
      <c r="Q437" t="s">
        <v>172</v>
      </c>
      <c r="R437" t="s">
        <v>200</v>
      </c>
      <c r="S437" t="s">
        <v>201</v>
      </c>
      <c r="T437" t="s">
        <v>202</v>
      </c>
      <c r="U437" t="s">
        <v>203</v>
      </c>
      <c r="V437" t="s">
        <v>179</v>
      </c>
      <c r="W437" t="s">
        <v>21</v>
      </c>
      <c r="X437" t="s">
        <v>21</v>
      </c>
      <c r="Y437" t="s">
        <v>180</v>
      </c>
      <c r="Z437">
        <v>5016</v>
      </c>
    </row>
    <row r="438" spans="1:26" hidden="1" x14ac:dyDescent="0.25">
      <c r="A438">
        <f>COUNTIF($P$2:P438,P438)</f>
        <v>67</v>
      </c>
      <c r="B438">
        <f>COUNTIF($A$2:A438,1)</f>
        <v>18</v>
      </c>
      <c r="C438" t="str">
        <f t="shared" si="30"/>
        <v>OCS</v>
      </c>
      <c r="D438" t="str">
        <f t="shared" si="31"/>
        <v>OCSParent</v>
      </c>
      <c r="E438">
        <f>COUNTIF($R$2:R438,R438)</f>
        <v>7</v>
      </c>
      <c r="F438">
        <f>COUNTIF($E$2:E438,1)</f>
        <v>28</v>
      </c>
      <c r="G438" t="str">
        <f t="shared" si="32"/>
        <v>ocs.services.debitorder</v>
      </c>
      <c r="H438" t="str">
        <f t="shared" si="33"/>
        <v>OCSocs.services.debitorderParent</v>
      </c>
      <c r="I438" t="str">
        <f t="shared" si="34"/>
        <v>OCSocs.services.debitorderexternal.status.webhook.url</v>
      </c>
      <c r="J438">
        <f>IF(I438="",0,COUNTIF($I$2:I438,I438))</f>
        <v>3</v>
      </c>
      <c r="K438">
        <f>COUNTIF($J$2:J438,1)</f>
        <v>66</v>
      </c>
      <c r="N438">
        <v>5</v>
      </c>
      <c r="O438" t="s">
        <v>15</v>
      </c>
      <c r="P438" t="s">
        <v>171</v>
      </c>
      <c r="Q438" t="s">
        <v>172</v>
      </c>
      <c r="R438" t="s">
        <v>200</v>
      </c>
      <c r="S438" t="s">
        <v>201</v>
      </c>
      <c r="T438" t="s">
        <v>202</v>
      </c>
      <c r="U438" t="s">
        <v>203</v>
      </c>
      <c r="V438" t="s">
        <v>179</v>
      </c>
      <c r="W438" t="s">
        <v>21</v>
      </c>
      <c r="X438" t="s">
        <v>21</v>
      </c>
      <c r="Y438" t="s">
        <v>180</v>
      </c>
      <c r="Z438">
        <v>5016</v>
      </c>
    </row>
    <row r="439" spans="1:26" hidden="1" x14ac:dyDescent="0.25">
      <c r="A439">
        <f>COUNTIF($P$2:P439,P439)</f>
        <v>68</v>
      </c>
      <c r="B439">
        <f>COUNTIF($A$2:A439,1)</f>
        <v>18</v>
      </c>
      <c r="C439" t="str">
        <f t="shared" si="30"/>
        <v>OCS</v>
      </c>
      <c r="D439" t="str">
        <f t="shared" si="31"/>
        <v>OCSParent</v>
      </c>
      <c r="E439">
        <f>COUNTIF($R$2:R439,R439)</f>
        <v>8</v>
      </c>
      <c r="F439">
        <f>COUNTIF($E$2:E439,1)</f>
        <v>28</v>
      </c>
      <c r="G439" t="str">
        <f t="shared" si="32"/>
        <v>ocs.services.debitorder</v>
      </c>
      <c r="H439" t="str">
        <f t="shared" si="33"/>
        <v>OCSocs.services.debitorderParent</v>
      </c>
      <c r="I439" t="str">
        <f t="shared" si="34"/>
        <v>OCSocs.services.debitorderocs.df.scheme</v>
      </c>
      <c r="J439">
        <f>IF(I439="",0,COUNTIF($I$2:I439,I439))</f>
        <v>1</v>
      </c>
      <c r="K439">
        <f>COUNTIF($J$2:J439,1)</f>
        <v>67</v>
      </c>
      <c r="N439">
        <v>90</v>
      </c>
      <c r="O439" t="s">
        <v>15</v>
      </c>
      <c r="P439" t="s">
        <v>171</v>
      </c>
      <c r="Q439" t="s">
        <v>172</v>
      </c>
      <c r="R439" t="s">
        <v>200</v>
      </c>
      <c r="S439" t="s">
        <v>201</v>
      </c>
      <c r="T439" t="s">
        <v>202</v>
      </c>
      <c r="U439" t="s">
        <v>203</v>
      </c>
      <c r="V439" t="s">
        <v>181</v>
      </c>
      <c r="W439" t="s">
        <v>21</v>
      </c>
      <c r="X439" t="s">
        <v>21</v>
      </c>
      <c r="Y439" t="s">
        <v>182</v>
      </c>
      <c r="Z439">
        <v>5055</v>
      </c>
    </row>
    <row r="440" spans="1:26" hidden="1" x14ac:dyDescent="0.25">
      <c r="A440">
        <f>COUNTIF($P$2:P440,P440)</f>
        <v>69</v>
      </c>
      <c r="B440">
        <f>COUNTIF($A$2:A440,1)</f>
        <v>18</v>
      </c>
      <c r="C440" t="str">
        <f t="shared" si="30"/>
        <v>OCS</v>
      </c>
      <c r="D440" t="str">
        <f t="shared" si="31"/>
        <v>OCSIntegrator</v>
      </c>
      <c r="E440">
        <f>COUNTIF($R$2:R440,R440)</f>
        <v>9</v>
      </c>
      <c r="F440">
        <f>COUNTIF($E$2:E440,1)</f>
        <v>28</v>
      </c>
      <c r="G440" t="str">
        <f t="shared" si="32"/>
        <v>ocs.services.debitorder</v>
      </c>
      <c r="H440" t="str">
        <f t="shared" si="33"/>
        <v>OCSocs.services.debitorderIntegrator</v>
      </c>
      <c r="I440" t="str">
        <f t="shared" si="34"/>
        <v>OCSocs.services.debitorderocs.df.scheme</v>
      </c>
      <c r="J440">
        <f>IF(I440="",0,COUNTIF($I$2:I440,I440))</f>
        <v>2</v>
      </c>
      <c r="K440">
        <f>COUNTIF($J$2:J440,1)</f>
        <v>67</v>
      </c>
      <c r="N440">
        <v>23</v>
      </c>
      <c r="O440" t="s">
        <v>23</v>
      </c>
      <c r="P440" t="s">
        <v>171</v>
      </c>
      <c r="Q440" t="s">
        <v>172</v>
      </c>
      <c r="R440" t="s">
        <v>200</v>
      </c>
      <c r="S440" t="s">
        <v>201</v>
      </c>
      <c r="T440" t="s">
        <v>202</v>
      </c>
      <c r="U440" t="s">
        <v>203</v>
      </c>
      <c r="V440" t="s">
        <v>181</v>
      </c>
      <c r="W440" t="s">
        <v>21</v>
      </c>
      <c r="X440" t="s">
        <v>21</v>
      </c>
      <c r="Y440" t="s">
        <v>182</v>
      </c>
      <c r="Z440">
        <v>5055</v>
      </c>
    </row>
    <row r="441" spans="1:26" hidden="1" x14ac:dyDescent="0.25">
      <c r="A441">
        <f>COUNTIF($P$2:P441,P441)</f>
        <v>70</v>
      </c>
      <c r="B441">
        <f>COUNTIF($A$2:A441,1)</f>
        <v>18</v>
      </c>
      <c r="C441" t="str">
        <f t="shared" si="30"/>
        <v>OCS</v>
      </c>
      <c r="D441" t="str">
        <f t="shared" si="31"/>
        <v>OCSPerson</v>
      </c>
      <c r="E441">
        <f>COUNTIF($R$2:R441,R441)</f>
        <v>10</v>
      </c>
      <c r="F441">
        <f>COUNTIF($E$2:E441,1)</f>
        <v>28</v>
      </c>
      <c r="G441" t="str">
        <f t="shared" si="32"/>
        <v>ocs.services.debitorder</v>
      </c>
      <c r="H441" t="str">
        <f t="shared" si="33"/>
        <v>OCSocs.services.debitorderPerson</v>
      </c>
      <c r="I441" t="str">
        <f t="shared" si="34"/>
        <v>OCSocs.services.debitorderocs.df.scheme</v>
      </c>
      <c r="J441">
        <f>IF(I441="",0,COUNTIF($I$2:I441,I441))</f>
        <v>3</v>
      </c>
      <c r="K441">
        <f>COUNTIF($J$2:J441,1)</f>
        <v>67</v>
      </c>
      <c r="N441">
        <v>11</v>
      </c>
      <c r="O441" t="s">
        <v>24</v>
      </c>
      <c r="P441" t="s">
        <v>171</v>
      </c>
      <c r="Q441" t="s">
        <v>172</v>
      </c>
      <c r="R441" t="s">
        <v>200</v>
      </c>
      <c r="S441" t="s">
        <v>201</v>
      </c>
      <c r="T441" t="s">
        <v>202</v>
      </c>
      <c r="U441" t="s">
        <v>203</v>
      </c>
      <c r="V441" t="s">
        <v>181</v>
      </c>
      <c r="W441" t="s">
        <v>21</v>
      </c>
      <c r="X441" t="s">
        <v>21</v>
      </c>
      <c r="Y441" t="s">
        <v>182</v>
      </c>
      <c r="Z441">
        <v>5055</v>
      </c>
    </row>
    <row r="442" spans="1:26" hidden="1" x14ac:dyDescent="0.25">
      <c r="A442">
        <f>COUNTIF($P$2:P442,P442)</f>
        <v>71</v>
      </c>
      <c r="B442">
        <f>COUNTIF($A$2:A442,1)</f>
        <v>18</v>
      </c>
      <c r="C442" t="str">
        <f t="shared" si="30"/>
        <v>OCS</v>
      </c>
      <c r="D442" t="str">
        <f t="shared" si="31"/>
        <v>OCSParent</v>
      </c>
      <c r="E442">
        <f>COUNTIF($R$2:R442,R442)</f>
        <v>11</v>
      </c>
      <c r="F442">
        <f>COUNTIF($E$2:E442,1)</f>
        <v>28</v>
      </c>
      <c r="G442" t="str">
        <f t="shared" si="32"/>
        <v>ocs.services.debitorder</v>
      </c>
      <c r="H442" t="str">
        <f t="shared" si="33"/>
        <v>OCSocs.services.debitorderParent</v>
      </c>
      <c r="I442" t="str">
        <f t="shared" si="34"/>
        <v>OCSocs.services.debitorderocs.easy.loan.webhook.url</v>
      </c>
      <c r="J442">
        <f>IF(I442="",0,COUNTIF($I$2:I442,I442))</f>
        <v>1</v>
      </c>
      <c r="K442">
        <f>COUNTIF($J$2:J442,1)</f>
        <v>68</v>
      </c>
      <c r="N442">
        <v>1</v>
      </c>
      <c r="O442" t="s">
        <v>15</v>
      </c>
      <c r="P442" t="s">
        <v>171</v>
      </c>
      <c r="Q442" t="s">
        <v>172</v>
      </c>
      <c r="R442" t="s">
        <v>200</v>
      </c>
      <c r="S442" t="s">
        <v>201</v>
      </c>
      <c r="T442" t="s">
        <v>202</v>
      </c>
      <c r="U442" t="s">
        <v>203</v>
      </c>
      <c r="V442" t="s">
        <v>183</v>
      </c>
      <c r="W442" t="s">
        <v>22</v>
      </c>
      <c r="X442" t="s">
        <v>22</v>
      </c>
      <c r="Y442" t="s">
        <v>184</v>
      </c>
      <c r="Z442">
        <v>1911</v>
      </c>
    </row>
    <row r="443" spans="1:26" hidden="1" x14ac:dyDescent="0.25">
      <c r="A443">
        <f>COUNTIF($P$2:P443,P443)</f>
        <v>72</v>
      </c>
      <c r="B443">
        <f>COUNTIF($A$2:A443,1)</f>
        <v>18</v>
      </c>
      <c r="C443" t="str">
        <f t="shared" si="30"/>
        <v>OCS</v>
      </c>
      <c r="D443" t="str">
        <f t="shared" si="31"/>
        <v>OCSIntegrator</v>
      </c>
      <c r="E443">
        <f>COUNTIF($R$2:R443,R443)</f>
        <v>12</v>
      </c>
      <c r="F443">
        <f>COUNTIF($E$2:E443,1)</f>
        <v>28</v>
      </c>
      <c r="G443" t="str">
        <f t="shared" si="32"/>
        <v>ocs.services.debitorder</v>
      </c>
      <c r="H443" t="str">
        <f t="shared" si="33"/>
        <v>OCSocs.services.debitorderIntegrator</v>
      </c>
      <c r="I443" t="str">
        <f t="shared" si="34"/>
        <v>OCSocs.services.debitorderocs.easy.loan.webhook.url</v>
      </c>
      <c r="J443">
        <f>IF(I443="",0,COUNTIF($I$2:I443,I443))</f>
        <v>2</v>
      </c>
      <c r="K443">
        <f>COUNTIF($J$2:J443,1)</f>
        <v>68</v>
      </c>
      <c r="N443">
        <v>9</v>
      </c>
      <c r="O443" t="s">
        <v>23</v>
      </c>
      <c r="P443" t="s">
        <v>171</v>
      </c>
      <c r="Q443" t="s">
        <v>172</v>
      </c>
      <c r="R443" t="s">
        <v>200</v>
      </c>
      <c r="S443" t="s">
        <v>201</v>
      </c>
      <c r="T443" t="s">
        <v>202</v>
      </c>
      <c r="U443" t="s">
        <v>203</v>
      </c>
      <c r="V443" t="s">
        <v>183</v>
      </c>
      <c r="W443" t="s">
        <v>22</v>
      </c>
      <c r="X443" t="s">
        <v>22</v>
      </c>
      <c r="Y443" t="s">
        <v>184</v>
      </c>
      <c r="Z443">
        <v>1911</v>
      </c>
    </row>
    <row r="444" spans="1:26" hidden="1" x14ac:dyDescent="0.25">
      <c r="A444">
        <f>COUNTIF($P$2:P444,P444)</f>
        <v>73</v>
      </c>
      <c r="B444">
        <f>COUNTIF($A$2:A444,1)</f>
        <v>18</v>
      </c>
      <c r="C444" t="str">
        <f t="shared" si="30"/>
        <v>OCS</v>
      </c>
      <c r="D444" t="str">
        <f t="shared" si="31"/>
        <v>OCSParent</v>
      </c>
      <c r="E444">
        <f>COUNTIF($R$2:R444,R444)</f>
        <v>13</v>
      </c>
      <c r="F444">
        <f>COUNTIF($E$2:E444,1)</f>
        <v>28</v>
      </c>
      <c r="G444" t="str">
        <f t="shared" si="32"/>
        <v>ocs.services.debitorder</v>
      </c>
      <c r="H444" t="str">
        <f t="shared" si="33"/>
        <v>OCSocs.services.debitorderParent</v>
      </c>
      <c r="I444" t="str">
        <f t="shared" si="34"/>
        <v>OCSocs.services.debitorderocs.ed.do.gc</v>
      </c>
      <c r="J444">
        <f>IF(I444="",0,COUNTIF($I$2:I444,I444))</f>
        <v>1</v>
      </c>
      <c r="K444">
        <f>COUNTIF($J$2:J444,1)</f>
        <v>69</v>
      </c>
      <c r="N444">
        <v>30</v>
      </c>
      <c r="O444" t="s">
        <v>15</v>
      </c>
      <c r="P444" t="s">
        <v>171</v>
      </c>
      <c r="Q444" t="s">
        <v>172</v>
      </c>
      <c r="R444" t="s">
        <v>200</v>
      </c>
      <c r="S444" t="s">
        <v>201</v>
      </c>
      <c r="T444" t="s">
        <v>202</v>
      </c>
      <c r="U444" t="s">
        <v>203</v>
      </c>
      <c r="V444" t="s">
        <v>185</v>
      </c>
      <c r="W444" t="s">
        <v>21</v>
      </c>
      <c r="X444" t="s">
        <v>21</v>
      </c>
      <c r="Y444" t="s">
        <v>186</v>
      </c>
      <c r="Z444">
        <v>5003</v>
      </c>
    </row>
    <row r="445" spans="1:26" hidden="1" x14ac:dyDescent="0.25">
      <c r="A445">
        <f>COUNTIF($P$2:P445,P445)</f>
        <v>74</v>
      </c>
      <c r="B445">
        <f>COUNTIF($A$2:A445,1)</f>
        <v>18</v>
      </c>
      <c r="C445" t="str">
        <f t="shared" si="30"/>
        <v>OCS</v>
      </c>
      <c r="D445" t="str">
        <f t="shared" si="31"/>
        <v>OCSIntegrator</v>
      </c>
      <c r="E445">
        <f>COUNTIF($R$2:R445,R445)</f>
        <v>14</v>
      </c>
      <c r="F445">
        <f>COUNTIF($E$2:E445,1)</f>
        <v>28</v>
      </c>
      <c r="G445" t="str">
        <f t="shared" si="32"/>
        <v>ocs.services.debitorder</v>
      </c>
      <c r="H445" t="str">
        <f t="shared" si="33"/>
        <v>OCSocs.services.debitorderIntegrator</v>
      </c>
      <c r="I445" t="str">
        <f t="shared" si="34"/>
        <v>OCSocs.services.debitorderocs.ed.do.gc</v>
      </c>
      <c r="J445">
        <f>IF(I445="",0,COUNTIF($I$2:I445,I445))</f>
        <v>2</v>
      </c>
      <c r="K445">
        <f>COUNTIF($J$2:J445,1)</f>
        <v>69</v>
      </c>
      <c r="N445">
        <v>7</v>
      </c>
      <c r="O445" t="s">
        <v>23</v>
      </c>
      <c r="P445" t="s">
        <v>171</v>
      </c>
      <c r="Q445" t="s">
        <v>172</v>
      </c>
      <c r="R445" t="s">
        <v>200</v>
      </c>
      <c r="S445" t="s">
        <v>201</v>
      </c>
      <c r="T445" t="s">
        <v>202</v>
      </c>
      <c r="U445" t="s">
        <v>203</v>
      </c>
      <c r="V445" t="s">
        <v>185</v>
      </c>
      <c r="W445" t="s">
        <v>21</v>
      </c>
      <c r="X445" t="s">
        <v>21</v>
      </c>
      <c r="Y445" t="s">
        <v>186</v>
      </c>
      <c r="Z445">
        <v>5003</v>
      </c>
    </row>
    <row r="446" spans="1:26" hidden="1" x14ac:dyDescent="0.25">
      <c r="A446">
        <f>COUNTIF($P$2:P446,P446)</f>
        <v>75</v>
      </c>
      <c r="B446">
        <f>COUNTIF($A$2:A446,1)</f>
        <v>18</v>
      </c>
      <c r="C446" t="str">
        <f t="shared" si="30"/>
        <v>OCS</v>
      </c>
      <c r="D446" t="str">
        <f t="shared" si="31"/>
        <v>OCSIntegrator</v>
      </c>
      <c r="E446">
        <f>COUNTIF($R$2:R446,R446)</f>
        <v>15</v>
      </c>
      <c r="F446">
        <f>COUNTIF($E$2:E446,1)</f>
        <v>28</v>
      </c>
      <c r="G446" t="str">
        <f t="shared" si="32"/>
        <v>ocs.services.debitorder</v>
      </c>
      <c r="H446" t="str">
        <f t="shared" si="33"/>
        <v>OCSocs.services.debitorderIntegrator</v>
      </c>
      <c r="I446" t="str">
        <f t="shared" si="34"/>
        <v>OCSocs.services.debitorderocs.ed.do.sc.gc.map</v>
      </c>
      <c r="J446">
        <f>IF(I446="",0,COUNTIF($I$2:I446,I446))</f>
        <v>1</v>
      </c>
      <c r="K446">
        <f>COUNTIF($J$2:J446,1)</f>
        <v>70</v>
      </c>
      <c r="N446">
        <v>7</v>
      </c>
      <c r="O446" t="s">
        <v>23</v>
      </c>
      <c r="P446" t="s">
        <v>171</v>
      </c>
      <c r="Q446" t="s">
        <v>172</v>
      </c>
      <c r="R446" t="s">
        <v>200</v>
      </c>
      <c r="S446" t="s">
        <v>201</v>
      </c>
      <c r="T446" t="s">
        <v>202</v>
      </c>
      <c r="U446" t="s">
        <v>203</v>
      </c>
      <c r="V446" t="s">
        <v>187</v>
      </c>
      <c r="W446" t="s">
        <v>21</v>
      </c>
      <c r="X446" t="s">
        <v>21</v>
      </c>
      <c r="Y446" t="s">
        <v>188</v>
      </c>
      <c r="Z446">
        <v>5011</v>
      </c>
    </row>
    <row r="447" spans="1:26" hidden="1" x14ac:dyDescent="0.25">
      <c r="A447">
        <f>COUNTIF($P$2:P447,P447)</f>
        <v>76</v>
      </c>
      <c r="B447">
        <f>COUNTIF($A$2:A447,1)</f>
        <v>18</v>
      </c>
      <c r="C447" t="str">
        <f t="shared" si="30"/>
        <v>OCS</v>
      </c>
      <c r="D447" t="str">
        <f t="shared" si="31"/>
        <v>OCSParent</v>
      </c>
      <c r="E447">
        <f>COUNTIF($R$2:R447,R447)</f>
        <v>16</v>
      </c>
      <c r="F447">
        <f>COUNTIF($E$2:E447,1)</f>
        <v>28</v>
      </c>
      <c r="G447" t="str">
        <f t="shared" si="32"/>
        <v>ocs.services.debitorder</v>
      </c>
      <c r="H447" t="str">
        <f t="shared" si="33"/>
        <v>OCSocs.services.debitorderParent</v>
      </c>
      <c r="I447" t="str">
        <f t="shared" si="34"/>
        <v>OCSocs.services.debitorderocs.ed.do.sc.gc.map</v>
      </c>
      <c r="J447">
        <f>IF(I447="",0,COUNTIF($I$2:I447,I447))</f>
        <v>2</v>
      </c>
      <c r="K447">
        <f>COUNTIF($J$2:J447,1)</f>
        <v>70</v>
      </c>
      <c r="N447">
        <v>33</v>
      </c>
      <c r="O447" t="s">
        <v>15</v>
      </c>
      <c r="P447" t="s">
        <v>171</v>
      </c>
      <c r="Q447" t="s">
        <v>172</v>
      </c>
      <c r="R447" t="s">
        <v>200</v>
      </c>
      <c r="S447" t="s">
        <v>201</v>
      </c>
      <c r="T447" t="s">
        <v>202</v>
      </c>
      <c r="U447" t="s">
        <v>203</v>
      </c>
      <c r="V447" t="s">
        <v>187</v>
      </c>
      <c r="W447" t="s">
        <v>21</v>
      </c>
      <c r="X447" t="s">
        <v>21</v>
      </c>
      <c r="Y447" t="s">
        <v>188</v>
      </c>
      <c r="Z447">
        <v>5011</v>
      </c>
    </row>
    <row r="448" spans="1:26" x14ac:dyDescent="0.25">
      <c r="A448">
        <f>COUNTIF($P$2:P448,P448)</f>
        <v>77</v>
      </c>
      <c r="B448">
        <f>COUNTIF($A$2:A448,1)</f>
        <v>18</v>
      </c>
      <c r="C448" t="str">
        <f t="shared" si="30"/>
        <v>OCS</v>
      </c>
      <c r="D448" t="str">
        <f t="shared" si="31"/>
        <v>OCSDevice</v>
      </c>
      <c r="E448">
        <f>COUNTIF($R$2:R448,R448)</f>
        <v>17</v>
      </c>
      <c r="F448">
        <f>COUNTIF($E$2:E448,1)</f>
        <v>28</v>
      </c>
      <c r="G448" t="str">
        <f t="shared" si="32"/>
        <v>ocs.services.debitorder</v>
      </c>
      <c r="H448" t="str">
        <f t="shared" si="33"/>
        <v>OCSocs.services.debitorderDevice</v>
      </c>
      <c r="I448" t="str">
        <f t="shared" si="34"/>
        <v>OCSocs.services.debitorderocs.ed.mandate.default.details</v>
      </c>
      <c r="J448">
        <f>IF(I448="",0,COUNTIF($I$2:I448,I448))</f>
        <v>1</v>
      </c>
      <c r="K448">
        <f>COUNTIF($J$2:J448,1)</f>
        <v>71</v>
      </c>
      <c r="N448">
        <v>17</v>
      </c>
      <c r="O448" t="s">
        <v>31</v>
      </c>
      <c r="P448" t="s">
        <v>171</v>
      </c>
      <c r="Q448" t="s">
        <v>172</v>
      </c>
      <c r="R448" t="s">
        <v>200</v>
      </c>
      <c r="S448" t="s">
        <v>201</v>
      </c>
      <c r="T448" t="s">
        <v>202</v>
      </c>
      <c r="U448" t="s">
        <v>203</v>
      </c>
      <c r="V448" t="s">
        <v>189</v>
      </c>
      <c r="W448" t="s">
        <v>21</v>
      </c>
      <c r="X448" t="s">
        <v>21</v>
      </c>
      <c r="Y448" t="s">
        <v>190</v>
      </c>
      <c r="Z448">
        <v>5017</v>
      </c>
    </row>
    <row r="449" spans="1:26" x14ac:dyDescent="0.25">
      <c r="A449">
        <f>COUNTIF($P$2:P449,P449)</f>
        <v>78</v>
      </c>
      <c r="B449">
        <f>COUNTIF($A$2:A449,1)</f>
        <v>18</v>
      </c>
      <c r="C449" t="str">
        <f t="shared" si="30"/>
        <v>OCS</v>
      </c>
      <c r="D449" t="str">
        <f t="shared" si="31"/>
        <v>OCSParent</v>
      </c>
      <c r="E449">
        <f>COUNTIF($R$2:R449,R449)</f>
        <v>18</v>
      </c>
      <c r="F449">
        <f>COUNTIF($E$2:E449,1)</f>
        <v>28</v>
      </c>
      <c r="G449" t="str">
        <f t="shared" si="32"/>
        <v>ocs.services.debitorder</v>
      </c>
      <c r="H449" t="str">
        <f t="shared" si="33"/>
        <v>OCSocs.services.debitorderParent</v>
      </c>
      <c r="I449" t="str">
        <f t="shared" si="34"/>
        <v>OCSocs.services.debitorderocs.ed.mandate.default.details</v>
      </c>
      <c r="J449">
        <f>IF(I449="",0,COUNTIF($I$2:I449,I449))</f>
        <v>2</v>
      </c>
      <c r="K449">
        <f>COUNTIF($J$2:J449,1)</f>
        <v>71</v>
      </c>
      <c r="N449">
        <v>7</v>
      </c>
      <c r="O449" t="s">
        <v>15</v>
      </c>
      <c r="P449" t="s">
        <v>171</v>
      </c>
      <c r="Q449" t="s">
        <v>172</v>
      </c>
      <c r="R449" t="s">
        <v>200</v>
      </c>
      <c r="S449" t="s">
        <v>201</v>
      </c>
      <c r="T449" t="s">
        <v>202</v>
      </c>
      <c r="U449" t="s">
        <v>203</v>
      </c>
      <c r="V449" t="s">
        <v>189</v>
      </c>
      <c r="W449" t="s">
        <v>21</v>
      </c>
      <c r="X449" t="s">
        <v>21</v>
      </c>
      <c r="Y449" t="s">
        <v>190</v>
      </c>
      <c r="Z449">
        <v>5017</v>
      </c>
    </row>
    <row r="450" spans="1:26" x14ac:dyDescent="0.25">
      <c r="A450">
        <f>COUNTIF($P$2:P450,P450)</f>
        <v>79</v>
      </c>
      <c r="B450">
        <f>COUNTIF($A$2:A450,1)</f>
        <v>18</v>
      </c>
      <c r="C450" t="str">
        <f t="shared" si="30"/>
        <v>OCS</v>
      </c>
      <c r="D450" t="str">
        <f t="shared" si="31"/>
        <v>OCSIntegrator</v>
      </c>
      <c r="E450">
        <f>COUNTIF($R$2:R450,R450)</f>
        <v>19</v>
      </c>
      <c r="F450">
        <f>COUNTIF($E$2:E450,1)</f>
        <v>28</v>
      </c>
      <c r="G450" t="str">
        <f t="shared" si="32"/>
        <v>ocs.services.debitorder</v>
      </c>
      <c r="H450" t="str">
        <f t="shared" si="33"/>
        <v>OCSocs.services.debitorderIntegrator</v>
      </c>
      <c r="I450" t="str">
        <f t="shared" si="34"/>
        <v>OCSocs.services.debitorderocs.ed.mandate.default.details</v>
      </c>
      <c r="J450">
        <f>IF(I450="",0,COUNTIF($I$2:I450,I450))</f>
        <v>3</v>
      </c>
      <c r="K450">
        <f>COUNTIF($J$2:J450,1)</f>
        <v>71</v>
      </c>
      <c r="N450">
        <v>2</v>
      </c>
      <c r="O450" t="s">
        <v>23</v>
      </c>
      <c r="P450" t="s">
        <v>171</v>
      </c>
      <c r="Q450" t="s">
        <v>172</v>
      </c>
      <c r="R450" t="s">
        <v>200</v>
      </c>
      <c r="S450" t="s">
        <v>201</v>
      </c>
      <c r="T450" t="s">
        <v>202</v>
      </c>
      <c r="U450" t="s">
        <v>203</v>
      </c>
      <c r="V450" t="s">
        <v>189</v>
      </c>
      <c r="W450" t="s">
        <v>21</v>
      </c>
      <c r="X450" t="s">
        <v>21</v>
      </c>
      <c r="Y450" t="s">
        <v>190</v>
      </c>
      <c r="Z450">
        <v>5017</v>
      </c>
    </row>
    <row r="451" spans="1:26" hidden="1" x14ac:dyDescent="0.25">
      <c r="A451">
        <f>COUNTIF($P$2:P451,P451)</f>
        <v>80</v>
      </c>
      <c r="B451">
        <f>COUNTIF($A$2:A451,1)</f>
        <v>18</v>
      </c>
      <c r="C451" t="str">
        <f t="shared" ref="C451:C514" si="35">IF(A451=1,P451,C450)</f>
        <v>OCS</v>
      </c>
      <c r="D451" t="str">
        <f t="shared" ref="D451:D514" si="36">C451&amp;O451</f>
        <v>OCSParent</v>
      </c>
      <c r="E451">
        <f>COUNTIF($R$2:R451,R451)</f>
        <v>20</v>
      </c>
      <c r="F451">
        <f>COUNTIF($E$2:E451,1)</f>
        <v>28</v>
      </c>
      <c r="G451" t="str">
        <f t="shared" ref="G451:G514" si="37">IF(E451=1,R451,G450)</f>
        <v>ocs.services.debitorder</v>
      </c>
      <c r="H451" t="str">
        <f t="shared" ref="H451:H514" si="38">C451&amp;G451&amp;O451</f>
        <v>OCSocs.services.debitorderParent</v>
      </c>
      <c r="I451" t="str">
        <f t="shared" ref="I451:I514" si="39">IF(V451="","",P451&amp;R451&amp;V451)</f>
        <v>OCSocs.services.debitorderocs.ed.passthrough</v>
      </c>
      <c r="J451">
        <f>IF(I451="",0,COUNTIF($I$2:I451,I451))</f>
        <v>1</v>
      </c>
      <c r="K451">
        <f>COUNTIF($J$2:J451,1)</f>
        <v>72</v>
      </c>
      <c r="N451">
        <v>61</v>
      </c>
      <c r="O451" t="s">
        <v>15</v>
      </c>
      <c r="P451" t="s">
        <v>171</v>
      </c>
      <c r="Q451" t="s">
        <v>172</v>
      </c>
      <c r="R451" t="s">
        <v>200</v>
      </c>
      <c r="S451" t="s">
        <v>201</v>
      </c>
      <c r="T451" t="s">
        <v>202</v>
      </c>
      <c r="U451" t="s">
        <v>203</v>
      </c>
      <c r="V451" t="s">
        <v>191</v>
      </c>
      <c r="W451" t="s">
        <v>21</v>
      </c>
      <c r="X451" t="s">
        <v>21</v>
      </c>
      <c r="Y451" t="b">
        <v>1</v>
      </c>
      <c r="Z451">
        <v>5056</v>
      </c>
    </row>
    <row r="452" spans="1:26" hidden="1" x14ac:dyDescent="0.25">
      <c r="A452">
        <f>COUNTIF($P$2:P452,P452)</f>
        <v>81</v>
      </c>
      <c r="B452">
        <f>COUNTIF($A$2:A452,1)</f>
        <v>18</v>
      </c>
      <c r="C452" t="str">
        <f t="shared" si="35"/>
        <v>OCS</v>
      </c>
      <c r="D452" t="str">
        <f t="shared" si="36"/>
        <v>OCSIntegrator</v>
      </c>
      <c r="E452">
        <f>COUNTIF($R$2:R452,R452)</f>
        <v>21</v>
      </c>
      <c r="F452">
        <f>COUNTIF($E$2:E452,1)</f>
        <v>28</v>
      </c>
      <c r="G452" t="str">
        <f t="shared" si="37"/>
        <v>ocs.services.debitorder</v>
      </c>
      <c r="H452" t="str">
        <f t="shared" si="38"/>
        <v>OCSocs.services.debitorderIntegrator</v>
      </c>
      <c r="I452" t="str">
        <f t="shared" si="39"/>
        <v>OCSocs.services.debitorderocs.ed.passthrough</v>
      </c>
      <c r="J452">
        <f>IF(I452="",0,COUNTIF($I$2:I452,I452))</f>
        <v>2</v>
      </c>
      <c r="K452">
        <f>COUNTIF($J$2:J452,1)</f>
        <v>72</v>
      </c>
      <c r="N452">
        <v>11</v>
      </c>
      <c r="O452" t="s">
        <v>23</v>
      </c>
      <c r="P452" t="s">
        <v>171</v>
      </c>
      <c r="Q452" t="s">
        <v>172</v>
      </c>
      <c r="R452" t="s">
        <v>200</v>
      </c>
      <c r="S452" t="s">
        <v>201</v>
      </c>
      <c r="T452" t="s">
        <v>202</v>
      </c>
      <c r="U452" t="s">
        <v>203</v>
      </c>
      <c r="V452" t="s">
        <v>191</v>
      </c>
      <c r="W452" t="s">
        <v>21</v>
      </c>
      <c r="X452" t="s">
        <v>21</v>
      </c>
      <c r="Y452" t="b">
        <v>1</v>
      </c>
      <c r="Z452">
        <v>5056</v>
      </c>
    </row>
    <row r="453" spans="1:26" hidden="1" x14ac:dyDescent="0.25">
      <c r="A453">
        <f>COUNTIF($P$2:P453,P453)</f>
        <v>82</v>
      </c>
      <c r="B453">
        <f>COUNTIF($A$2:A453,1)</f>
        <v>18</v>
      </c>
      <c r="C453" t="str">
        <f t="shared" si="35"/>
        <v>OCS</v>
      </c>
      <c r="D453" t="str">
        <f t="shared" si="36"/>
        <v>OCSPerson</v>
      </c>
      <c r="E453">
        <f>COUNTIF($R$2:R453,R453)</f>
        <v>22</v>
      </c>
      <c r="F453">
        <f>COUNTIF($E$2:E453,1)</f>
        <v>28</v>
      </c>
      <c r="G453" t="str">
        <f t="shared" si="37"/>
        <v>ocs.services.debitorder</v>
      </c>
      <c r="H453" t="str">
        <f t="shared" si="38"/>
        <v>OCSocs.services.debitorderPerson</v>
      </c>
      <c r="I453" t="str">
        <f t="shared" si="39"/>
        <v>OCSocs.services.debitorderocs.ed.passthrough</v>
      </c>
      <c r="J453">
        <f>IF(I453="",0,COUNTIF($I$2:I453,I453))</f>
        <v>3</v>
      </c>
      <c r="K453">
        <f>COUNTIF($J$2:J453,1)</f>
        <v>72</v>
      </c>
      <c r="N453">
        <v>1</v>
      </c>
      <c r="O453" t="s">
        <v>24</v>
      </c>
      <c r="P453" t="s">
        <v>171</v>
      </c>
      <c r="Q453" t="s">
        <v>172</v>
      </c>
      <c r="R453" t="s">
        <v>200</v>
      </c>
      <c r="S453" t="s">
        <v>201</v>
      </c>
      <c r="T453" t="s">
        <v>202</v>
      </c>
      <c r="U453" t="s">
        <v>203</v>
      </c>
      <c r="V453" t="s">
        <v>191</v>
      </c>
      <c r="W453" t="s">
        <v>21</v>
      </c>
      <c r="X453" t="s">
        <v>21</v>
      </c>
      <c r="Y453" t="b">
        <v>1</v>
      </c>
      <c r="Z453">
        <v>5056</v>
      </c>
    </row>
    <row r="454" spans="1:26" hidden="1" x14ac:dyDescent="0.25">
      <c r="A454">
        <f>COUNTIF($P$2:P454,P454)</f>
        <v>83</v>
      </c>
      <c r="B454">
        <f>COUNTIF($A$2:A454,1)</f>
        <v>18</v>
      </c>
      <c r="C454" t="str">
        <f t="shared" si="35"/>
        <v>OCS</v>
      </c>
      <c r="D454" t="str">
        <f t="shared" si="36"/>
        <v>OCSIntegrator</v>
      </c>
      <c r="E454">
        <f>COUNTIF($R$2:R454,R454)</f>
        <v>23</v>
      </c>
      <c r="F454">
        <f>COUNTIF($E$2:E454,1)</f>
        <v>28</v>
      </c>
      <c r="G454" t="str">
        <f t="shared" si="37"/>
        <v>ocs.services.debitorder</v>
      </c>
      <c r="H454" t="str">
        <f t="shared" si="38"/>
        <v>OCSocs.services.debitorderIntegrator</v>
      </c>
      <c r="I454" t="str">
        <f t="shared" si="39"/>
        <v>OCSocs.services.debitorderocs.ed.sc.gc.map</v>
      </c>
      <c r="J454">
        <f>IF(I454="",0,COUNTIF($I$2:I454,I454))</f>
        <v>1</v>
      </c>
      <c r="K454">
        <f>COUNTIF($J$2:J454,1)</f>
        <v>73</v>
      </c>
      <c r="N454">
        <v>35</v>
      </c>
      <c r="O454" t="s">
        <v>23</v>
      </c>
      <c r="P454" t="s">
        <v>171</v>
      </c>
      <c r="Q454" t="s">
        <v>172</v>
      </c>
      <c r="R454" t="s">
        <v>200</v>
      </c>
      <c r="S454" t="s">
        <v>201</v>
      </c>
      <c r="T454" t="s">
        <v>202</v>
      </c>
      <c r="U454" t="s">
        <v>203</v>
      </c>
      <c r="V454" t="s">
        <v>192</v>
      </c>
      <c r="W454" t="s">
        <v>21</v>
      </c>
      <c r="X454" t="s">
        <v>21</v>
      </c>
      <c r="Y454" t="s">
        <v>193</v>
      </c>
      <c r="Z454">
        <v>5054</v>
      </c>
    </row>
    <row r="455" spans="1:26" hidden="1" x14ac:dyDescent="0.25">
      <c r="A455">
        <f>COUNTIF($P$2:P455,P455)</f>
        <v>84</v>
      </c>
      <c r="B455">
        <f>COUNTIF($A$2:A455,1)</f>
        <v>18</v>
      </c>
      <c r="C455" t="str">
        <f t="shared" si="35"/>
        <v>OCS</v>
      </c>
      <c r="D455" t="str">
        <f t="shared" si="36"/>
        <v>OCSParent</v>
      </c>
      <c r="E455">
        <f>COUNTIF($R$2:R455,R455)</f>
        <v>24</v>
      </c>
      <c r="F455">
        <f>COUNTIF($E$2:E455,1)</f>
        <v>28</v>
      </c>
      <c r="G455" t="str">
        <f t="shared" si="37"/>
        <v>ocs.services.debitorder</v>
      </c>
      <c r="H455" t="str">
        <f t="shared" si="38"/>
        <v>OCSocs.services.debitorderParent</v>
      </c>
      <c r="I455" t="str">
        <f t="shared" si="39"/>
        <v>OCSocs.services.debitorderocs.ed.sc.gc.map</v>
      </c>
      <c r="J455">
        <f>IF(I455="",0,COUNTIF($I$2:I455,I455))</f>
        <v>2</v>
      </c>
      <c r="K455">
        <f>COUNTIF($J$2:J455,1)</f>
        <v>73</v>
      </c>
      <c r="N455">
        <v>90</v>
      </c>
      <c r="O455" t="s">
        <v>15</v>
      </c>
      <c r="P455" t="s">
        <v>171</v>
      </c>
      <c r="Q455" t="s">
        <v>172</v>
      </c>
      <c r="R455" t="s">
        <v>200</v>
      </c>
      <c r="S455" t="s">
        <v>201</v>
      </c>
      <c r="T455" t="s">
        <v>202</v>
      </c>
      <c r="U455" t="s">
        <v>203</v>
      </c>
      <c r="V455" t="s">
        <v>192</v>
      </c>
      <c r="W455" t="s">
        <v>21</v>
      </c>
      <c r="X455" t="s">
        <v>21</v>
      </c>
      <c r="Y455" t="s">
        <v>193</v>
      </c>
      <c r="Z455">
        <v>5054</v>
      </c>
    </row>
    <row r="456" spans="1:26" hidden="1" x14ac:dyDescent="0.25">
      <c r="A456">
        <f>COUNTIF($P$2:P456,P456)</f>
        <v>85</v>
      </c>
      <c r="B456">
        <f>COUNTIF($A$2:A456,1)</f>
        <v>18</v>
      </c>
      <c r="C456" t="str">
        <f t="shared" si="35"/>
        <v>OCS</v>
      </c>
      <c r="D456" t="str">
        <f t="shared" si="36"/>
        <v>OCSPerson</v>
      </c>
      <c r="E456">
        <f>COUNTIF($R$2:R456,R456)</f>
        <v>25</v>
      </c>
      <c r="F456">
        <f>COUNTIF($E$2:E456,1)</f>
        <v>28</v>
      </c>
      <c r="G456" t="str">
        <f t="shared" si="37"/>
        <v>ocs.services.debitorder</v>
      </c>
      <c r="H456" t="str">
        <f t="shared" si="38"/>
        <v>OCSocs.services.debitorderPerson</v>
      </c>
      <c r="I456" t="str">
        <f t="shared" si="39"/>
        <v>OCSocs.services.debitorderocs.ed.sc.gc.map</v>
      </c>
      <c r="J456">
        <f>IF(I456="",0,COUNTIF($I$2:I456,I456))</f>
        <v>3</v>
      </c>
      <c r="K456">
        <f>COUNTIF($J$2:J456,1)</f>
        <v>73</v>
      </c>
      <c r="N456">
        <v>11</v>
      </c>
      <c r="O456" t="s">
        <v>24</v>
      </c>
      <c r="P456" t="s">
        <v>171</v>
      </c>
      <c r="Q456" t="s">
        <v>172</v>
      </c>
      <c r="R456" t="s">
        <v>200</v>
      </c>
      <c r="S456" t="s">
        <v>201</v>
      </c>
      <c r="T456" t="s">
        <v>202</v>
      </c>
      <c r="U456" t="s">
        <v>203</v>
      </c>
      <c r="V456" t="s">
        <v>192</v>
      </c>
      <c r="W456" t="s">
        <v>21</v>
      </c>
      <c r="X456" t="s">
        <v>21</v>
      </c>
      <c r="Y456" t="s">
        <v>193</v>
      </c>
      <c r="Z456">
        <v>5054</v>
      </c>
    </row>
    <row r="457" spans="1:26" hidden="1" x14ac:dyDescent="0.25">
      <c r="A457">
        <f>COUNTIF($P$2:P457,P457)</f>
        <v>86</v>
      </c>
      <c r="B457">
        <f>COUNTIF($A$2:A457,1)</f>
        <v>18</v>
      </c>
      <c r="C457" t="str">
        <f t="shared" si="35"/>
        <v>OCS</v>
      </c>
      <c r="D457" t="str">
        <f t="shared" si="36"/>
        <v>OCSParent</v>
      </c>
      <c r="E457">
        <f>COUNTIF($R$2:R457,R457)</f>
        <v>26</v>
      </c>
      <c r="F457">
        <f>COUNTIF($E$2:E457,1)</f>
        <v>28</v>
      </c>
      <c r="G457" t="str">
        <f t="shared" si="37"/>
        <v>ocs.services.debitorder</v>
      </c>
      <c r="H457" t="str">
        <f t="shared" si="38"/>
        <v>OCSocs.services.debitorderParent</v>
      </c>
      <c r="I457" t="str">
        <f t="shared" si="39"/>
        <v>OCSocs.services.debitorderocs.ed.ul.gc.map</v>
      </c>
      <c r="J457">
        <f>IF(I457="",0,COUNTIF($I$2:I457,I457))</f>
        <v>1</v>
      </c>
      <c r="K457">
        <f>COUNTIF($J$2:J457,1)</f>
        <v>74</v>
      </c>
      <c r="N457">
        <v>12</v>
      </c>
      <c r="O457" t="s">
        <v>15</v>
      </c>
      <c r="P457" t="s">
        <v>171</v>
      </c>
      <c r="Q457" t="s">
        <v>172</v>
      </c>
      <c r="R457" t="s">
        <v>200</v>
      </c>
      <c r="S457" t="s">
        <v>201</v>
      </c>
      <c r="T457" t="s">
        <v>202</v>
      </c>
      <c r="U457" t="s">
        <v>203</v>
      </c>
      <c r="V457" t="s">
        <v>194</v>
      </c>
      <c r="W457" t="s">
        <v>21</v>
      </c>
      <c r="X457" t="s">
        <v>21</v>
      </c>
      <c r="Z457">
        <v>5015</v>
      </c>
    </row>
    <row r="458" spans="1:26" hidden="1" x14ac:dyDescent="0.25">
      <c r="A458">
        <f>COUNTIF($P$2:P458,P458)</f>
        <v>87</v>
      </c>
      <c r="B458">
        <f>COUNTIF($A$2:A458,1)</f>
        <v>18</v>
      </c>
      <c r="C458" t="str">
        <f t="shared" si="35"/>
        <v>OCS</v>
      </c>
      <c r="D458" t="str">
        <f t="shared" si="36"/>
        <v>OCSIntegrator</v>
      </c>
      <c r="E458">
        <f>COUNTIF($R$2:R458,R458)</f>
        <v>27</v>
      </c>
      <c r="F458">
        <f>COUNTIF($E$2:E458,1)</f>
        <v>28</v>
      </c>
      <c r="G458" t="str">
        <f t="shared" si="37"/>
        <v>ocs.services.debitorder</v>
      </c>
      <c r="H458" t="str">
        <f t="shared" si="38"/>
        <v>OCSocs.services.debitorderIntegrator</v>
      </c>
      <c r="I458" t="str">
        <f t="shared" si="39"/>
        <v>OCSocs.services.debitorderocs.ed.ul.gc.map</v>
      </c>
      <c r="J458">
        <f>IF(I458="",0,COUNTIF($I$2:I458,I458))</f>
        <v>2</v>
      </c>
      <c r="K458">
        <f>COUNTIF($J$2:J458,1)</f>
        <v>74</v>
      </c>
      <c r="N458">
        <v>11</v>
      </c>
      <c r="O458" t="s">
        <v>23</v>
      </c>
      <c r="P458" t="s">
        <v>171</v>
      </c>
      <c r="Q458" t="s">
        <v>172</v>
      </c>
      <c r="R458" t="s">
        <v>200</v>
      </c>
      <c r="S458" t="s">
        <v>201</v>
      </c>
      <c r="T458" t="s">
        <v>202</v>
      </c>
      <c r="U458" t="s">
        <v>203</v>
      </c>
      <c r="V458" t="s">
        <v>194</v>
      </c>
      <c r="W458" t="s">
        <v>21</v>
      </c>
      <c r="X458" t="s">
        <v>21</v>
      </c>
      <c r="Z458">
        <v>5015</v>
      </c>
    </row>
    <row r="459" spans="1:26" hidden="1" x14ac:dyDescent="0.25">
      <c r="A459">
        <f>COUNTIF($P$2:P459,P459)</f>
        <v>88</v>
      </c>
      <c r="B459">
        <f>COUNTIF($A$2:A459,1)</f>
        <v>18</v>
      </c>
      <c r="C459" t="str">
        <f t="shared" si="35"/>
        <v>OCS</v>
      </c>
      <c r="D459" t="str">
        <f t="shared" si="36"/>
        <v>OCSParent</v>
      </c>
      <c r="E459">
        <f>COUNTIF($R$2:R459,R459)</f>
        <v>28</v>
      </c>
      <c r="F459">
        <f>COUNTIF($E$2:E459,1)</f>
        <v>28</v>
      </c>
      <c r="G459" t="str">
        <f t="shared" si="37"/>
        <v>ocs.services.debitorder</v>
      </c>
      <c r="H459" t="str">
        <f t="shared" si="38"/>
        <v>OCSocs.services.debitorderParent</v>
      </c>
      <c r="I459" t="str">
        <f t="shared" si="39"/>
        <v>OCSocs.services.debitorderocs.ed.ws.gc</v>
      </c>
      <c r="J459">
        <f>IF(I459="",0,COUNTIF($I$2:I459,I459))</f>
        <v>1</v>
      </c>
      <c r="K459">
        <f>COUNTIF($J$2:J459,1)</f>
        <v>75</v>
      </c>
      <c r="N459">
        <v>1</v>
      </c>
      <c r="O459" t="s">
        <v>15</v>
      </c>
      <c r="P459" t="s">
        <v>171</v>
      </c>
      <c r="Q459" t="s">
        <v>172</v>
      </c>
      <c r="R459" t="s">
        <v>200</v>
      </c>
      <c r="S459" t="s">
        <v>201</v>
      </c>
      <c r="T459" t="s">
        <v>202</v>
      </c>
      <c r="U459" t="s">
        <v>203</v>
      </c>
      <c r="V459" t="s">
        <v>195</v>
      </c>
      <c r="W459" t="s">
        <v>21</v>
      </c>
      <c r="X459" t="s">
        <v>21</v>
      </c>
      <c r="Y459" t="s">
        <v>182</v>
      </c>
      <c r="Z459">
        <v>5051</v>
      </c>
    </row>
    <row r="460" spans="1:26" hidden="1" x14ac:dyDescent="0.25">
      <c r="A460">
        <f>COUNTIF($P$2:P460,P460)</f>
        <v>89</v>
      </c>
      <c r="B460">
        <f>COUNTIF($A$2:A460,1)</f>
        <v>18</v>
      </c>
      <c r="C460" t="str">
        <f t="shared" si="35"/>
        <v>OCS</v>
      </c>
      <c r="D460" t="str">
        <f t="shared" si="36"/>
        <v>OCSParent</v>
      </c>
      <c r="E460">
        <f>COUNTIF($R$2:R460,R460)</f>
        <v>29</v>
      </c>
      <c r="F460">
        <f>COUNTIF($E$2:E460,1)</f>
        <v>28</v>
      </c>
      <c r="G460" t="str">
        <f t="shared" si="37"/>
        <v>ocs.services.debitorder</v>
      </c>
      <c r="H460" t="str">
        <f t="shared" si="38"/>
        <v>OCSocs.services.debitorderParent</v>
      </c>
      <c r="I460" t="str">
        <f t="shared" si="39"/>
        <v>OCSocs.services.debitorderocs.ed.ws.gc</v>
      </c>
      <c r="J460">
        <f>IF(I460="",0,COUNTIF($I$2:I460,I460))</f>
        <v>2</v>
      </c>
      <c r="K460">
        <f>COUNTIF($J$2:J460,1)</f>
        <v>75</v>
      </c>
      <c r="N460">
        <v>88</v>
      </c>
      <c r="O460" t="s">
        <v>15</v>
      </c>
      <c r="P460" t="s">
        <v>171</v>
      </c>
      <c r="Q460" t="s">
        <v>172</v>
      </c>
      <c r="R460" t="s">
        <v>200</v>
      </c>
      <c r="S460" t="s">
        <v>201</v>
      </c>
      <c r="T460" t="s">
        <v>202</v>
      </c>
      <c r="U460" t="s">
        <v>203</v>
      </c>
      <c r="V460" t="s">
        <v>195</v>
      </c>
      <c r="W460" t="s">
        <v>21</v>
      </c>
      <c r="X460" t="s">
        <v>21</v>
      </c>
      <c r="Y460" t="s">
        <v>182</v>
      </c>
      <c r="Z460">
        <v>5051</v>
      </c>
    </row>
    <row r="461" spans="1:26" hidden="1" x14ac:dyDescent="0.25">
      <c r="A461">
        <f>COUNTIF($P$2:P461,P461)</f>
        <v>90</v>
      </c>
      <c r="B461">
        <f>COUNTIF($A$2:A461,1)</f>
        <v>18</v>
      </c>
      <c r="C461" t="str">
        <f t="shared" si="35"/>
        <v>OCS</v>
      </c>
      <c r="D461" t="str">
        <f t="shared" si="36"/>
        <v>OCSIntegrator</v>
      </c>
      <c r="E461">
        <f>COUNTIF($R$2:R461,R461)</f>
        <v>30</v>
      </c>
      <c r="F461">
        <f>COUNTIF($E$2:E461,1)</f>
        <v>28</v>
      </c>
      <c r="G461" t="str">
        <f t="shared" si="37"/>
        <v>ocs.services.debitorder</v>
      </c>
      <c r="H461" t="str">
        <f t="shared" si="38"/>
        <v>OCSocs.services.debitorderIntegrator</v>
      </c>
      <c r="I461" t="str">
        <f t="shared" si="39"/>
        <v>OCSocs.services.debitorderocs.ed.ws.gc</v>
      </c>
      <c r="J461">
        <f>IF(I461="",0,COUNTIF($I$2:I461,I461))</f>
        <v>3</v>
      </c>
      <c r="K461">
        <f>COUNTIF($J$2:J461,1)</f>
        <v>75</v>
      </c>
      <c r="N461">
        <v>35</v>
      </c>
      <c r="O461" t="s">
        <v>23</v>
      </c>
      <c r="P461" t="s">
        <v>171</v>
      </c>
      <c r="Q461" t="s">
        <v>172</v>
      </c>
      <c r="R461" t="s">
        <v>200</v>
      </c>
      <c r="S461" t="s">
        <v>201</v>
      </c>
      <c r="T461" t="s">
        <v>202</v>
      </c>
      <c r="U461" t="s">
        <v>203</v>
      </c>
      <c r="V461" t="s">
        <v>195</v>
      </c>
      <c r="W461" t="s">
        <v>21</v>
      </c>
      <c r="X461" t="s">
        <v>21</v>
      </c>
      <c r="Y461" t="s">
        <v>182</v>
      </c>
      <c r="Z461">
        <v>5051</v>
      </c>
    </row>
    <row r="462" spans="1:26" hidden="1" x14ac:dyDescent="0.25">
      <c r="A462">
        <f>COUNTIF($P$2:P462,P462)</f>
        <v>91</v>
      </c>
      <c r="B462">
        <f>COUNTIF($A$2:A462,1)</f>
        <v>18</v>
      </c>
      <c r="C462" t="str">
        <f t="shared" si="35"/>
        <v>OCS</v>
      </c>
      <c r="D462" t="str">
        <f t="shared" si="36"/>
        <v>OCSDevice</v>
      </c>
      <c r="E462">
        <f>COUNTIF($R$2:R462,R462)</f>
        <v>31</v>
      </c>
      <c r="F462">
        <f>COUNTIF($E$2:E462,1)</f>
        <v>28</v>
      </c>
      <c r="G462" t="str">
        <f t="shared" si="37"/>
        <v>ocs.services.debitorder</v>
      </c>
      <c r="H462" t="str">
        <f t="shared" si="38"/>
        <v>OCSocs.services.debitorderDevice</v>
      </c>
      <c r="I462" t="str">
        <f t="shared" si="39"/>
        <v>OCSocs.services.debitorderocs.ed.ws.gc</v>
      </c>
      <c r="J462">
        <f>IF(I462="",0,COUNTIF($I$2:I462,I462))</f>
        <v>4</v>
      </c>
      <c r="K462">
        <f>COUNTIF($J$2:J462,1)</f>
        <v>75</v>
      </c>
      <c r="N462">
        <v>14</v>
      </c>
      <c r="O462" t="s">
        <v>31</v>
      </c>
      <c r="P462" t="s">
        <v>171</v>
      </c>
      <c r="Q462" t="s">
        <v>172</v>
      </c>
      <c r="R462" t="s">
        <v>200</v>
      </c>
      <c r="S462" t="s">
        <v>201</v>
      </c>
      <c r="T462" t="s">
        <v>202</v>
      </c>
      <c r="U462" t="s">
        <v>203</v>
      </c>
      <c r="V462" t="s">
        <v>195</v>
      </c>
      <c r="W462" t="s">
        <v>21</v>
      </c>
      <c r="X462" t="s">
        <v>21</v>
      </c>
      <c r="Y462" t="s">
        <v>182</v>
      </c>
      <c r="Z462">
        <v>5051</v>
      </c>
    </row>
    <row r="463" spans="1:26" hidden="1" x14ac:dyDescent="0.25">
      <c r="A463">
        <f>COUNTIF($P$2:P463,P463)</f>
        <v>92</v>
      </c>
      <c r="B463">
        <f>COUNTIF($A$2:A463,1)</f>
        <v>18</v>
      </c>
      <c r="C463" t="str">
        <f t="shared" si="35"/>
        <v>OCS</v>
      </c>
      <c r="D463" t="str">
        <f t="shared" si="36"/>
        <v>OCSParent</v>
      </c>
      <c r="E463">
        <f>COUNTIF($R$2:R463,R463)</f>
        <v>32</v>
      </c>
      <c r="F463">
        <f>COUNTIF($E$2:E463,1)</f>
        <v>28</v>
      </c>
      <c r="G463" t="str">
        <f t="shared" si="37"/>
        <v>ocs.services.debitorder</v>
      </c>
      <c r="H463" t="str">
        <f t="shared" si="38"/>
        <v>OCSocs.services.debitorderParent</v>
      </c>
      <c r="I463" t="str">
        <f t="shared" si="39"/>
        <v>OCSocs.services.debitorderocs.ed.ws.gc</v>
      </c>
      <c r="J463">
        <f>IF(I463="",0,COUNTIF($I$2:I463,I463))</f>
        <v>5</v>
      </c>
      <c r="K463">
        <f>COUNTIF($J$2:J463,1)</f>
        <v>75</v>
      </c>
      <c r="N463">
        <v>2</v>
      </c>
      <c r="O463" t="s">
        <v>15</v>
      </c>
      <c r="P463" t="s">
        <v>171</v>
      </c>
      <c r="Q463" t="s">
        <v>172</v>
      </c>
      <c r="R463" t="s">
        <v>200</v>
      </c>
      <c r="S463" t="s">
        <v>201</v>
      </c>
      <c r="T463" t="s">
        <v>202</v>
      </c>
      <c r="U463" t="s">
        <v>203</v>
      </c>
      <c r="V463" t="s">
        <v>195</v>
      </c>
      <c r="W463" t="s">
        <v>21</v>
      </c>
      <c r="X463" t="s">
        <v>21</v>
      </c>
      <c r="Y463" t="s">
        <v>182</v>
      </c>
      <c r="Z463">
        <v>5051</v>
      </c>
    </row>
    <row r="464" spans="1:26" hidden="1" x14ac:dyDescent="0.25">
      <c r="A464">
        <f>COUNTIF($P$2:P464,P464)</f>
        <v>93</v>
      </c>
      <c r="B464">
        <f>COUNTIF($A$2:A464,1)</f>
        <v>18</v>
      </c>
      <c r="C464" t="str">
        <f t="shared" si="35"/>
        <v>OCS</v>
      </c>
      <c r="D464" t="str">
        <f t="shared" si="36"/>
        <v>OCSPerson</v>
      </c>
      <c r="E464">
        <f>COUNTIF($R$2:R464,R464)</f>
        <v>33</v>
      </c>
      <c r="F464">
        <f>COUNTIF($E$2:E464,1)</f>
        <v>28</v>
      </c>
      <c r="G464" t="str">
        <f t="shared" si="37"/>
        <v>ocs.services.debitorder</v>
      </c>
      <c r="H464" t="str">
        <f t="shared" si="38"/>
        <v>OCSocs.services.debitorderPerson</v>
      </c>
      <c r="I464" t="str">
        <f t="shared" si="39"/>
        <v>OCSocs.services.debitorderocs.ed.ws.gc</v>
      </c>
      <c r="J464">
        <f>IF(I464="",0,COUNTIF($I$2:I464,I464))</f>
        <v>6</v>
      </c>
      <c r="K464">
        <f>COUNTIF($J$2:J464,1)</f>
        <v>75</v>
      </c>
      <c r="N464">
        <v>11</v>
      </c>
      <c r="O464" t="s">
        <v>24</v>
      </c>
      <c r="P464" t="s">
        <v>171</v>
      </c>
      <c r="Q464" t="s">
        <v>172</v>
      </c>
      <c r="R464" t="s">
        <v>200</v>
      </c>
      <c r="S464" t="s">
        <v>201</v>
      </c>
      <c r="T464" t="s">
        <v>202</v>
      </c>
      <c r="U464" t="s">
        <v>203</v>
      </c>
      <c r="V464" t="s">
        <v>195</v>
      </c>
      <c r="W464" t="s">
        <v>21</v>
      </c>
      <c r="X464" t="s">
        <v>21</v>
      </c>
      <c r="Y464" t="s">
        <v>182</v>
      </c>
      <c r="Z464">
        <v>5051</v>
      </c>
    </row>
    <row r="465" spans="1:26" hidden="1" x14ac:dyDescent="0.25">
      <c r="A465">
        <f>COUNTIF($P$2:P465,P465)</f>
        <v>94</v>
      </c>
      <c r="B465">
        <f>COUNTIF($A$2:A465,1)</f>
        <v>18</v>
      </c>
      <c r="C465" t="str">
        <f t="shared" si="35"/>
        <v>OCS</v>
      </c>
      <c r="D465" t="str">
        <f t="shared" si="36"/>
        <v>OCSParent</v>
      </c>
      <c r="E465">
        <f>COUNTIF($R$2:R465,R465)</f>
        <v>34</v>
      </c>
      <c r="F465">
        <f>COUNTIF($E$2:E465,1)</f>
        <v>28</v>
      </c>
      <c r="G465" t="str">
        <f t="shared" si="37"/>
        <v>ocs.services.debitorder</v>
      </c>
      <c r="H465" t="str">
        <f t="shared" si="38"/>
        <v>OCSocs.services.debitorderParent</v>
      </c>
      <c r="I465" t="str">
        <f t="shared" si="39"/>
        <v>OCSocs.services.debitorderocs.ed.ws.pwd</v>
      </c>
      <c r="J465">
        <f>IF(I465="",0,COUNTIF($I$2:I465,I465))</f>
        <v>1</v>
      </c>
      <c r="K465">
        <f>COUNTIF($J$2:J465,1)</f>
        <v>76</v>
      </c>
      <c r="N465">
        <v>2</v>
      </c>
      <c r="O465" t="s">
        <v>15</v>
      </c>
      <c r="P465" t="s">
        <v>171</v>
      </c>
      <c r="Q465" t="s">
        <v>172</v>
      </c>
      <c r="R465" t="s">
        <v>200</v>
      </c>
      <c r="S465" t="s">
        <v>201</v>
      </c>
      <c r="T465" t="s">
        <v>202</v>
      </c>
      <c r="U465" t="s">
        <v>203</v>
      </c>
      <c r="V465" t="s">
        <v>196</v>
      </c>
      <c r="W465" t="s">
        <v>21</v>
      </c>
      <c r="X465" t="s">
        <v>21</v>
      </c>
      <c r="Y465" t="s">
        <v>197</v>
      </c>
      <c r="Z465">
        <v>5053</v>
      </c>
    </row>
    <row r="466" spans="1:26" hidden="1" x14ac:dyDescent="0.25">
      <c r="A466">
        <f>COUNTIF($P$2:P466,P466)</f>
        <v>95</v>
      </c>
      <c r="B466">
        <f>COUNTIF($A$2:A466,1)</f>
        <v>18</v>
      </c>
      <c r="C466" t="str">
        <f t="shared" si="35"/>
        <v>OCS</v>
      </c>
      <c r="D466" t="str">
        <f t="shared" si="36"/>
        <v>OCSParent</v>
      </c>
      <c r="E466">
        <f>COUNTIF($R$2:R466,R466)</f>
        <v>35</v>
      </c>
      <c r="F466">
        <f>COUNTIF($E$2:E466,1)</f>
        <v>28</v>
      </c>
      <c r="G466" t="str">
        <f t="shared" si="37"/>
        <v>ocs.services.debitorder</v>
      </c>
      <c r="H466" t="str">
        <f t="shared" si="38"/>
        <v>OCSocs.services.debitorderParent</v>
      </c>
      <c r="I466" t="str">
        <f t="shared" si="39"/>
        <v>OCSocs.services.debitorderocs.ed.ws.pwd</v>
      </c>
      <c r="J466">
        <f>IF(I466="",0,COUNTIF($I$2:I466,I466))</f>
        <v>2</v>
      </c>
      <c r="K466">
        <f>COUNTIF($J$2:J466,1)</f>
        <v>76</v>
      </c>
      <c r="N466">
        <v>90</v>
      </c>
      <c r="O466" t="s">
        <v>15</v>
      </c>
      <c r="P466" t="s">
        <v>171</v>
      </c>
      <c r="Q466" t="s">
        <v>172</v>
      </c>
      <c r="R466" t="s">
        <v>200</v>
      </c>
      <c r="S466" t="s">
        <v>201</v>
      </c>
      <c r="T466" t="s">
        <v>202</v>
      </c>
      <c r="U466" t="s">
        <v>203</v>
      </c>
      <c r="V466" t="s">
        <v>196</v>
      </c>
      <c r="W466" t="s">
        <v>21</v>
      </c>
      <c r="X466" t="s">
        <v>21</v>
      </c>
      <c r="Y466" t="s">
        <v>197</v>
      </c>
      <c r="Z466">
        <v>5053</v>
      </c>
    </row>
    <row r="467" spans="1:26" hidden="1" x14ac:dyDescent="0.25">
      <c r="A467">
        <f>COUNTIF($P$2:P467,P467)</f>
        <v>96</v>
      </c>
      <c r="B467">
        <f>COUNTIF($A$2:A467,1)</f>
        <v>18</v>
      </c>
      <c r="C467" t="str">
        <f t="shared" si="35"/>
        <v>OCS</v>
      </c>
      <c r="D467" t="str">
        <f t="shared" si="36"/>
        <v>OCSDevice</v>
      </c>
      <c r="E467">
        <f>COUNTIF($R$2:R467,R467)</f>
        <v>36</v>
      </c>
      <c r="F467">
        <f>COUNTIF($E$2:E467,1)</f>
        <v>28</v>
      </c>
      <c r="G467" t="str">
        <f t="shared" si="37"/>
        <v>ocs.services.debitorder</v>
      </c>
      <c r="H467" t="str">
        <f t="shared" si="38"/>
        <v>OCSocs.services.debitorderDevice</v>
      </c>
      <c r="I467" t="str">
        <f t="shared" si="39"/>
        <v>OCSocs.services.debitorderocs.ed.ws.pwd</v>
      </c>
      <c r="J467">
        <f>IF(I467="",0,COUNTIF($I$2:I467,I467))</f>
        <v>3</v>
      </c>
      <c r="K467">
        <f>COUNTIF($J$2:J467,1)</f>
        <v>76</v>
      </c>
      <c r="N467">
        <v>14</v>
      </c>
      <c r="O467" t="s">
        <v>31</v>
      </c>
      <c r="P467" t="s">
        <v>171</v>
      </c>
      <c r="Q467" t="s">
        <v>172</v>
      </c>
      <c r="R467" t="s">
        <v>200</v>
      </c>
      <c r="S467" t="s">
        <v>201</v>
      </c>
      <c r="T467" t="s">
        <v>202</v>
      </c>
      <c r="U467" t="s">
        <v>203</v>
      </c>
      <c r="V467" t="s">
        <v>196</v>
      </c>
      <c r="W467" t="s">
        <v>21</v>
      </c>
      <c r="X467" t="s">
        <v>21</v>
      </c>
      <c r="Y467" t="s">
        <v>197</v>
      </c>
      <c r="Z467">
        <v>5053</v>
      </c>
    </row>
    <row r="468" spans="1:26" hidden="1" x14ac:dyDescent="0.25">
      <c r="A468">
        <f>COUNTIF($P$2:P468,P468)</f>
        <v>97</v>
      </c>
      <c r="B468">
        <f>COUNTIF($A$2:A468,1)</f>
        <v>18</v>
      </c>
      <c r="C468" t="str">
        <f t="shared" si="35"/>
        <v>OCS</v>
      </c>
      <c r="D468" t="str">
        <f t="shared" si="36"/>
        <v>OCSPerson</v>
      </c>
      <c r="E468">
        <f>COUNTIF($R$2:R468,R468)</f>
        <v>37</v>
      </c>
      <c r="F468">
        <f>COUNTIF($E$2:E468,1)</f>
        <v>28</v>
      </c>
      <c r="G468" t="str">
        <f t="shared" si="37"/>
        <v>ocs.services.debitorder</v>
      </c>
      <c r="H468" t="str">
        <f t="shared" si="38"/>
        <v>OCSocs.services.debitorderPerson</v>
      </c>
      <c r="I468" t="str">
        <f t="shared" si="39"/>
        <v>OCSocs.services.debitorderocs.ed.ws.pwd</v>
      </c>
      <c r="J468">
        <f>IF(I468="",0,COUNTIF($I$2:I468,I468))</f>
        <v>4</v>
      </c>
      <c r="K468">
        <f>COUNTIF($J$2:J468,1)</f>
        <v>76</v>
      </c>
      <c r="N468">
        <v>11</v>
      </c>
      <c r="O468" t="s">
        <v>24</v>
      </c>
      <c r="P468" t="s">
        <v>171</v>
      </c>
      <c r="Q468" t="s">
        <v>172</v>
      </c>
      <c r="R468" t="s">
        <v>200</v>
      </c>
      <c r="S468" t="s">
        <v>201</v>
      </c>
      <c r="T468" t="s">
        <v>202</v>
      </c>
      <c r="U468" t="s">
        <v>203</v>
      </c>
      <c r="V468" t="s">
        <v>196</v>
      </c>
      <c r="W468" t="s">
        <v>21</v>
      </c>
      <c r="X468" t="s">
        <v>21</v>
      </c>
      <c r="Y468" t="s">
        <v>197</v>
      </c>
      <c r="Z468">
        <v>5053</v>
      </c>
    </row>
    <row r="469" spans="1:26" hidden="1" x14ac:dyDescent="0.25">
      <c r="A469">
        <f>COUNTIF($P$2:P469,P469)</f>
        <v>98</v>
      </c>
      <c r="B469">
        <f>COUNTIF($A$2:A469,1)</f>
        <v>18</v>
      </c>
      <c r="C469" t="str">
        <f t="shared" si="35"/>
        <v>OCS</v>
      </c>
      <c r="D469" t="str">
        <f t="shared" si="36"/>
        <v>OCSParent</v>
      </c>
      <c r="E469">
        <f>COUNTIF($R$2:R469,R469)</f>
        <v>38</v>
      </c>
      <c r="F469">
        <f>COUNTIF($E$2:E469,1)</f>
        <v>28</v>
      </c>
      <c r="G469" t="str">
        <f t="shared" si="37"/>
        <v>ocs.services.debitorder</v>
      </c>
      <c r="H469" t="str">
        <f t="shared" si="38"/>
        <v>OCSocs.services.debitorderParent</v>
      </c>
      <c r="I469" t="str">
        <f t="shared" si="39"/>
        <v>OCSocs.services.debitorderocs.ed.ws.pwd</v>
      </c>
      <c r="J469">
        <f>IF(I469="",0,COUNTIF($I$2:I469,I469))</f>
        <v>5</v>
      </c>
      <c r="K469">
        <f>COUNTIF($J$2:J469,1)</f>
        <v>76</v>
      </c>
      <c r="N469">
        <v>1</v>
      </c>
      <c r="O469" t="s">
        <v>15</v>
      </c>
      <c r="P469" t="s">
        <v>171</v>
      </c>
      <c r="Q469" t="s">
        <v>172</v>
      </c>
      <c r="R469" t="s">
        <v>200</v>
      </c>
      <c r="S469" t="s">
        <v>201</v>
      </c>
      <c r="T469" t="s">
        <v>202</v>
      </c>
      <c r="U469" t="s">
        <v>203</v>
      </c>
      <c r="V469" t="s">
        <v>196</v>
      </c>
      <c r="W469" t="s">
        <v>21</v>
      </c>
      <c r="X469" t="s">
        <v>21</v>
      </c>
      <c r="Y469" t="s">
        <v>197</v>
      </c>
      <c r="Z469">
        <v>5053</v>
      </c>
    </row>
    <row r="470" spans="1:26" hidden="1" x14ac:dyDescent="0.25">
      <c r="A470">
        <f>COUNTIF($P$2:P470,P470)</f>
        <v>99</v>
      </c>
      <c r="B470">
        <f>COUNTIF($A$2:A470,1)</f>
        <v>18</v>
      </c>
      <c r="C470" t="str">
        <f t="shared" si="35"/>
        <v>OCS</v>
      </c>
      <c r="D470" t="str">
        <f t="shared" si="36"/>
        <v>OCSIntegrator</v>
      </c>
      <c r="E470">
        <f>COUNTIF($R$2:R470,R470)</f>
        <v>39</v>
      </c>
      <c r="F470">
        <f>COUNTIF($E$2:E470,1)</f>
        <v>28</v>
      </c>
      <c r="G470" t="str">
        <f t="shared" si="37"/>
        <v>ocs.services.debitorder</v>
      </c>
      <c r="H470" t="str">
        <f t="shared" si="38"/>
        <v>OCSocs.services.debitorderIntegrator</v>
      </c>
      <c r="I470" t="str">
        <f t="shared" si="39"/>
        <v>OCSocs.services.debitorderocs.ed.ws.pwd</v>
      </c>
      <c r="J470">
        <f>IF(I470="",0,COUNTIF($I$2:I470,I470))</f>
        <v>6</v>
      </c>
      <c r="K470">
        <f>COUNTIF($J$2:J470,1)</f>
        <v>76</v>
      </c>
      <c r="N470">
        <v>34</v>
      </c>
      <c r="O470" t="s">
        <v>23</v>
      </c>
      <c r="P470" t="s">
        <v>171</v>
      </c>
      <c r="Q470" t="s">
        <v>172</v>
      </c>
      <c r="R470" t="s">
        <v>200</v>
      </c>
      <c r="S470" t="s">
        <v>201</v>
      </c>
      <c r="T470" t="s">
        <v>202</v>
      </c>
      <c r="U470" t="s">
        <v>203</v>
      </c>
      <c r="V470" t="s">
        <v>196</v>
      </c>
      <c r="W470" t="s">
        <v>21</v>
      </c>
      <c r="X470" t="s">
        <v>21</v>
      </c>
      <c r="Y470" t="s">
        <v>197</v>
      </c>
      <c r="Z470">
        <v>5053</v>
      </c>
    </row>
    <row r="471" spans="1:26" hidden="1" x14ac:dyDescent="0.25">
      <c r="A471">
        <f>COUNTIF($P$2:P471,P471)</f>
        <v>100</v>
      </c>
      <c r="B471">
        <f>COUNTIF($A$2:A471,1)</f>
        <v>18</v>
      </c>
      <c r="C471" t="str">
        <f t="shared" si="35"/>
        <v>OCS</v>
      </c>
      <c r="D471" t="str">
        <f t="shared" si="36"/>
        <v>OCSIntegrator</v>
      </c>
      <c r="E471">
        <f>COUNTIF($R$2:R471,R471)</f>
        <v>40</v>
      </c>
      <c r="F471">
        <f>COUNTIF($E$2:E471,1)</f>
        <v>28</v>
      </c>
      <c r="G471" t="str">
        <f t="shared" si="37"/>
        <v>ocs.services.debitorder</v>
      </c>
      <c r="H471" t="str">
        <f t="shared" si="38"/>
        <v>OCSocs.services.debitorderIntegrator</v>
      </c>
      <c r="I471" t="str">
        <f t="shared" si="39"/>
        <v>OCSocs.services.debitorderocs.ed.ws.usr</v>
      </c>
      <c r="J471">
        <f>IF(I471="",0,COUNTIF($I$2:I471,I471))</f>
        <v>1</v>
      </c>
      <c r="K471">
        <f>COUNTIF($J$2:J471,1)</f>
        <v>77</v>
      </c>
      <c r="N471">
        <v>34</v>
      </c>
      <c r="O471" t="s">
        <v>23</v>
      </c>
      <c r="P471" t="s">
        <v>171</v>
      </c>
      <c r="Q471" t="s">
        <v>172</v>
      </c>
      <c r="R471" t="s">
        <v>200</v>
      </c>
      <c r="S471" t="s">
        <v>201</v>
      </c>
      <c r="T471" t="s">
        <v>202</v>
      </c>
      <c r="U471" t="s">
        <v>203</v>
      </c>
      <c r="V471" t="s">
        <v>198</v>
      </c>
      <c r="W471" t="s">
        <v>21</v>
      </c>
      <c r="X471" t="s">
        <v>21</v>
      </c>
      <c r="Y471" t="s">
        <v>199</v>
      </c>
      <c r="Z471">
        <v>5052</v>
      </c>
    </row>
    <row r="472" spans="1:26" hidden="1" x14ac:dyDescent="0.25">
      <c r="A472">
        <f>COUNTIF($P$2:P472,P472)</f>
        <v>101</v>
      </c>
      <c r="B472">
        <f>COUNTIF($A$2:A472,1)</f>
        <v>18</v>
      </c>
      <c r="C472" t="str">
        <f t="shared" si="35"/>
        <v>OCS</v>
      </c>
      <c r="D472" t="str">
        <f t="shared" si="36"/>
        <v>OCSDevice</v>
      </c>
      <c r="E472">
        <f>COUNTIF($R$2:R472,R472)</f>
        <v>41</v>
      </c>
      <c r="F472">
        <f>COUNTIF($E$2:E472,1)</f>
        <v>28</v>
      </c>
      <c r="G472" t="str">
        <f t="shared" si="37"/>
        <v>ocs.services.debitorder</v>
      </c>
      <c r="H472" t="str">
        <f t="shared" si="38"/>
        <v>OCSocs.services.debitorderDevice</v>
      </c>
      <c r="I472" t="str">
        <f t="shared" si="39"/>
        <v>OCSocs.services.debitorderocs.ed.ws.usr</v>
      </c>
      <c r="J472">
        <f>IF(I472="",0,COUNTIF($I$2:I472,I472))</f>
        <v>2</v>
      </c>
      <c r="K472">
        <f>COUNTIF($J$2:J472,1)</f>
        <v>77</v>
      </c>
      <c r="N472">
        <v>14</v>
      </c>
      <c r="O472" t="s">
        <v>31</v>
      </c>
      <c r="P472" t="s">
        <v>171</v>
      </c>
      <c r="Q472" t="s">
        <v>172</v>
      </c>
      <c r="R472" t="s">
        <v>200</v>
      </c>
      <c r="S472" t="s">
        <v>201</v>
      </c>
      <c r="T472" t="s">
        <v>202</v>
      </c>
      <c r="U472" t="s">
        <v>203</v>
      </c>
      <c r="V472" t="s">
        <v>198</v>
      </c>
      <c r="W472" t="s">
        <v>21</v>
      </c>
      <c r="X472" t="s">
        <v>21</v>
      </c>
      <c r="Y472" t="s">
        <v>199</v>
      </c>
      <c r="Z472">
        <v>5052</v>
      </c>
    </row>
    <row r="473" spans="1:26" hidden="1" x14ac:dyDescent="0.25">
      <c r="A473">
        <f>COUNTIF($P$2:P473,P473)</f>
        <v>102</v>
      </c>
      <c r="B473">
        <f>COUNTIF($A$2:A473,1)</f>
        <v>18</v>
      </c>
      <c r="C473" t="str">
        <f t="shared" si="35"/>
        <v>OCS</v>
      </c>
      <c r="D473" t="str">
        <f t="shared" si="36"/>
        <v>OCSPerson</v>
      </c>
      <c r="E473">
        <f>COUNTIF($R$2:R473,R473)</f>
        <v>42</v>
      </c>
      <c r="F473">
        <f>COUNTIF($E$2:E473,1)</f>
        <v>28</v>
      </c>
      <c r="G473" t="str">
        <f t="shared" si="37"/>
        <v>ocs.services.debitorder</v>
      </c>
      <c r="H473" t="str">
        <f t="shared" si="38"/>
        <v>OCSocs.services.debitorderPerson</v>
      </c>
      <c r="I473" t="str">
        <f t="shared" si="39"/>
        <v>OCSocs.services.debitorderocs.ed.ws.usr</v>
      </c>
      <c r="J473">
        <f>IF(I473="",0,COUNTIF($I$2:I473,I473))</f>
        <v>3</v>
      </c>
      <c r="K473">
        <f>COUNTIF($J$2:J473,1)</f>
        <v>77</v>
      </c>
      <c r="N473">
        <v>11</v>
      </c>
      <c r="O473" t="s">
        <v>24</v>
      </c>
      <c r="P473" t="s">
        <v>171</v>
      </c>
      <c r="Q473" t="s">
        <v>172</v>
      </c>
      <c r="R473" t="s">
        <v>200</v>
      </c>
      <c r="S473" t="s">
        <v>201</v>
      </c>
      <c r="T473" t="s">
        <v>202</v>
      </c>
      <c r="U473" t="s">
        <v>203</v>
      </c>
      <c r="V473" t="s">
        <v>198</v>
      </c>
      <c r="W473" t="s">
        <v>21</v>
      </c>
      <c r="X473" t="s">
        <v>21</v>
      </c>
      <c r="Y473" t="s">
        <v>199</v>
      </c>
      <c r="Z473">
        <v>5052</v>
      </c>
    </row>
    <row r="474" spans="1:26" hidden="1" x14ac:dyDescent="0.25">
      <c r="A474">
        <f>COUNTIF($P$2:P474,P474)</f>
        <v>103</v>
      </c>
      <c r="B474">
        <f>COUNTIF($A$2:A474,1)</f>
        <v>18</v>
      </c>
      <c r="C474" t="str">
        <f t="shared" si="35"/>
        <v>OCS</v>
      </c>
      <c r="D474" t="str">
        <f t="shared" si="36"/>
        <v>OCSParent</v>
      </c>
      <c r="E474">
        <f>COUNTIF($R$2:R474,R474)</f>
        <v>43</v>
      </c>
      <c r="F474">
        <f>COUNTIF($E$2:E474,1)</f>
        <v>28</v>
      </c>
      <c r="G474" t="str">
        <f t="shared" si="37"/>
        <v>ocs.services.debitorder</v>
      </c>
      <c r="H474" t="str">
        <f t="shared" si="38"/>
        <v>OCSocs.services.debitorderParent</v>
      </c>
      <c r="I474" t="str">
        <f t="shared" si="39"/>
        <v>OCSocs.services.debitorderocs.ed.ws.usr</v>
      </c>
      <c r="J474">
        <f>IF(I474="",0,COUNTIF($I$2:I474,I474))</f>
        <v>4</v>
      </c>
      <c r="K474">
        <f>COUNTIF($J$2:J474,1)</f>
        <v>77</v>
      </c>
      <c r="N474">
        <v>1</v>
      </c>
      <c r="O474" t="s">
        <v>15</v>
      </c>
      <c r="P474" t="s">
        <v>171</v>
      </c>
      <c r="Q474" t="s">
        <v>172</v>
      </c>
      <c r="R474" t="s">
        <v>200</v>
      </c>
      <c r="S474" t="s">
        <v>201</v>
      </c>
      <c r="T474" t="s">
        <v>202</v>
      </c>
      <c r="U474" t="s">
        <v>203</v>
      </c>
      <c r="V474" t="s">
        <v>198</v>
      </c>
      <c r="W474" t="s">
        <v>21</v>
      </c>
      <c r="X474" t="s">
        <v>21</v>
      </c>
      <c r="Y474" t="s">
        <v>199</v>
      </c>
      <c r="Z474">
        <v>5052</v>
      </c>
    </row>
    <row r="475" spans="1:26" hidden="1" x14ac:dyDescent="0.25">
      <c r="A475">
        <f>COUNTIF($P$2:P475,P475)</f>
        <v>104</v>
      </c>
      <c r="B475">
        <f>COUNTIF($A$2:A475,1)</f>
        <v>18</v>
      </c>
      <c r="C475" t="str">
        <f t="shared" si="35"/>
        <v>OCS</v>
      </c>
      <c r="D475" t="str">
        <f t="shared" si="36"/>
        <v>OCSParent</v>
      </c>
      <c r="E475">
        <f>COUNTIF($R$2:R475,R475)</f>
        <v>44</v>
      </c>
      <c r="F475">
        <f>COUNTIF($E$2:E475,1)</f>
        <v>28</v>
      </c>
      <c r="G475" t="str">
        <f t="shared" si="37"/>
        <v>ocs.services.debitorder</v>
      </c>
      <c r="H475" t="str">
        <f t="shared" si="38"/>
        <v>OCSocs.services.debitorderParent</v>
      </c>
      <c r="I475" t="str">
        <f t="shared" si="39"/>
        <v>OCSocs.services.debitorderocs.ed.ws.usr</v>
      </c>
      <c r="J475">
        <f>IF(I475="",0,COUNTIF($I$2:I475,I475))</f>
        <v>5</v>
      </c>
      <c r="K475">
        <f>COUNTIF($J$2:J475,1)</f>
        <v>77</v>
      </c>
      <c r="N475">
        <v>2</v>
      </c>
      <c r="O475" t="s">
        <v>15</v>
      </c>
      <c r="P475" t="s">
        <v>171</v>
      </c>
      <c r="Q475" t="s">
        <v>172</v>
      </c>
      <c r="R475" t="s">
        <v>200</v>
      </c>
      <c r="S475" t="s">
        <v>201</v>
      </c>
      <c r="T475" t="s">
        <v>202</v>
      </c>
      <c r="U475" t="s">
        <v>203</v>
      </c>
      <c r="V475" t="s">
        <v>198</v>
      </c>
      <c r="W475" t="s">
        <v>21</v>
      </c>
      <c r="X475" t="s">
        <v>21</v>
      </c>
      <c r="Y475" t="s">
        <v>199</v>
      </c>
      <c r="Z475">
        <v>5052</v>
      </c>
    </row>
    <row r="476" spans="1:26" hidden="1" x14ac:dyDescent="0.25">
      <c r="A476">
        <f>COUNTIF($P$2:P476,P476)</f>
        <v>105</v>
      </c>
      <c r="B476">
        <f>COUNTIF($A$2:A476,1)</f>
        <v>18</v>
      </c>
      <c r="C476" t="str">
        <f t="shared" si="35"/>
        <v>OCS</v>
      </c>
      <c r="D476" t="str">
        <f t="shared" si="36"/>
        <v>OCSParent</v>
      </c>
      <c r="E476">
        <f>COUNTIF($R$2:R476,R476)</f>
        <v>45</v>
      </c>
      <c r="F476">
        <f>COUNTIF($E$2:E476,1)</f>
        <v>28</v>
      </c>
      <c r="G476" t="str">
        <f t="shared" si="37"/>
        <v>ocs.services.debitorder</v>
      </c>
      <c r="H476" t="str">
        <f t="shared" si="38"/>
        <v>OCSocs.services.debitorderParent</v>
      </c>
      <c r="I476" t="str">
        <f t="shared" si="39"/>
        <v>OCSocs.services.debitorderocs.ed.ws.usr</v>
      </c>
      <c r="J476">
        <f>IF(I476="",0,COUNTIF($I$2:I476,I476))</f>
        <v>6</v>
      </c>
      <c r="K476">
        <f>COUNTIF($J$2:J476,1)</f>
        <v>77</v>
      </c>
      <c r="N476">
        <v>90</v>
      </c>
      <c r="O476" t="s">
        <v>15</v>
      </c>
      <c r="P476" t="s">
        <v>171</v>
      </c>
      <c r="Q476" t="s">
        <v>172</v>
      </c>
      <c r="R476" t="s">
        <v>200</v>
      </c>
      <c r="S476" t="s">
        <v>201</v>
      </c>
      <c r="T476" t="s">
        <v>202</v>
      </c>
      <c r="U476" t="s">
        <v>203</v>
      </c>
      <c r="V476" t="s">
        <v>198</v>
      </c>
      <c r="W476" t="s">
        <v>21</v>
      </c>
      <c r="X476" t="s">
        <v>21</v>
      </c>
      <c r="Y476" t="s">
        <v>199</v>
      </c>
      <c r="Z476">
        <v>5052</v>
      </c>
    </row>
    <row r="477" spans="1:26" hidden="1" x14ac:dyDescent="0.25">
      <c r="A477">
        <f>COUNTIF($P$2:P477,P477)</f>
        <v>106</v>
      </c>
      <c r="B477">
        <f>COUNTIF($A$2:A477,1)</f>
        <v>18</v>
      </c>
      <c r="C477" t="str">
        <f t="shared" si="35"/>
        <v>OCS</v>
      </c>
      <c r="D477" t="str">
        <f t="shared" si="36"/>
        <v>OCSParent</v>
      </c>
      <c r="E477">
        <f>COUNTIF($R$2:R477,R477)</f>
        <v>46</v>
      </c>
      <c r="F477">
        <f>COUNTIF($E$2:E477,1)</f>
        <v>28</v>
      </c>
      <c r="G477" t="str">
        <f t="shared" si="37"/>
        <v>ocs.services.debitorder</v>
      </c>
      <c r="H477" t="str">
        <f t="shared" si="38"/>
        <v>OCSocs.services.debitorderParent</v>
      </c>
      <c r="I477" t="str">
        <f t="shared" si="39"/>
        <v/>
      </c>
      <c r="J477">
        <f>IF(I477="",0,COUNTIF($I$2:I477,I477))</f>
        <v>0</v>
      </c>
      <c r="K477">
        <f>COUNTIF($J$2:J477,1)</f>
        <v>77</v>
      </c>
      <c r="N477">
        <v>1</v>
      </c>
      <c r="O477" t="s">
        <v>15</v>
      </c>
      <c r="P477" t="s">
        <v>171</v>
      </c>
      <c r="Q477" t="s">
        <v>172</v>
      </c>
      <c r="R477" t="s">
        <v>200</v>
      </c>
      <c r="S477" t="s">
        <v>201</v>
      </c>
      <c r="T477" t="s">
        <v>202</v>
      </c>
      <c r="U477" t="s">
        <v>203</v>
      </c>
      <c r="W477" t="s">
        <v>21</v>
      </c>
    </row>
    <row r="478" spans="1:26" hidden="1" x14ac:dyDescent="0.25">
      <c r="A478">
        <f>COUNTIF($P$2:P478,P478)</f>
        <v>107</v>
      </c>
      <c r="B478">
        <f>COUNTIF($A$2:A478,1)</f>
        <v>18</v>
      </c>
      <c r="C478" t="str">
        <f t="shared" si="35"/>
        <v>OCS</v>
      </c>
      <c r="D478" t="str">
        <f t="shared" si="36"/>
        <v>OCSPerson</v>
      </c>
      <c r="E478">
        <f>COUNTIF($R$2:R478,R478)</f>
        <v>47</v>
      </c>
      <c r="F478">
        <f>COUNTIF($E$2:E478,1)</f>
        <v>28</v>
      </c>
      <c r="G478" t="str">
        <f t="shared" si="37"/>
        <v>ocs.services.debitorder</v>
      </c>
      <c r="H478" t="str">
        <f t="shared" si="38"/>
        <v>OCSocs.services.debitorderPerson</v>
      </c>
      <c r="I478" t="str">
        <f t="shared" si="39"/>
        <v/>
      </c>
      <c r="J478">
        <f>IF(I478="",0,COUNTIF($I$2:I478,I478))</f>
        <v>0</v>
      </c>
      <c r="K478">
        <f>COUNTIF($J$2:J478,1)</f>
        <v>77</v>
      </c>
      <c r="N478">
        <v>10</v>
      </c>
      <c r="O478" t="s">
        <v>24</v>
      </c>
      <c r="P478" t="s">
        <v>171</v>
      </c>
      <c r="Q478" t="s">
        <v>172</v>
      </c>
      <c r="R478" t="s">
        <v>200</v>
      </c>
      <c r="S478" t="s">
        <v>201</v>
      </c>
      <c r="T478" t="s">
        <v>202</v>
      </c>
      <c r="U478" t="s">
        <v>203</v>
      </c>
      <c r="W478" t="s">
        <v>21</v>
      </c>
    </row>
    <row r="479" spans="1:26" hidden="1" x14ac:dyDescent="0.25">
      <c r="A479">
        <f>COUNTIF($P$2:P479,P479)</f>
        <v>108</v>
      </c>
      <c r="B479">
        <f>COUNTIF($A$2:A479,1)</f>
        <v>18</v>
      </c>
      <c r="C479" t="str">
        <f t="shared" si="35"/>
        <v>OCS</v>
      </c>
      <c r="D479" t="str">
        <f t="shared" si="36"/>
        <v>OCSParent</v>
      </c>
      <c r="E479">
        <f>COUNTIF($R$2:R479,R479)</f>
        <v>48</v>
      </c>
      <c r="F479">
        <f>COUNTIF($E$2:E479,1)</f>
        <v>28</v>
      </c>
      <c r="G479" t="str">
        <f t="shared" si="37"/>
        <v>ocs.services.debitorder</v>
      </c>
      <c r="H479" t="str">
        <f t="shared" si="38"/>
        <v>OCSocs.services.debitorderParent</v>
      </c>
      <c r="I479" t="str">
        <f t="shared" si="39"/>
        <v/>
      </c>
      <c r="J479">
        <f>IF(I479="",0,COUNTIF($I$2:I479,I479))</f>
        <v>0</v>
      </c>
      <c r="K479">
        <f>COUNTIF($J$2:J479,1)</f>
        <v>77</v>
      </c>
      <c r="N479">
        <v>265</v>
      </c>
      <c r="O479" t="s">
        <v>15</v>
      </c>
      <c r="P479" t="s">
        <v>171</v>
      </c>
      <c r="Q479" t="s">
        <v>172</v>
      </c>
      <c r="R479" t="s">
        <v>200</v>
      </c>
      <c r="S479" t="s">
        <v>201</v>
      </c>
      <c r="T479" t="s">
        <v>202</v>
      </c>
      <c r="U479" t="s">
        <v>203</v>
      </c>
      <c r="W479" t="s">
        <v>21</v>
      </c>
    </row>
    <row r="480" spans="1:26" hidden="1" x14ac:dyDescent="0.25">
      <c r="A480">
        <f>COUNTIF($P$2:P480,P480)</f>
        <v>109</v>
      </c>
      <c r="B480">
        <f>COUNTIF($A$2:A480,1)</f>
        <v>18</v>
      </c>
      <c r="C480" t="str">
        <f t="shared" si="35"/>
        <v>OCS</v>
      </c>
      <c r="D480" t="str">
        <f t="shared" si="36"/>
        <v>OCSDevice</v>
      </c>
      <c r="E480">
        <f>COUNTIF($R$2:R480,R480)</f>
        <v>49</v>
      </c>
      <c r="F480">
        <f>COUNTIF($E$2:E480,1)</f>
        <v>28</v>
      </c>
      <c r="G480" t="str">
        <f t="shared" si="37"/>
        <v>ocs.services.debitorder</v>
      </c>
      <c r="H480" t="str">
        <f t="shared" si="38"/>
        <v>OCSocs.services.debitorderDevice</v>
      </c>
      <c r="I480" t="str">
        <f t="shared" si="39"/>
        <v/>
      </c>
      <c r="J480">
        <f>IF(I480="",0,COUNTIF($I$2:I480,I480))</f>
        <v>0</v>
      </c>
      <c r="K480">
        <f>COUNTIF($J$2:J480,1)</f>
        <v>77</v>
      </c>
      <c r="N480">
        <v>22</v>
      </c>
      <c r="O480" t="s">
        <v>31</v>
      </c>
      <c r="P480" t="s">
        <v>171</v>
      </c>
      <c r="Q480" t="s">
        <v>172</v>
      </c>
      <c r="R480" t="s">
        <v>200</v>
      </c>
      <c r="S480" t="s">
        <v>201</v>
      </c>
      <c r="T480" t="s">
        <v>202</v>
      </c>
      <c r="U480" t="s">
        <v>203</v>
      </c>
      <c r="W480" t="s">
        <v>22</v>
      </c>
    </row>
    <row r="481" spans="1:26" hidden="1" x14ac:dyDescent="0.25">
      <c r="A481">
        <f>COUNTIF($P$2:P481,P481)</f>
        <v>110</v>
      </c>
      <c r="B481">
        <f>COUNTIF($A$2:A481,1)</f>
        <v>18</v>
      </c>
      <c r="C481" t="str">
        <f t="shared" si="35"/>
        <v>OCS</v>
      </c>
      <c r="D481" t="str">
        <f t="shared" si="36"/>
        <v>OCSPerson</v>
      </c>
      <c r="E481">
        <f>COUNTIF($R$2:R481,R481)</f>
        <v>50</v>
      </c>
      <c r="F481">
        <f>COUNTIF($E$2:E481,1)</f>
        <v>28</v>
      </c>
      <c r="G481" t="str">
        <f t="shared" si="37"/>
        <v>ocs.services.debitorder</v>
      </c>
      <c r="H481" t="str">
        <f t="shared" si="38"/>
        <v>OCSocs.services.debitorderPerson</v>
      </c>
      <c r="I481" t="str">
        <f t="shared" si="39"/>
        <v/>
      </c>
      <c r="J481">
        <f>IF(I481="",0,COUNTIF($I$2:I481,I481))</f>
        <v>0</v>
      </c>
      <c r="K481">
        <f>COUNTIF($J$2:J481,1)</f>
        <v>77</v>
      </c>
      <c r="N481">
        <v>12</v>
      </c>
      <c r="O481" t="s">
        <v>24</v>
      </c>
      <c r="P481" t="s">
        <v>171</v>
      </c>
      <c r="Q481" t="s">
        <v>172</v>
      </c>
      <c r="R481" t="s">
        <v>200</v>
      </c>
      <c r="S481" t="s">
        <v>201</v>
      </c>
      <c r="T481" t="s">
        <v>202</v>
      </c>
      <c r="U481" t="s">
        <v>203</v>
      </c>
      <c r="W481" t="s">
        <v>22</v>
      </c>
    </row>
    <row r="482" spans="1:26" hidden="1" x14ac:dyDescent="0.25">
      <c r="A482">
        <f>COUNTIF($P$2:P482,P482)</f>
        <v>111</v>
      </c>
      <c r="B482">
        <f>COUNTIF($A$2:A482,1)</f>
        <v>18</v>
      </c>
      <c r="C482" t="str">
        <f t="shared" si="35"/>
        <v>OCS</v>
      </c>
      <c r="D482" t="str">
        <f t="shared" si="36"/>
        <v>OCSIntegrator</v>
      </c>
      <c r="E482">
        <f>COUNTIF($R$2:R482,R482)</f>
        <v>51</v>
      </c>
      <c r="F482">
        <f>COUNTIF($E$2:E482,1)</f>
        <v>28</v>
      </c>
      <c r="G482" t="str">
        <f t="shared" si="37"/>
        <v>ocs.services.debitorder</v>
      </c>
      <c r="H482" t="str">
        <f t="shared" si="38"/>
        <v>OCSocs.services.debitorderIntegrator</v>
      </c>
      <c r="I482" t="str">
        <f t="shared" si="39"/>
        <v/>
      </c>
      <c r="J482">
        <f>IF(I482="",0,COUNTIF($I$2:I482,I482))</f>
        <v>0</v>
      </c>
      <c r="K482">
        <f>COUNTIF($J$2:J482,1)</f>
        <v>77</v>
      </c>
      <c r="N482">
        <v>45</v>
      </c>
      <c r="O482" t="s">
        <v>23</v>
      </c>
      <c r="P482" t="s">
        <v>171</v>
      </c>
      <c r="Q482" t="s">
        <v>172</v>
      </c>
      <c r="R482" t="s">
        <v>200</v>
      </c>
      <c r="S482" t="s">
        <v>201</v>
      </c>
      <c r="T482" t="s">
        <v>202</v>
      </c>
      <c r="U482" t="s">
        <v>203</v>
      </c>
      <c r="W482" t="s">
        <v>22</v>
      </c>
    </row>
    <row r="483" spans="1:26" hidden="1" x14ac:dyDescent="0.25">
      <c r="A483">
        <f>COUNTIF($P$2:P483,P483)</f>
        <v>112</v>
      </c>
      <c r="B483">
        <f>COUNTIF($A$2:A483,1)</f>
        <v>18</v>
      </c>
      <c r="C483" t="str">
        <f t="shared" si="35"/>
        <v>OCS</v>
      </c>
      <c r="D483" t="str">
        <f t="shared" si="36"/>
        <v>OCSParent</v>
      </c>
      <c r="E483">
        <f>COUNTIF($R$2:R483,R483)</f>
        <v>52</v>
      </c>
      <c r="F483">
        <f>COUNTIF($E$2:E483,1)</f>
        <v>28</v>
      </c>
      <c r="G483" t="str">
        <f t="shared" si="37"/>
        <v>ocs.services.debitorder</v>
      </c>
      <c r="H483" t="str">
        <f t="shared" si="38"/>
        <v>OCSocs.services.debitorderParent</v>
      </c>
      <c r="I483" t="str">
        <f t="shared" si="39"/>
        <v/>
      </c>
      <c r="J483">
        <f>IF(I483="",0,COUNTIF($I$2:I483,I483))</f>
        <v>0</v>
      </c>
      <c r="K483">
        <f>COUNTIF($J$2:J483,1)</f>
        <v>77</v>
      </c>
      <c r="N483">
        <v>65</v>
      </c>
      <c r="O483" t="s">
        <v>15</v>
      </c>
      <c r="P483" t="s">
        <v>171</v>
      </c>
      <c r="Q483" t="s">
        <v>172</v>
      </c>
      <c r="R483" t="s">
        <v>200</v>
      </c>
      <c r="S483" t="s">
        <v>201</v>
      </c>
      <c r="T483" t="s">
        <v>202</v>
      </c>
      <c r="U483" t="s">
        <v>203</v>
      </c>
      <c r="W483" t="s">
        <v>22</v>
      </c>
    </row>
    <row r="484" spans="1:26" hidden="1" x14ac:dyDescent="0.25">
      <c r="A484">
        <f>COUNTIF($P$2:P484,P484)</f>
        <v>113</v>
      </c>
      <c r="B484">
        <f>COUNTIF($A$2:A484,1)</f>
        <v>18</v>
      </c>
      <c r="C484" t="str">
        <f t="shared" si="35"/>
        <v>OCS</v>
      </c>
      <c r="D484" t="str">
        <f t="shared" si="36"/>
        <v>OCSParent</v>
      </c>
      <c r="E484">
        <f>COUNTIF($R$2:R484,R484)</f>
        <v>53</v>
      </c>
      <c r="F484">
        <f>COUNTIF($E$2:E484,1)</f>
        <v>28</v>
      </c>
      <c r="G484" t="str">
        <f t="shared" si="37"/>
        <v>ocs.services.debitorder</v>
      </c>
      <c r="H484" t="str">
        <f t="shared" si="38"/>
        <v>OCSocs.services.debitorderParent</v>
      </c>
      <c r="I484" t="str">
        <f t="shared" si="39"/>
        <v/>
      </c>
      <c r="J484">
        <f>IF(I484="",0,COUNTIF($I$2:I484,I484))</f>
        <v>0</v>
      </c>
      <c r="K484">
        <f>COUNTIF($J$2:J484,1)</f>
        <v>77</v>
      </c>
      <c r="N484">
        <v>1</v>
      </c>
      <c r="O484" t="s">
        <v>15</v>
      </c>
      <c r="P484" t="s">
        <v>171</v>
      </c>
      <c r="Q484" t="s">
        <v>172</v>
      </c>
      <c r="R484" t="s">
        <v>200</v>
      </c>
      <c r="S484" t="s">
        <v>201</v>
      </c>
      <c r="T484" t="s">
        <v>202</v>
      </c>
      <c r="U484" t="s">
        <v>203</v>
      </c>
      <c r="W484" t="s">
        <v>21</v>
      </c>
    </row>
    <row r="485" spans="1:26" hidden="1" x14ac:dyDescent="0.25">
      <c r="A485">
        <f>COUNTIF($P$2:P485,P485)</f>
        <v>114</v>
      </c>
      <c r="B485">
        <f>COUNTIF($A$2:A485,1)</f>
        <v>18</v>
      </c>
      <c r="C485" t="str">
        <f t="shared" si="35"/>
        <v>OCS</v>
      </c>
      <c r="D485" t="str">
        <f t="shared" si="36"/>
        <v>OCSIntegrator</v>
      </c>
      <c r="E485">
        <f>COUNTIF($R$2:R485,R485)</f>
        <v>54</v>
      </c>
      <c r="F485">
        <f>COUNTIF($E$2:E485,1)</f>
        <v>28</v>
      </c>
      <c r="G485" t="str">
        <f t="shared" si="37"/>
        <v>ocs.services.debitorder</v>
      </c>
      <c r="H485" t="str">
        <f t="shared" si="38"/>
        <v>OCSocs.services.debitorderIntegrator</v>
      </c>
      <c r="I485" t="str">
        <f t="shared" si="39"/>
        <v/>
      </c>
      <c r="J485">
        <f>IF(I485="",0,COUNTIF($I$2:I485,I485))</f>
        <v>0</v>
      </c>
      <c r="K485">
        <f>COUNTIF($J$2:J485,1)</f>
        <v>77</v>
      </c>
      <c r="N485">
        <v>60</v>
      </c>
      <c r="O485" t="s">
        <v>23</v>
      </c>
      <c r="P485" t="s">
        <v>171</v>
      </c>
      <c r="Q485" t="s">
        <v>172</v>
      </c>
      <c r="R485" t="s">
        <v>200</v>
      </c>
      <c r="S485" t="s">
        <v>201</v>
      </c>
      <c r="T485" t="s">
        <v>202</v>
      </c>
      <c r="U485" t="s">
        <v>203</v>
      </c>
      <c r="W485" t="s">
        <v>21</v>
      </c>
    </row>
    <row r="486" spans="1:26" hidden="1" x14ac:dyDescent="0.25">
      <c r="A486">
        <f>COUNTIF($P$2:P486,P486)</f>
        <v>115</v>
      </c>
      <c r="B486">
        <f>COUNTIF($A$2:A486,1)</f>
        <v>18</v>
      </c>
      <c r="C486" t="str">
        <f t="shared" si="35"/>
        <v>OCS</v>
      </c>
      <c r="D486" t="str">
        <f t="shared" si="36"/>
        <v>OCSDevice</v>
      </c>
      <c r="E486">
        <f>COUNTIF($R$2:R486,R486)</f>
        <v>55</v>
      </c>
      <c r="F486">
        <f>COUNTIF($E$2:E486,1)</f>
        <v>28</v>
      </c>
      <c r="G486" t="str">
        <f t="shared" si="37"/>
        <v>ocs.services.debitorder</v>
      </c>
      <c r="H486" t="str">
        <f t="shared" si="38"/>
        <v>OCSocs.services.debitorderDevice</v>
      </c>
      <c r="I486" t="str">
        <f t="shared" si="39"/>
        <v/>
      </c>
      <c r="J486">
        <f>IF(I486="",0,COUNTIF($I$2:I486,I486))</f>
        <v>0</v>
      </c>
      <c r="K486">
        <f>COUNTIF($J$2:J486,1)</f>
        <v>77</v>
      </c>
      <c r="N486">
        <v>15</v>
      </c>
      <c r="O486" t="s">
        <v>31</v>
      </c>
      <c r="P486" t="s">
        <v>171</v>
      </c>
      <c r="Q486" t="s">
        <v>172</v>
      </c>
      <c r="R486" t="s">
        <v>200</v>
      </c>
      <c r="S486" t="s">
        <v>201</v>
      </c>
      <c r="T486" t="s">
        <v>202</v>
      </c>
      <c r="U486" t="s">
        <v>203</v>
      </c>
      <c r="W486" t="s">
        <v>21</v>
      </c>
    </row>
    <row r="487" spans="1:26" hidden="1" x14ac:dyDescent="0.25">
      <c r="A487">
        <f>COUNTIF($P$2:P487,P487)</f>
        <v>116</v>
      </c>
      <c r="B487">
        <f>COUNTIF($A$2:A487,1)</f>
        <v>18</v>
      </c>
      <c r="C487" t="str">
        <f t="shared" si="35"/>
        <v>OCS</v>
      </c>
      <c r="D487" t="str">
        <f t="shared" si="36"/>
        <v>OCSDevice</v>
      </c>
      <c r="E487">
        <f>COUNTIF($R$2:R487,R487)</f>
        <v>56</v>
      </c>
      <c r="F487">
        <f>COUNTIF($E$2:E487,1)</f>
        <v>28</v>
      </c>
      <c r="G487" t="str">
        <f t="shared" si="37"/>
        <v>ocs.services.debitorder</v>
      </c>
      <c r="H487" t="str">
        <f t="shared" si="38"/>
        <v>OCSocs.services.debitorderDevice</v>
      </c>
      <c r="I487" t="str">
        <f t="shared" si="39"/>
        <v/>
      </c>
      <c r="J487">
        <f>IF(I487="",0,COUNTIF($I$2:I487,I487))</f>
        <v>0</v>
      </c>
      <c r="K487">
        <f>COUNTIF($J$2:J487,1)</f>
        <v>77</v>
      </c>
      <c r="N487">
        <v>1</v>
      </c>
      <c r="O487" t="s">
        <v>31</v>
      </c>
      <c r="P487" t="s">
        <v>171</v>
      </c>
      <c r="Q487" t="s">
        <v>172</v>
      </c>
      <c r="R487" t="s">
        <v>200</v>
      </c>
      <c r="S487" t="s">
        <v>201</v>
      </c>
      <c r="T487" t="s">
        <v>202</v>
      </c>
      <c r="U487" t="s">
        <v>203</v>
      </c>
      <c r="W487" t="s">
        <v>21</v>
      </c>
    </row>
    <row r="488" spans="1:26" hidden="1" x14ac:dyDescent="0.25">
      <c r="A488">
        <f>COUNTIF($P$2:P488,P488)</f>
        <v>117</v>
      </c>
      <c r="B488">
        <f>COUNTIF($A$2:A488,1)</f>
        <v>18</v>
      </c>
      <c r="C488" t="str">
        <f t="shared" si="35"/>
        <v>OCS</v>
      </c>
      <c r="D488" t="str">
        <f t="shared" si="36"/>
        <v>OCSDevice</v>
      </c>
      <c r="E488">
        <f>COUNTIF($R$2:R488,R488)</f>
        <v>57</v>
      </c>
      <c r="F488">
        <f>COUNTIF($E$2:E488,1)</f>
        <v>28</v>
      </c>
      <c r="G488" t="str">
        <f t="shared" si="37"/>
        <v>ocs.services.debitorder</v>
      </c>
      <c r="H488" t="str">
        <f t="shared" si="38"/>
        <v>OCSocs.services.debitorderDevice</v>
      </c>
      <c r="I488" t="str">
        <f t="shared" si="39"/>
        <v/>
      </c>
      <c r="J488">
        <f>IF(I488="",0,COUNTIF($I$2:I488,I488))</f>
        <v>0</v>
      </c>
      <c r="K488">
        <f>COUNTIF($J$2:J488,1)</f>
        <v>77</v>
      </c>
      <c r="N488">
        <v>44</v>
      </c>
      <c r="O488" t="s">
        <v>31</v>
      </c>
      <c r="P488" t="s">
        <v>171</v>
      </c>
      <c r="Q488" t="s">
        <v>172</v>
      </c>
      <c r="R488" t="s">
        <v>200</v>
      </c>
      <c r="S488" t="s">
        <v>201</v>
      </c>
      <c r="T488" t="s">
        <v>202</v>
      </c>
      <c r="U488" t="s">
        <v>203</v>
      </c>
      <c r="W488" t="s">
        <v>21</v>
      </c>
    </row>
    <row r="489" spans="1:26" hidden="1" x14ac:dyDescent="0.25">
      <c r="A489">
        <f>COUNTIF($P$2:P489,P489)</f>
        <v>118</v>
      </c>
      <c r="B489">
        <f>COUNTIF($A$2:A489,1)</f>
        <v>18</v>
      </c>
      <c r="C489" t="str">
        <f t="shared" si="35"/>
        <v>OCS</v>
      </c>
      <c r="D489" t="str">
        <f t="shared" si="36"/>
        <v>OCSParent</v>
      </c>
      <c r="E489">
        <f>COUNTIF($R$2:R489,R489)</f>
        <v>58</v>
      </c>
      <c r="F489">
        <f>COUNTIF($E$2:E489,1)</f>
        <v>28</v>
      </c>
      <c r="G489" t="str">
        <f t="shared" si="37"/>
        <v>ocs.services.debitorder</v>
      </c>
      <c r="H489" t="str">
        <f t="shared" si="38"/>
        <v>OCSocs.services.debitorderParent</v>
      </c>
      <c r="I489" t="str">
        <f t="shared" si="39"/>
        <v/>
      </c>
      <c r="J489">
        <f>IF(I489="",0,COUNTIF($I$2:I489,I489))</f>
        <v>0</v>
      </c>
      <c r="K489">
        <f>COUNTIF($J$2:J489,1)</f>
        <v>77</v>
      </c>
      <c r="N489">
        <v>256</v>
      </c>
      <c r="O489" t="s">
        <v>15</v>
      </c>
      <c r="P489" t="s">
        <v>171</v>
      </c>
      <c r="Q489" t="s">
        <v>172</v>
      </c>
      <c r="R489" t="s">
        <v>200</v>
      </c>
      <c r="S489" t="s">
        <v>201</v>
      </c>
      <c r="T489" t="s">
        <v>202</v>
      </c>
      <c r="U489" t="s">
        <v>203</v>
      </c>
      <c r="W489" t="s">
        <v>22</v>
      </c>
    </row>
    <row r="490" spans="1:26" hidden="1" x14ac:dyDescent="0.25">
      <c r="A490">
        <f>COUNTIF($P$2:P490,P490)</f>
        <v>119</v>
      </c>
      <c r="B490">
        <f>COUNTIF($A$2:A490,1)</f>
        <v>18</v>
      </c>
      <c r="C490" t="str">
        <f t="shared" si="35"/>
        <v>OCS</v>
      </c>
      <c r="D490" t="str">
        <f t="shared" si="36"/>
        <v>OCSDevice</v>
      </c>
      <c r="E490">
        <f>COUNTIF($R$2:R490,R490)</f>
        <v>1</v>
      </c>
      <c r="F490">
        <f>COUNTIF($E$2:E490,1)</f>
        <v>29</v>
      </c>
      <c r="G490" t="str">
        <f t="shared" si="37"/>
        <v>ocs.services.mandate</v>
      </c>
      <c r="H490" t="str">
        <f t="shared" si="38"/>
        <v>OCSocs.services.mandateDevice</v>
      </c>
      <c r="I490" t="str">
        <f t="shared" si="39"/>
        <v>OCSocs.services.mandateapp.mandate.creation.enabled</v>
      </c>
      <c r="J490">
        <f>IF(I490="",0,COUNTIF($I$2:I490,I490))</f>
        <v>1</v>
      </c>
      <c r="K490">
        <f>COUNTIF($J$2:J490,1)</f>
        <v>78</v>
      </c>
      <c r="N490">
        <v>20</v>
      </c>
      <c r="O490" t="s">
        <v>31</v>
      </c>
      <c r="P490" t="s">
        <v>171</v>
      </c>
      <c r="Q490" t="s">
        <v>172</v>
      </c>
      <c r="R490" t="s">
        <v>204</v>
      </c>
      <c r="S490" t="s">
        <v>205</v>
      </c>
      <c r="T490" t="s">
        <v>206</v>
      </c>
      <c r="U490" t="s">
        <v>207</v>
      </c>
      <c r="V490" t="s">
        <v>177</v>
      </c>
      <c r="W490" t="s">
        <v>21</v>
      </c>
      <c r="X490" t="s">
        <v>21</v>
      </c>
      <c r="Y490" t="b">
        <v>1</v>
      </c>
      <c r="Z490">
        <v>4184</v>
      </c>
    </row>
    <row r="491" spans="1:26" hidden="1" x14ac:dyDescent="0.25">
      <c r="A491">
        <f>COUNTIF($P$2:P491,P491)</f>
        <v>120</v>
      </c>
      <c r="B491">
        <f>COUNTIF($A$2:A491,1)</f>
        <v>18</v>
      </c>
      <c r="C491" t="str">
        <f t="shared" si="35"/>
        <v>OCS</v>
      </c>
      <c r="D491" t="str">
        <f t="shared" si="36"/>
        <v>OCSParent</v>
      </c>
      <c r="E491">
        <f>COUNTIF($R$2:R491,R491)</f>
        <v>2</v>
      </c>
      <c r="F491">
        <f>COUNTIF($E$2:E491,1)</f>
        <v>29</v>
      </c>
      <c r="G491" t="str">
        <f t="shared" si="37"/>
        <v>ocs.services.mandate</v>
      </c>
      <c r="H491" t="str">
        <f t="shared" si="38"/>
        <v>OCSocs.services.mandateParent</v>
      </c>
      <c r="I491" t="str">
        <f t="shared" si="39"/>
        <v>OCSocs.services.mandateapp.mandate.creation.enabled</v>
      </c>
      <c r="J491">
        <f>IF(I491="",0,COUNTIF($I$2:I491,I491))</f>
        <v>2</v>
      </c>
      <c r="K491">
        <f>COUNTIF($J$2:J491,1)</f>
        <v>78</v>
      </c>
      <c r="N491">
        <v>1</v>
      </c>
      <c r="O491" t="s">
        <v>15</v>
      </c>
      <c r="P491" t="s">
        <v>171</v>
      </c>
      <c r="Q491" t="s">
        <v>172</v>
      </c>
      <c r="R491" t="s">
        <v>204</v>
      </c>
      <c r="S491" t="s">
        <v>205</v>
      </c>
      <c r="T491" t="s">
        <v>206</v>
      </c>
      <c r="U491" t="s">
        <v>207</v>
      </c>
      <c r="V491" t="s">
        <v>177</v>
      </c>
      <c r="W491" t="s">
        <v>21</v>
      </c>
      <c r="X491" t="s">
        <v>21</v>
      </c>
      <c r="Y491" t="b">
        <v>1</v>
      </c>
      <c r="Z491">
        <v>4184</v>
      </c>
    </row>
    <row r="492" spans="1:26" hidden="1" x14ac:dyDescent="0.25">
      <c r="A492">
        <f>COUNTIF($P$2:P492,P492)</f>
        <v>121</v>
      </c>
      <c r="B492">
        <f>COUNTIF($A$2:A492,1)</f>
        <v>18</v>
      </c>
      <c r="C492" t="str">
        <f t="shared" si="35"/>
        <v>OCS</v>
      </c>
      <c r="D492" t="str">
        <f t="shared" si="36"/>
        <v>OCSParent</v>
      </c>
      <c r="E492">
        <f>COUNTIF($R$2:R492,R492)</f>
        <v>3</v>
      </c>
      <c r="F492">
        <f>COUNTIF($E$2:E492,1)</f>
        <v>29</v>
      </c>
      <c r="G492" t="str">
        <f t="shared" si="37"/>
        <v>ocs.services.mandate</v>
      </c>
      <c r="H492" t="str">
        <f t="shared" si="38"/>
        <v>OCSocs.services.mandateParent</v>
      </c>
      <c r="I492" t="str">
        <f t="shared" si="39"/>
        <v>OCSocs.services.mandateapp.mandate.creation.enabled</v>
      </c>
      <c r="J492">
        <f>IF(I492="",0,COUNTIF($I$2:I492,I492))</f>
        <v>3</v>
      </c>
      <c r="K492">
        <f>COUNTIF($J$2:J492,1)</f>
        <v>78</v>
      </c>
      <c r="N492">
        <v>4</v>
      </c>
      <c r="O492" t="s">
        <v>15</v>
      </c>
      <c r="P492" t="s">
        <v>171</v>
      </c>
      <c r="Q492" t="s">
        <v>172</v>
      </c>
      <c r="R492" t="s">
        <v>204</v>
      </c>
      <c r="S492" t="s">
        <v>205</v>
      </c>
      <c r="T492" t="s">
        <v>206</v>
      </c>
      <c r="U492" t="s">
        <v>207</v>
      </c>
      <c r="V492" t="s">
        <v>177</v>
      </c>
      <c r="W492" t="s">
        <v>21</v>
      </c>
      <c r="X492" t="s">
        <v>21</v>
      </c>
      <c r="Y492" t="b">
        <v>1</v>
      </c>
      <c r="Z492">
        <v>4184</v>
      </c>
    </row>
    <row r="493" spans="1:26" hidden="1" x14ac:dyDescent="0.25">
      <c r="A493">
        <f>COUNTIF($P$2:P493,P493)</f>
        <v>122</v>
      </c>
      <c r="B493">
        <f>COUNTIF($A$2:A493,1)</f>
        <v>18</v>
      </c>
      <c r="C493" t="str">
        <f t="shared" si="35"/>
        <v>OCS</v>
      </c>
      <c r="D493" t="str">
        <f t="shared" si="36"/>
        <v>OCSDevice</v>
      </c>
      <c r="E493">
        <f>COUNTIF($R$2:R493,R493)</f>
        <v>4</v>
      </c>
      <c r="F493">
        <f>COUNTIF($E$2:E493,1)</f>
        <v>29</v>
      </c>
      <c r="G493" t="str">
        <f t="shared" si="37"/>
        <v>ocs.services.mandate</v>
      </c>
      <c r="H493" t="str">
        <f t="shared" si="38"/>
        <v>OCSocs.services.mandateDevice</v>
      </c>
      <c r="I493" t="str">
        <f t="shared" si="39"/>
        <v>OCSocs.services.mandateapp.transaction.history.enabled</v>
      </c>
      <c r="J493">
        <f>IF(I493="",0,COUNTIF($I$2:I493,I493))</f>
        <v>1</v>
      </c>
      <c r="K493">
        <f>COUNTIF($J$2:J493,1)</f>
        <v>79</v>
      </c>
      <c r="N493">
        <v>7</v>
      </c>
      <c r="O493" t="s">
        <v>31</v>
      </c>
      <c r="P493" t="s">
        <v>171</v>
      </c>
      <c r="Q493" t="s">
        <v>172</v>
      </c>
      <c r="R493" t="s">
        <v>204</v>
      </c>
      <c r="S493" t="s">
        <v>205</v>
      </c>
      <c r="T493" t="s">
        <v>206</v>
      </c>
      <c r="U493" t="s">
        <v>207</v>
      </c>
      <c r="V493" t="s">
        <v>178</v>
      </c>
      <c r="W493" t="s">
        <v>21</v>
      </c>
      <c r="X493" t="s">
        <v>21</v>
      </c>
      <c r="Y493" t="b">
        <v>1</v>
      </c>
      <c r="Z493">
        <v>4185</v>
      </c>
    </row>
    <row r="494" spans="1:26" hidden="1" x14ac:dyDescent="0.25">
      <c r="A494">
        <f>COUNTIF($P$2:P494,P494)</f>
        <v>123</v>
      </c>
      <c r="B494">
        <f>COUNTIF($A$2:A494,1)</f>
        <v>18</v>
      </c>
      <c r="C494" t="str">
        <f t="shared" si="35"/>
        <v>OCS</v>
      </c>
      <c r="D494" t="str">
        <f t="shared" si="36"/>
        <v>OCSDevice</v>
      </c>
      <c r="E494">
        <f>COUNTIF($R$2:R494,R494)</f>
        <v>5</v>
      </c>
      <c r="F494">
        <f>COUNTIF($E$2:E494,1)</f>
        <v>29</v>
      </c>
      <c r="G494" t="str">
        <f t="shared" si="37"/>
        <v>ocs.services.mandate</v>
      </c>
      <c r="H494" t="str">
        <f t="shared" si="38"/>
        <v>OCSocs.services.mandateDevice</v>
      </c>
      <c r="I494" t="str">
        <f t="shared" si="39"/>
        <v>OCSocs.services.mandateexternal.status.webhook.url</v>
      </c>
      <c r="J494">
        <f>IF(I494="",0,COUNTIF($I$2:I494,I494))</f>
        <v>1</v>
      </c>
      <c r="K494">
        <f>COUNTIF($J$2:J494,1)</f>
        <v>80</v>
      </c>
      <c r="N494">
        <v>17</v>
      </c>
      <c r="O494" t="s">
        <v>31</v>
      </c>
      <c r="P494" t="s">
        <v>171</v>
      </c>
      <c r="Q494" t="s">
        <v>172</v>
      </c>
      <c r="R494" t="s">
        <v>204</v>
      </c>
      <c r="S494" t="s">
        <v>205</v>
      </c>
      <c r="T494" t="s">
        <v>206</v>
      </c>
      <c r="U494" t="s">
        <v>207</v>
      </c>
      <c r="V494" t="s">
        <v>179</v>
      </c>
      <c r="W494" t="s">
        <v>21</v>
      </c>
      <c r="X494" t="s">
        <v>21</v>
      </c>
      <c r="Y494" t="s">
        <v>180</v>
      </c>
      <c r="Z494">
        <v>5016</v>
      </c>
    </row>
    <row r="495" spans="1:26" hidden="1" x14ac:dyDescent="0.25">
      <c r="A495">
        <f>COUNTIF($P$2:P495,P495)</f>
        <v>124</v>
      </c>
      <c r="B495">
        <f>COUNTIF($A$2:A495,1)</f>
        <v>18</v>
      </c>
      <c r="C495" t="str">
        <f t="shared" si="35"/>
        <v>OCS</v>
      </c>
      <c r="D495" t="str">
        <f t="shared" si="36"/>
        <v>OCSIntegrator</v>
      </c>
      <c r="E495">
        <f>COUNTIF($R$2:R495,R495)</f>
        <v>6</v>
      </c>
      <c r="F495">
        <f>COUNTIF($E$2:E495,1)</f>
        <v>29</v>
      </c>
      <c r="G495" t="str">
        <f t="shared" si="37"/>
        <v>ocs.services.mandate</v>
      </c>
      <c r="H495" t="str">
        <f t="shared" si="38"/>
        <v>OCSocs.services.mandateIntegrator</v>
      </c>
      <c r="I495" t="str">
        <f t="shared" si="39"/>
        <v>OCSocs.services.mandateexternal.status.webhook.url</v>
      </c>
      <c r="J495">
        <f>IF(I495="",0,COUNTIF($I$2:I495,I495))</f>
        <v>2</v>
      </c>
      <c r="K495">
        <f>COUNTIF($J$2:J495,1)</f>
        <v>80</v>
      </c>
      <c r="N495">
        <v>1</v>
      </c>
      <c r="O495" t="s">
        <v>23</v>
      </c>
      <c r="P495" t="s">
        <v>171</v>
      </c>
      <c r="Q495" t="s">
        <v>172</v>
      </c>
      <c r="R495" t="s">
        <v>204</v>
      </c>
      <c r="S495" t="s">
        <v>205</v>
      </c>
      <c r="T495" t="s">
        <v>206</v>
      </c>
      <c r="U495" t="s">
        <v>207</v>
      </c>
      <c r="V495" t="s">
        <v>179</v>
      </c>
      <c r="W495" t="s">
        <v>21</v>
      </c>
      <c r="X495" t="s">
        <v>21</v>
      </c>
      <c r="Y495" t="s">
        <v>180</v>
      </c>
      <c r="Z495">
        <v>5016</v>
      </c>
    </row>
    <row r="496" spans="1:26" hidden="1" x14ac:dyDescent="0.25">
      <c r="A496">
        <f>COUNTIF($P$2:P496,P496)</f>
        <v>125</v>
      </c>
      <c r="B496">
        <f>COUNTIF($A$2:A496,1)</f>
        <v>18</v>
      </c>
      <c r="C496" t="str">
        <f t="shared" si="35"/>
        <v>OCS</v>
      </c>
      <c r="D496" t="str">
        <f t="shared" si="36"/>
        <v>OCSParent</v>
      </c>
      <c r="E496">
        <f>COUNTIF($R$2:R496,R496)</f>
        <v>7</v>
      </c>
      <c r="F496">
        <f>COUNTIF($E$2:E496,1)</f>
        <v>29</v>
      </c>
      <c r="G496" t="str">
        <f t="shared" si="37"/>
        <v>ocs.services.mandate</v>
      </c>
      <c r="H496" t="str">
        <f t="shared" si="38"/>
        <v>OCSocs.services.mandateParent</v>
      </c>
      <c r="I496" t="str">
        <f t="shared" si="39"/>
        <v>OCSocs.services.mandateexternal.status.webhook.url</v>
      </c>
      <c r="J496">
        <f>IF(I496="",0,COUNTIF($I$2:I496,I496))</f>
        <v>3</v>
      </c>
      <c r="K496">
        <f>COUNTIF($J$2:J496,1)</f>
        <v>80</v>
      </c>
      <c r="N496">
        <v>5</v>
      </c>
      <c r="O496" t="s">
        <v>15</v>
      </c>
      <c r="P496" t="s">
        <v>171</v>
      </c>
      <c r="Q496" t="s">
        <v>172</v>
      </c>
      <c r="R496" t="s">
        <v>204</v>
      </c>
      <c r="S496" t="s">
        <v>205</v>
      </c>
      <c r="T496" t="s">
        <v>206</v>
      </c>
      <c r="U496" t="s">
        <v>207</v>
      </c>
      <c r="V496" t="s">
        <v>179</v>
      </c>
      <c r="W496" t="s">
        <v>21</v>
      </c>
      <c r="X496" t="s">
        <v>21</v>
      </c>
      <c r="Y496" t="s">
        <v>180</v>
      </c>
      <c r="Z496">
        <v>5016</v>
      </c>
    </row>
    <row r="497" spans="1:26" hidden="1" x14ac:dyDescent="0.25">
      <c r="A497">
        <f>COUNTIF($P$2:P497,P497)</f>
        <v>126</v>
      </c>
      <c r="B497">
        <f>COUNTIF($A$2:A497,1)</f>
        <v>18</v>
      </c>
      <c r="C497" t="str">
        <f t="shared" si="35"/>
        <v>OCS</v>
      </c>
      <c r="D497" t="str">
        <f t="shared" si="36"/>
        <v>OCSIntegrator</v>
      </c>
      <c r="E497">
        <f>COUNTIF($R$2:R497,R497)</f>
        <v>8</v>
      </c>
      <c r="F497">
        <f>COUNTIF($E$2:E497,1)</f>
        <v>29</v>
      </c>
      <c r="G497" t="str">
        <f t="shared" si="37"/>
        <v>ocs.services.mandate</v>
      </c>
      <c r="H497" t="str">
        <f t="shared" si="38"/>
        <v>OCSocs.services.mandateIntegrator</v>
      </c>
      <c r="I497" t="str">
        <f t="shared" si="39"/>
        <v>OCSocs.services.mandateocs.df.scheme</v>
      </c>
      <c r="J497">
        <f>IF(I497="",0,COUNTIF($I$2:I497,I497))</f>
        <v>1</v>
      </c>
      <c r="K497">
        <f>COUNTIF($J$2:J497,1)</f>
        <v>81</v>
      </c>
      <c r="N497">
        <v>23</v>
      </c>
      <c r="O497" t="s">
        <v>23</v>
      </c>
      <c r="P497" t="s">
        <v>171</v>
      </c>
      <c r="Q497" t="s">
        <v>172</v>
      </c>
      <c r="R497" t="s">
        <v>204</v>
      </c>
      <c r="S497" t="s">
        <v>205</v>
      </c>
      <c r="T497" t="s">
        <v>206</v>
      </c>
      <c r="U497" t="s">
        <v>207</v>
      </c>
      <c r="V497" t="s">
        <v>181</v>
      </c>
      <c r="W497" t="s">
        <v>21</v>
      </c>
      <c r="X497" t="s">
        <v>21</v>
      </c>
      <c r="Y497" t="s">
        <v>182</v>
      </c>
      <c r="Z497">
        <v>5055</v>
      </c>
    </row>
    <row r="498" spans="1:26" hidden="1" x14ac:dyDescent="0.25">
      <c r="A498">
        <f>COUNTIF($P$2:P498,P498)</f>
        <v>127</v>
      </c>
      <c r="B498">
        <f>COUNTIF($A$2:A498,1)</f>
        <v>18</v>
      </c>
      <c r="C498" t="str">
        <f t="shared" si="35"/>
        <v>OCS</v>
      </c>
      <c r="D498" t="str">
        <f t="shared" si="36"/>
        <v>OCSParent</v>
      </c>
      <c r="E498">
        <f>COUNTIF($R$2:R498,R498)</f>
        <v>9</v>
      </c>
      <c r="F498">
        <f>COUNTIF($E$2:E498,1)</f>
        <v>29</v>
      </c>
      <c r="G498" t="str">
        <f t="shared" si="37"/>
        <v>ocs.services.mandate</v>
      </c>
      <c r="H498" t="str">
        <f t="shared" si="38"/>
        <v>OCSocs.services.mandateParent</v>
      </c>
      <c r="I498" t="str">
        <f t="shared" si="39"/>
        <v>OCSocs.services.mandateocs.df.scheme</v>
      </c>
      <c r="J498">
        <f>IF(I498="",0,COUNTIF($I$2:I498,I498))</f>
        <v>2</v>
      </c>
      <c r="K498">
        <f>COUNTIF($J$2:J498,1)</f>
        <v>81</v>
      </c>
      <c r="N498">
        <v>90</v>
      </c>
      <c r="O498" t="s">
        <v>15</v>
      </c>
      <c r="P498" t="s">
        <v>171</v>
      </c>
      <c r="Q498" t="s">
        <v>172</v>
      </c>
      <c r="R498" t="s">
        <v>204</v>
      </c>
      <c r="S498" t="s">
        <v>205</v>
      </c>
      <c r="T498" t="s">
        <v>206</v>
      </c>
      <c r="U498" t="s">
        <v>207</v>
      </c>
      <c r="V498" t="s">
        <v>181</v>
      </c>
      <c r="W498" t="s">
        <v>21</v>
      </c>
      <c r="X498" t="s">
        <v>21</v>
      </c>
      <c r="Y498" t="s">
        <v>182</v>
      </c>
      <c r="Z498">
        <v>5055</v>
      </c>
    </row>
    <row r="499" spans="1:26" hidden="1" x14ac:dyDescent="0.25">
      <c r="A499">
        <f>COUNTIF($P$2:P499,P499)</f>
        <v>128</v>
      </c>
      <c r="B499">
        <f>COUNTIF($A$2:A499,1)</f>
        <v>18</v>
      </c>
      <c r="C499" t="str">
        <f t="shared" si="35"/>
        <v>OCS</v>
      </c>
      <c r="D499" t="str">
        <f t="shared" si="36"/>
        <v>OCSPerson</v>
      </c>
      <c r="E499">
        <f>COUNTIF($R$2:R499,R499)</f>
        <v>10</v>
      </c>
      <c r="F499">
        <f>COUNTIF($E$2:E499,1)</f>
        <v>29</v>
      </c>
      <c r="G499" t="str">
        <f t="shared" si="37"/>
        <v>ocs.services.mandate</v>
      </c>
      <c r="H499" t="str">
        <f t="shared" si="38"/>
        <v>OCSocs.services.mandatePerson</v>
      </c>
      <c r="I499" t="str">
        <f t="shared" si="39"/>
        <v>OCSocs.services.mandateocs.df.scheme</v>
      </c>
      <c r="J499">
        <f>IF(I499="",0,COUNTIF($I$2:I499,I499))</f>
        <v>3</v>
      </c>
      <c r="K499">
        <f>COUNTIF($J$2:J499,1)</f>
        <v>81</v>
      </c>
      <c r="N499">
        <v>11</v>
      </c>
      <c r="O499" t="s">
        <v>24</v>
      </c>
      <c r="P499" t="s">
        <v>171</v>
      </c>
      <c r="Q499" t="s">
        <v>172</v>
      </c>
      <c r="R499" t="s">
        <v>204</v>
      </c>
      <c r="S499" t="s">
        <v>205</v>
      </c>
      <c r="T499" t="s">
        <v>206</v>
      </c>
      <c r="U499" t="s">
        <v>207</v>
      </c>
      <c r="V499" t="s">
        <v>181</v>
      </c>
      <c r="W499" t="s">
        <v>21</v>
      </c>
      <c r="X499" t="s">
        <v>21</v>
      </c>
      <c r="Y499" t="s">
        <v>182</v>
      </c>
      <c r="Z499">
        <v>5055</v>
      </c>
    </row>
    <row r="500" spans="1:26" hidden="1" x14ac:dyDescent="0.25">
      <c r="A500">
        <f>COUNTIF($P$2:P500,P500)</f>
        <v>129</v>
      </c>
      <c r="B500">
        <f>COUNTIF($A$2:A500,1)</f>
        <v>18</v>
      </c>
      <c r="C500" t="str">
        <f t="shared" si="35"/>
        <v>OCS</v>
      </c>
      <c r="D500" t="str">
        <f t="shared" si="36"/>
        <v>OCSIntegrator</v>
      </c>
      <c r="E500">
        <f>COUNTIF($R$2:R500,R500)</f>
        <v>11</v>
      </c>
      <c r="F500">
        <f>COUNTIF($E$2:E500,1)</f>
        <v>29</v>
      </c>
      <c r="G500" t="str">
        <f t="shared" si="37"/>
        <v>ocs.services.mandate</v>
      </c>
      <c r="H500" t="str">
        <f t="shared" si="38"/>
        <v>OCSocs.services.mandateIntegrator</v>
      </c>
      <c r="I500" t="str">
        <f t="shared" si="39"/>
        <v>OCSocs.services.mandateocs.easy.loan.webhook.url</v>
      </c>
      <c r="J500">
        <f>IF(I500="",0,COUNTIF($I$2:I500,I500))</f>
        <v>1</v>
      </c>
      <c r="K500">
        <f>COUNTIF($J$2:J500,1)</f>
        <v>82</v>
      </c>
      <c r="N500">
        <v>7</v>
      </c>
      <c r="O500" t="s">
        <v>23</v>
      </c>
      <c r="P500" t="s">
        <v>171</v>
      </c>
      <c r="Q500" t="s">
        <v>172</v>
      </c>
      <c r="R500" t="s">
        <v>204</v>
      </c>
      <c r="S500" t="s">
        <v>205</v>
      </c>
      <c r="T500" t="s">
        <v>206</v>
      </c>
      <c r="U500" t="s">
        <v>207</v>
      </c>
      <c r="V500" t="s">
        <v>183</v>
      </c>
      <c r="W500" t="s">
        <v>22</v>
      </c>
      <c r="X500" t="s">
        <v>22</v>
      </c>
      <c r="Y500" t="s">
        <v>184</v>
      </c>
      <c r="Z500">
        <v>1909</v>
      </c>
    </row>
    <row r="501" spans="1:26" hidden="1" x14ac:dyDescent="0.25">
      <c r="A501">
        <f>COUNTIF($P$2:P501,P501)</f>
        <v>130</v>
      </c>
      <c r="B501">
        <f>COUNTIF($A$2:A501,1)</f>
        <v>18</v>
      </c>
      <c r="C501" t="str">
        <f t="shared" si="35"/>
        <v>OCS</v>
      </c>
      <c r="D501" t="str">
        <f t="shared" si="36"/>
        <v>OCSParent</v>
      </c>
      <c r="E501">
        <f>COUNTIF($R$2:R501,R501)</f>
        <v>12</v>
      </c>
      <c r="F501">
        <f>COUNTIF($E$2:E501,1)</f>
        <v>29</v>
      </c>
      <c r="G501" t="str">
        <f t="shared" si="37"/>
        <v>ocs.services.mandate</v>
      </c>
      <c r="H501" t="str">
        <f t="shared" si="38"/>
        <v>OCSocs.services.mandateParent</v>
      </c>
      <c r="I501" t="str">
        <f t="shared" si="39"/>
        <v>OCSocs.services.mandateocs.ed.do.gc</v>
      </c>
      <c r="J501">
        <f>IF(I501="",0,COUNTIF($I$2:I501,I501))</f>
        <v>1</v>
      </c>
      <c r="K501">
        <f>COUNTIF($J$2:J501,1)</f>
        <v>83</v>
      </c>
      <c r="N501">
        <v>30</v>
      </c>
      <c r="O501" t="s">
        <v>15</v>
      </c>
      <c r="P501" t="s">
        <v>171</v>
      </c>
      <c r="Q501" t="s">
        <v>172</v>
      </c>
      <c r="R501" t="s">
        <v>204</v>
      </c>
      <c r="S501" t="s">
        <v>205</v>
      </c>
      <c r="T501" t="s">
        <v>206</v>
      </c>
      <c r="U501" t="s">
        <v>207</v>
      </c>
      <c r="V501" t="s">
        <v>185</v>
      </c>
      <c r="W501" t="s">
        <v>21</v>
      </c>
      <c r="X501" t="s">
        <v>21</v>
      </c>
      <c r="Y501" t="s">
        <v>186</v>
      </c>
      <c r="Z501">
        <v>5003</v>
      </c>
    </row>
    <row r="502" spans="1:26" hidden="1" x14ac:dyDescent="0.25">
      <c r="A502">
        <f>COUNTIF($P$2:P502,P502)</f>
        <v>131</v>
      </c>
      <c r="B502">
        <f>COUNTIF($A$2:A502,1)</f>
        <v>18</v>
      </c>
      <c r="C502" t="str">
        <f t="shared" si="35"/>
        <v>OCS</v>
      </c>
      <c r="D502" t="str">
        <f t="shared" si="36"/>
        <v>OCSIntegrator</v>
      </c>
      <c r="E502">
        <f>COUNTIF($R$2:R502,R502)</f>
        <v>13</v>
      </c>
      <c r="F502">
        <f>COUNTIF($E$2:E502,1)</f>
        <v>29</v>
      </c>
      <c r="G502" t="str">
        <f t="shared" si="37"/>
        <v>ocs.services.mandate</v>
      </c>
      <c r="H502" t="str">
        <f t="shared" si="38"/>
        <v>OCSocs.services.mandateIntegrator</v>
      </c>
      <c r="I502" t="str">
        <f t="shared" si="39"/>
        <v>OCSocs.services.mandateocs.ed.do.gc</v>
      </c>
      <c r="J502">
        <f>IF(I502="",0,COUNTIF($I$2:I502,I502))</f>
        <v>2</v>
      </c>
      <c r="K502">
        <f>COUNTIF($J$2:J502,1)</f>
        <v>83</v>
      </c>
      <c r="N502">
        <v>7</v>
      </c>
      <c r="O502" t="s">
        <v>23</v>
      </c>
      <c r="P502" t="s">
        <v>171</v>
      </c>
      <c r="Q502" t="s">
        <v>172</v>
      </c>
      <c r="R502" t="s">
        <v>204</v>
      </c>
      <c r="S502" t="s">
        <v>205</v>
      </c>
      <c r="T502" t="s">
        <v>206</v>
      </c>
      <c r="U502" t="s">
        <v>207</v>
      </c>
      <c r="V502" t="s">
        <v>185</v>
      </c>
      <c r="W502" t="s">
        <v>21</v>
      </c>
      <c r="X502" t="s">
        <v>21</v>
      </c>
      <c r="Y502" t="s">
        <v>186</v>
      </c>
      <c r="Z502">
        <v>5003</v>
      </c>
    </row>
    <row r="503" spans="1:26" hidden="1" x14ac:dyDescent="0.25">
      <c r="A503">
        <f>COUNTIF($P$2:P503,P503)</f>
        <v>132</v>
      </c>
      <c r="B503">
        <f>COUNTIF($A$2:A503,1)</f>
        <v>18</v>
      </c>
      <c r="C503" t="str">
        <f t="shared" si="35"/>
        <v>OCS</v>
      </c>
      <c r="D503" t="str">
        <f t="shared" si="36"/>
        <v>OCSParent</v>
      </c>
      <c r="E503">
        <f>COUNTIF($R$2:R503,R503)</f>
        <v>14</v>
      </c>
      <c r="F503">
        <f>COUNTIF($E$2:E503,1)</f>
        <v>29</v>
      </c>
      <c r="G503" t="str">
        <f t="shared" si="37"/>
        <v>ocs.services.mandate</v>
      </c>
      <c r="H503" t="str">
        <f t="shared" si="38"/>
        <v>OCSocs.services.mandateParent</v>
      </c>
      <c r="I503" t="str">
        <f t="shared" si="39"/>
        <v>OCSocs.services.mandateocs.ed.do.sc.gc.map</v>
      </c>
      <c r="J503">
        <f>IF(I503="",0,COUNTIF($I$2:I503,I503))</f>
        <v>1</v>
      </c>
      <c r="K503">
        <f>COUNTIF($J$2:J503,1)</f>
        <v>84</v>
      </c>
      <c r="N503">
        <v>33</v>
      </c>
      <c r="O503" t="s">
        <v>15</v>
      </c>
      <c r="P503" t="s">
        <v>171</v>
      </c>
      <c r="Q503" t="s">
        <v>172</v>
      </c>
      <c r="R503" t="s">
        <v>204</v>
      </c>
      <c r="S503" t="s">
        <v>205</v>
      </c>
      <c r="T503" t="s">
        <v>206</v>
      </c>
      <c r="U503" t="s">
        <v>207</v>
      </c>
      <c r="V503" t="s">
        <v>187</v>
      </c>
      <c r="W503" t="s">
        <v>21</v>
      </c>
      <c r="X503" t="s">
        <v>21</v>
      </c>
      <c r="Y503" t="s">
        <v>188</v>
      </c>
      <c r="Z503">
        <v>5011</v>
      </c>
    </row>
    <row r="504" spans="1:26" hidden="1" x14ac:dyDescent="0.25">
      <c r="A504">
        <f>COUNTIF($P$2:P504,P504)</f>
        <v>133</v>
      </c>
      <c r="B504">
        <f>COUNTIF($A$2:A504,1)</f>
        <v>18</v>
      </c>
      <c r="C504" t="str">
        <f t="shared" si="35"/>
        <v>OCS</v>
      </c>
      <c r="D504" t="str">
        <f t="shared" si="36"/>
        <v>OCSIntegrator</v>
      </c>
      <c r="E504">
        <f>COUNTIF($R$2:R504,R504)</f>
        <v>15</v>
      </c>
      <c r="F504">
        <f>COUNTIF($E$2:E504,1)</f>
        <v>29</v>
      </c>
      <c r="G504" t="str">
        <f t="shared" si="37"/>
        <v>ocs.services.mandate</v>
      </c>
      <c r="H504" t="str">
        <f t="shared" si="38"/>
        <v>OCSocs.services.mandateIntegrator</v>
      </c>
      <c r="I504" t="str">
        <f t="shared" si="39"/>
        <v>OCSocs.services.mandateocs.ed.do.sc.gc.map</v>
      </c>
      <c r="J504">
        <f>IF(I504="",0,COUNTIF($I$2:I504,I504))</f>
        <v>2</v>
      </c>
      <c r="K504">
        <f>COUNTIF($J$2:J504,1)</f>
        <v>84</v>
      </c>
      <c r="N504">
        <v>7</v>
      </c>
      <c r="O504" t="s">
        <v>23</v>
      </c>
      <c r="P504" t="s">
        <v>171</v>
      </c>
      <c r="Q504" t="s">
        <v>172</v>
      </c>
      <c r="R504" t="s">
        <v>204</v>
      </c>
      <c r="S504" t="s">
        <v>205</v>
      </c>
      <c r="T504" t="s">
        <v>206</v>
      </c>
      <c r="U504" t="s">
        <v>207</v>
      </c>
      <c r="V504" t="s">
        <v>187</v>
      </c>
      <c r="W504" t="s">
        <v>21</v>
      </c>
      <c r="X504" t="s">
        <v>21</v>
      </c>
      <c r="Y504" t="s">
        <v>188</v>
      </c>
      <c r="Z504">
        <v>5011</v>
      </c>
    </row>
    <row r="505" spans="1:26" x14ac:dyDescent="0.25">
      <c r="A505">
        <f>COUNTIF($P$2:P505,P505)</f>
        <v>134</v>
      </c>
      <c r="B505">
        <f>COUNTIF($A$2:A505,1)</f>
        <v>18</v>
      </c>
      <c r="C505" t="str">
        <f t="shared" si="35"/>
        <v>OCS</v>
      </c>
      <c r="D505" t="str">
        <f t="shared" si="36"/>
        <v>OCSDevice</v>
      </c>
      <c r="E505">
        <f>COUNTIF($R$2:R505,R505)</f>
        <v>16</v>
      </c>
      <c r="F505">
        <f>COUNTIF($E$2:E505,1)</f>
        <v>29</v>
      </c>
      <c r="G505" t="str">
        <f t="shared" si="37"/>
        <v>ocs.services.mandate</v>
      </c>
      <c r="H505" t="str">
        <f t="shared" si="38"/>
        <v>OCSocs.services.mandateDevice</v>
      </c>
      <c r="I505" t="str">
        <f t="shared" si="39"/>
        <v>OCSocs.services.mandateocs.ed.mandate.default.details</v>
      </c>
      <c r="J505">
        <f>IF(I505="",0,COUNTIF($I$2:I505,I505))</f>
        <v>1</v>
      </c>
      <c r="K505">
        <f>COUNTIF($J$2:J505,1)</f>
        <v>85</v>
      </c>
      <c r="N505">
        <v>17</v>
      </c>
      <c r="O505" t="s">
        <v>31</v>
      </c>
      <c r="P505" t="s">
        <v>171</v>
      </c>
      <c r="Q505" t="s">
        <v>172</v>
      </c>
      <c r="R505" t="s">
        <v>204</v>
      </c>
      <c r="S505" t="s">
        <v>205</v>
      </c>
      <c r="T505" t="s">
        <v>206</v>
      </c>
      <c r="U505" t="s">
        <v>207</v>
      </c>
      <c r="V505" t="s">
        <v>189</v>
      </c>
      <c r="W505" t="s">
        <v>21</v>
      </c>
      <c r="X505" t="s">
        <v>21</v>
      </c>
      <c r="Y505" t="s">
        <v>190</v>
      </c>
      <c r="Z505">
        <v>5017</v>
      </c>
    </row>
    <row r="506" spans="1:26" x14ac:dyDescent="0.25">
      <c r="A506">
        <f>COUNTIF($P$2:P506,P506)</f>
        <v>135</v>
      </c>
      <c r="B506">
        <f>COUNTIF($A$2:A506,1)</f>
        <v>18</v>
      </c>
      <c r="C506" t="str">
        <f t="shared" si="35"/>
        <v>OCS</v>
      </c>
      <c r="D506" t="str">
        <f t="shared" si="36"/>
        <v>OCSIntegrator</v>
      </c>
      <c r="E506">
        <f>COUNTIF($R$2:R506,R506)</f>
        <v>17</v>
      </c>
      <c r="F506">
        <f>COUNTIF($E$2:E506,1)</f>
        <v>29</v>
      </c>
      <c r="G506" t="str">
        <f t="shared" si="37"/>
        <v>ocs.services.mandate</v>
      </c>
      <c r="H506" t="str">
        <f t="shared" si="38"/>
        <v>OCSocs.services.mandateIntegrator</v>
      </c>
      <c r="I506" t="str">
        <f t="shared" si="39"/>
        <v>OCSocs.services.mandateocs.ed.mandate.default.details</v>
      </c>
      <c r="J506">
        <f>IF(I506="",0,COUNTIF($I$2:I506,I506))</f>
        <v>2</v>
      </c>
      <c r="K506">
        <f>COUNTIF($J$2:J506,1)</f>
        <v>85</v>
      </c>
      <c r="N506">
        <v>2</v>
      </c>
      <c r="O506" t="s">
        <v>23</v>
      </c>
      <c r="P506" t="s">
        <v>171</v>
      </c>
      <c r="Q506" t="s">
        <v>172</v>
      </c>
      <c r="R506" t="s">
        <v>204</v>
      </c>
      <c r="S506" t="s">
        <v>205</v>
      </c>
      <c r="T506" t="s">
        <v>206</v>
      </c>
      <c r="U506" t="s">
        <v>207</v>
      </c>
      <c r="V506" t="s">
        <v>189</v>
      </c>
      <c r="W506" t="s">
        <v>21</v>
      </c>
      <c r="X506" t="s">
        <v>21</v>
      </c>
      <c r="Y506" t="s">
        <v>190</v>
      </c>
      <c r="Z506">
        <v>5017</v>
      </c>
    </row>
    <row r="507" spans="1:26" x14ac:dyDescent="0.25">
      <c r="A507">
        <f>COUNTIF($P$2:P507,P507)</f>
        <v>136</v>
      </c>
      <c r="B507">
        <f>COUNTIF($A$2:A507,1)</f>
        <v>18</v>
      </c>
      <c r="C507" t="str">
        <f t="shared" si="35"/>
        <v>OCS</v>
      </c>
      <c r="D507" t="str">
        <f t="shared" si="36"/>
        <v>OCSParent</v>
      </c>
      <c r="E507">
        <f>COUNTIF($R$2:R507,R507)</f>
        <v>18</v>
      </c>
      <c r="F507">
        <f>COUNTIF($E$2:E507,1)</f>
        <v>29</v>
      </c>
      <c r="G507" t="str">
        <f t="shared" si="37"/>
        <v>ocs.services.mandate</v>
      </c>
      <c r="H507" t="str">
        <f t="shared" si="38"/>
        <v>OCSocs.services.mandateParent</v>
      </c>
      <c r="I507" t="str">
        <f t="shared" si="39"/>
        <v>OCSocs.services.mandateocs.ed.mandate.default.details</v>
      </c>
      <c r="J507">
        <f>IF(I507="",0,COUNTIF($I$2:I507,I507))</f>
        <v>3</v>
      </c>
      <c r="K507">
        <f>COUNTIF($J$2:J507,1)</f>
        <v>85</v>
      </c>
      <c r="N507">
        <v>7</v>
      </c>
      <c r="O507" t="s">
        <v>15</v>
      </c>
      <c r="P507" t="s">
        <v>171</v>
      </c>
      <c r="Q507" t="s">
        <v>172</v>
      </c>
      <c r="R507" t="s">
        <v>204</v>
      </c>
      <c r="S507" t="s">
        <v>205</v>
      </c>
      <c r="T507" t="s">
        <v>206</v>
      </c>
      <c r="U507" t="s">
        <v>207</v>
      </c>
      <c r="V507" t="s">
        <v>189</v>
      </c>
      <c r="W507" t="s">
        <v>21</v>
      </c>
      <c r="X507" t="s">
        <v>21</v>
      </c>
      <c r="Y507" t="s">
        <v>190</v>
      </c>
      <c r="Z507">
        <v>5017</v>
      </c>
    </row>
    <row r="508" spans="1:26" hidden="1" x14ac:dyDescent="0.25">
      <c r="A508">
        <f>COUNTIF($P$2:P508,P508)</f>
        <v>137</v>
      </c>
      <c r="B508">
        <f>COUNTIF($A$2:A508,1)</f>
        <v>18</v>
      </c>
      <c r="C508" t="str">
        <f t="shared" si="35"/>
        <v>OCS</v>
      </c>
      <c r="D508" t="str">
        <f t="shared" si="36"/>
        <v>OCSPerson</v>
      </c>
      <c r="E508">
        <f>COUNTIF($R$2:R508,R508)</f>
        <v>19</v>
      </c>
      <c r="F508">
        <f>COUNTIF($E$2:E508,1)</f>
        <v>29</v>
      </c>
      <c r="G508" t="str">
        <f t="shared" si="37"/>
        <v>ocs.services.mandate</v>
      </c>
      <c r="H508" t="str">
        <f t="shared" si="38"/>
        <v>OCSocs.services.mandatePerson</v>
      </c>
      <c r="I508" t="str">
        <f t="shared" si="39"/>
        <v>OCSocs.services.mandateocs.ed.passthrough</v>
      </c>
      <c r="J508">
        <f>IF(I508="",0,COUNTIF($I$2:I508,I508))</f>
        <v>1</v>
      </c>
      <c r="K508">
        <f>COUNTIF($J$2:J508,1)</f>
        <v>86</v>
      </c>
      <c r="N508">
        <v>1</v>
      </c>
      <c r="O508" t="s">
        <v>24</v>
      </c>
      <c r="P508" t="s">
        <v>171</v>
      </c>
      <c r="Q508" t="s">
        <v>172</v>
      </c>
      <c r="R508" t="s">
        <v>204</v>
      </c>
      <c r="S508" t="s">
        <v>205</v>
      </c>
      <c r="T508" t="s">
        <v>206</v>
      </c>
      <c r="U508" t="s">
        <v>207</v>
      </c>
      <c r="V508" t="s">
        <v>191</v>
      </c>
      <c r="W508" t="s">
        <v>21</v>
      </c>
      <c r="X508" t="s">
        <v>21</v>
      </c>
      <c r="Y508" t="b">
        <v>1</v>
      </c>
      <c r="Z508">
        <v>5056</v>
      </c>
    </row>
    <row r="509" spans="1:26" hidden="1" x14ac:dyDescent="0.25">
      <c r="A509">
        <f>COUNTIF($P$2:P509,P509)</f>
        <v>138</v>
      </c>
      <c r="B509">
        <f>COUNTIF($A$2:A509,1)</f>
        <v>18</v>
      </c>
      <c r="C509" t="str">
        <f t="shared" si="35"/>
        <v>OCS</v>
      </c>
      <c r="D509" t="str">
        <f t="shared" si="36"/>
        <v>OCSParent</v>
      </c>
      <c r="E509">
        <f>COUNTIF($R$2:R509,R509)</f>
        <v>20</v>
      </c>
      <c r="F509">
        <f>COUNTIF($E$2:E509,1)</f>
        <v>29</v>
      </c>
      <c r="G509" t="str">
        <f t="shared" si="37"/>
        <v>ocs.services.mandate</v>
      </c>
      <c r="H509" t="str">
        <f t="shared" si="38"/>
        <v>OCSocs.services.mandateParent</v>
      </c>
      <c r="I509" t="str">
        <f t="shared" si="39"/>
        <v>OCSocs.services.mandateocs.ed.passthrough</v>
      </c>
      <c r="J509">
        <f>IF(I509="",0,COUNTIF($I$2:I509,I509))</f>
        <v>2</v>
      </c>
      <c r="K509">
        <f>COUNTIF($J$2:J509,1)</f>
        <v>86</v>
      </c>
      <c r="N509">
        <v>61</v>
      </c>
      <c r="O509" t="s">
        <v>15</v>
      </c>
      <c r="P509" t="s">
        <v>171</v>
      </c>
      <c r="Q509" t="s">
        <v>172</v>
      </c>
      <c r="R509" t="s">
        <v>204</v>
      </c>
      <c r="S509" t="s">
        <v>205</v>
      </c>
      <c r="T509" t="s">
        <v>206</v>
      </c>
      <c r="U509" t="s">
        <v>207</v>
      </c>
      <c r="V509" t="s">
        <v>191</v>
      </c>
      <c r="W509" t="s">
        <v>21</v>
      </c>
      <c r="X509" t="s">
        <v>21</v>
      </c>
      <c r="Y509" t="b">
        <v>1</v>
      </c>
      <c r="Z509">
        <v>5056</v>
      </c>
    </row>
    <row r="510" spans="1:26" hidden="1" x14ac:dyDescent="0.25">
      <c r="A510">
        <f>COUNTIF($P$2:P510,P510)</f>
        <v>139</v>
      </c>
      <c r="B510">
        <f>COUNTIF($A$2:A510,1)</f>
        <v>18</v>
      </c>
      <c r="C510" t="str">
        <f t="shared" si="35"/>
        <v>OCS</v>
      </c>
      <c r="D510" t="str">
        <f t="shared" si="36"/>
        <v>OCSIntegrator</v>
      </c>
      <c r="E510">
        <f>COUNTIF($R$2:R510,R510)</f>
        <v>21</v>
      </c>
      <c r="F510">
        <f>COUNTIF($E$2:E510,1)</f>
        <v>29</v>
      </c>
      <c r="G510" t="str">
        <f t="shared" si="37"/>
        <v>ocs.services.mandate</v>
      </c>
      <c r="H510" t="str">
        <f t="shared" si="38"/>
        <v>OCSocs.services.mandateIntegrator</v>
      </c>
      <c r="I510" t="str">
        <f t="shared" si="39"/>
        <v>OCSocs.services.mandateocs.ed.passthrough</v>
      </c>
      <c r="J510">
        <f>IF(I510="",0,COUNTIF($I$2:I510,I510))</f>
        <v>3</v>
      </c>
      <c r="K510">
        <f>COUNTIF($J$2:J510,1)</f>
        <v>86</v>
      </c>
      <c r="N510">
        <v>11</v>
      </c>
      <c r="O510" t="s">
        <v>23</v>
      </c>
      <c r="P510" t="s">
        <v>171</v>
      </c>
      <c r="Q510" t="s">
        <v>172</v>
      </c>
      <c r="R510" t="s">
        <v>204</v>
      </c>
      <c r="S510" t="s">
        <v>205</v>
      </c>
      <c r="T510" t="s">
        <v>206</v>
      </c>
      <c r="U510" t="s">
        <v>207</v>
      </c>
      <c r="V510" t="s">
        <v>191</v>
      </c>
      <c r="W510" t="s">
        <v>21</v>
      </c>
      <c r="X510" t="s">
        <v>21</v>
      </c>
      <c r="Y510" t="b">
        <v>1</v>
      </c>
      <c r="Z510">
        <v>5056</v>
      </c>
    </row>
    <row r="511" spans="1:26" hidden="1" x14ac:dyDescent="0.25">
      <c r="A511">
        <f>COUNTIF($P$2:P511,P511)</f>
        <v>140</v>
      </c>
      <c r="B511">
        <f>COUNTIF($A$2:A511,1)</f>
        <v>18</v>
      </c>
      <c r="C511" t="str">
        <f t="shared" si="35"/>
        <v>OCS</v>
      </c>
      <c r="D511" t="str">
        <f t="shared" si="36"/>
        <v>OCSIntegrator</v>
      </c>
      <c r="E511">
        <f>COUNTIF($R$2:R511,R511)</f>
        <v>22</v>
      </c>
      <c r="F511">
        <f>COUNTIF($E$2:E511,1)</f>
        <v>29</v>
      </c>
      <c r="G511" t="str">
        <f t="shared" si="37"/>
        <v>ocs.services.mandate</v>
      </c>
      <c r="H511" t="str">
        <f t="shared" si="38"/>
        <v>OCSocs.services.mandateIntegrator</v>
      </c>
      <c r="I511" t="str">
        <f t="shared" si="39"/>
        <v>OCSocs.services.mandateocs.ed.sc.gc.map</v>
      </c>
      <c r="J511">
        <f>IF(I511="",0,COUNTIF($I$2:I511,I511))</f>
        <v>1</v>
      </c>
      <c r="K511">
        <f>COUNTIF($J$2:J511,1)</f>
        <v>87</v>
      </c>
      <c r="N511">
        <v>35</v>
      </c>
      <c r="O511" t="s">
        <v>23</v>
      </c>
      <c r="P511" t="s">
        <v>171</v>
      </c>
      <c r="Q511" t="s">
        <v>172</v>
      </c>
      <c r="R511" t="s">
        <v>204</v>
      </c>
      <c r="S511" t="s">
        <v>205</v>
      </c>
      <c r="T511" t="s">
        <v>206</v>
      </c>
      <c r="U511" t="s">
        <v>207</v>
      </c>
      <c r="V511" t="s">
        <v>192</v>
      </c>
      <c r="W511" t="s">
        <v>21</v>
      </c>
      <c r="X511" t="s">
        <v>21</v>
      </c>
      <c r="Y511" t="s">
        <v>193</v>
      </c>
      <c r="Z511">
        <v>5054</v>
      </c>
    </row>
    <row r="512" spans="1:26" hidden="1" x14ac:dyDescent="0.25">
      <c r="A512">
        <f>COUNTIF($P$2:P512,P512)</f>
        <v>141</v>
      </c>
      <c r="B512">
        <f>COUNTIF($A$2:A512,1)</f>
        <v>18</v>
      </c>
      <c r="C512" t="str">
        <f t="shared" si="35"/>
        <v>OCS</v>
      </c>
      <c r="D512" t="str">
        <f t="shared" si="36"/>
        <v>OCSIntegrator</v>
      </c>
      <c r="E512">
        <f>COUNTIF($R$2:R512,R512)</f>
        <v>23</v>
      </c>
      <c r="F512">
        <f>COUNTIF($E$2:E512,1)</f>
        <v>29</v>
      </c>
      <c r="G512" t="str">
        <f t="shared" si="37"/>
        <v>ocs.services.mandate</v>
      </c>
      <c r="H512" t="str">
        <f t="shared" si="38"/>
        <v>OCSocs.services.mandateIntegrator</v>
      </c>
      <c r="I512" t="str">
        <f t="shared" si="39"/>
        <v>OCSocs.services.mandateocs.ed.sc.gc.map</v>
      </c>
      <c r="J512">
        <f>IF(I512="",0,COUNTIF($I$2:I512,I512))</f>
        <v>2</v>
      </c>
      <c r="K512">
        <f>COUNTIF($J$2:J512,1)</f>
        <v>87</v>
      </c>
      <c r="N512">
        <v>35</v>
      </c>
      <c r="O512" t="s">
        <v>23</v>
      </c>
      <c r="P512" t="s">
        <v>171</v>
      </c>
      <c r="Q512" t="s">
        <v>172</v>
      </c>
      <c r="R512" t="s">
        <v>204</v>
      </c>
      <c r="S512" t="s">
        <v>205</v>
      </c>
      <c r="T512" t="s">
        <v>206</v>
      </c>
      <c r="U512" t="s">
        <v>207</v>
      </c>
      <c r="V512" t="s">
        <v>192</v>
      </c>
      <c r="W512" t="s">
        <v>21</v>
      </c>
      <c r="X512" t="s">
        <v>22</v>
      </c>
      <c r="Y512" t="s">
        <v>208</v>
      </c>
      <c r="Z512">
        <v>1803</v>
      </c>
    </row>
    <row r="513" spans="1:26" hidden="1" x14ac:dyDescent="0.25">
      <c r="A513">
        <f>COUNTIF($P$2:P513,P513)</f>
        <v>142</v>
      </c>
      <c r="B513">
        <f>COUNTIF($A$2:A513,1)</f>
        <v>18</v>
      </c>
      <c r="C513" t="str">
        <f t="shared" si="35"/>
        <v>OCS</v>
      </c>
      <c r="D513" t="str">
        <f t="shared" si="36"/>
        <v>OCSParent</v>
      </c>
      <c r="E513">
        <f>COUNTIF($R$2:R513,R513)</f>
        <v>24</v>
      </c>
      <c r="F513">
        <f>COUNTIF($E$2:E513,1)</f>
        <v>29</v>
      </c>
      <c r="G513" t="str">
        <f t="shared" si="37"/>
        <v>ocs.services.mandate</v>
      </c>
      <c r="H513" t="str">
        <f t="shared" si="38"/>
        <v>OCSocs.services.mandateParent</v>
      </c>
      <c r="I513" t="str">
        <f t="shared" si="39"/>
        <v>OCSocs.services.mandateocs.ed.sc.gc.map</v>
      </c>
      <c r="J513">
        <f>IF(I513="",0,COUNTIF($I$2:I513,I513))</f>
        <v>3</v>
      </c>
      <c r="K513">
        <f>COUNTIF($J$2:J513,1)</f>
        <v>87</v>
      </c>
      <c r="N513">
        <v>90</v>
      </c>
      <c r="O513" t="s">
        <v>15</v>
      </c>
      <c r="P513" t="s">
        <v>171</v>
      </c>
      <c r="Q513" t="s">
        <v>172</v>
      </c>
      <c r="R513" t="s">
        <v>204</v>
      </c>
      <c r="S513" t="s">
        <v>205</v>
      </c>
      <c r="T513" t="s">
        <v>206</v>
      </c>
      <c r="U513" t="s">
        <v>207</v>
      </c>
      <c r="V513" t="s">
        <v>192</v>
      </c>
      <c r="W513" t="s">
        <v>21</v>
      </c>
      <c r="X513" t="s">
        <v>21</v>
      </c>
      <c r="Y513" t="s">
        <v>193</v>
      </c>
      <c r="Z513">
        <v>5054</v>
      </c>
    </row>
    <row r="514" spans="1:26" hidden="1" x14ac:dyDescent="0.25">
      <c r="A514">
        <f>COUNTIF($P$2:P514,P514)</f>
        <v>143</v>
      </c>
      <c r="B514">
        <f>COUNTIF($A$2:A514,1)</f>
        <v>18</v>
      </c>
      <c r="C514" t="str">
        <f t="shared" si="35"/>
        <v>OCS</v>
      </c>
      <c r="D514" t="str">
        <f t="shared" si="36"/>
        <v>OCSParent</v>
      </c>
      <c r="E514">
        <f>COUNTIF($R$2:R514,R514)</f>
        <v>25</v>
      </c>
      <c r="F514">
        <f>COUNTIF($E$2:E514,1)</f>
        <v>29</v>
      </c>
      <c r="G514" t="str">
        <f t="shared" si="37"/>
        <v>ocs.services.mandate</v>
      </c>
      <c r="H514" t="str">
        <f t="shared" si="38"/>
        <v>OCSocs.services.mandateParent</v>
      </c>
      <c r="I514" t="str">
        <f t="shared" si="39"/>
        <v>OCSocs.services.mandateocs.ed.sc.gc.map</v>
      </c>
      <c r="J514">
        <f>IF(I514="",0,COUNTIF($I$2:I514,I514))</f>
        <v>4</v>
      </c>
      <c r="K514">
        <f>COUNTIF($J$2:J514,1)</f>
        <v>87</v>
      </c>
      <c r="N514">
        <v>90</v>
      </c>
      <c r="O514" t="s">
        <v>15</v>
      </c>
      <c r="P514" t="s">
        <v>171</v>
      </c>
      <c r="Q514" t="s">
        <v>172</v>
      </c>
      <c r="R514" t="s">
        <v>204</v>
      </c>
      <c r="S514" t="s">
        <v>205</v>
      </c>
      <c r="T514" t="s">
        <v>206</v>
      </c>
      <c r="U514" t="s">
        <v>207</v>
      </c>
      <c r="V514" t="s">
        <v>192</v>
      </c>
      <c r="W514" t="s">
        <v>21</v>
      </c>
      <c r="X514" t="s">
        <v>22</v>
      </c>
      <c r="Y514" t="s">
        <v>208</v>
      </c>
      <c r="Z514">
        <v>1803</v>
      </c>
    </row>
    <row r="515" spans="1:26" hidden="1" x14ac:dyDescent="0.25">
      <c r="A515">
        <f>COUNTIF($P$2:P515,P515)</f>
        <v>144</v>
      </c>
      <c r="B515">
        <f>COUNTIF($A$2:A515,1)</f>
        <v>18</v>
      </c>
      <c r="C515" t="str">
        <f t="shared" ref="C515:C578" si="40">IF(A515=1,P515,C514)</f>
        <v>OCS</v>
      </c>
      <c r="D515" t="str">
        <f t="shared" ref="D515:D578" si="41">C515&amp;O515</f>
        <v>OCSIntegrator</v>
      </c>
      <c r="E515">
        <f>COUNTIF($R$2:R515,R515)</f>
        <v>26</v>
      </c>
      <c r="F515">
        <f>COUNTIF($E$2:E515,1)</f>
        <v>29</v>
      </c>
      <c r="G515" t="str">
        <f t="shared" ref="G515:G578" si="42">IF(E515=1,R515,G514)</f>
        <v>ocs.services.mandate</v>
      </c>
      <c r="H515" t="str">
        <f t="shared" ref="H515:H578" si="43">C515&amp;G515&amp;O515</f>
        <v>OCSocs.services.mandateIntegrator</v>
      </c>
      <c r="I515" t="str">
        <f t="shared" ref="I515:I578" si="44">IF(V515="","",P515&amp;R515&amp;V515)</f>
        <v>OCSocs.services.mandateocs.ed.sc.gc.map</v>
      </c>
      <c r="J515">
        <f>IF(I515="",0,COUNTIF($I$2:I515,I515))</f>
        <v>5</v>
      </c>
      <c r="K515">
        <f>COUNTIF($J$2:J515,1)</f>
        <v>87</v>
      </c>
      <c r="N515">
        <v>1</v>
      </c>
      <c r="O515" t="s">
        <v>23</v>
      </c>
      <c r="P515" t="s">
        <v>171</v>
      </c>
      <c r="Q515" t="s">
        <v>172</v>
      </c>
      <c r="R515" t="s">
        <v>204</v>
      </c>
      <c r="S515" t="s">
        <v>205</v>
      </c>
      <c r="T515" t="s">
        <v>206</v>
      </c>
      <c r="U515" t="s">
        <v>207</v>
      </c>
      <c r="V515" t="s">
        <v>192</v>
      </c>
      <c r="W515" t="s">
        <v>22</v>
      </c>
      <c r="X515" t="s">
        <v>21</v>
      </c>
      <c r="Y515" t="s">
        <v>193</v>
      </c>
      <c r="Z515">
        <v>5054</v>
      </c>
    </row>
    <row r="516" spans="1:26" hidden="1" x14ac:dyDescent="0.25">
      <c r="A516">
        <f>COUNTIF($P$2:P516,P516)</f>
        <v>145</v>
      </c>
      <c r="B516">
        <f>COUNTIF($A$2:A516,1)</f>
        <v>18</v>
      </c>
      <c r="C516" t="str">
        <f t="shared" si="40"/>
        <v>OCS</v>
      </c>
      <c r="D516" t="str">
        <f t="shared" si="41"/>
        <v>OCSIntegrator</v>
      </c>
      <c r="E516">
        <f>COUNTIF($R$2:R516,R516)</f>
        <v>27</v>
      </c>
      <c r="F516">
        <f>COUNTIF($E$2:E516,1)</f>
        <v>29</v>
      </c>
      <c r="G516" t="str">
        <f t="shared" si="42"/>
        <v>ocs.services.mandate</v>
      </c>
      <c r="H516" t="str">
        <f t="shared" si="43"/>
        <v>OCSocs.services.mandateIntegrator</v>
      </c>
      <c r="I516" t="str">
        <f t="shared" si="44"/>
        <v>OCSocs.services.mandateocs.ed.sc.gc.map</v>
      </c>
      <c r="J516">
        <f>IF(I516="",0,COUNTIF($I$2:I516,I516))</f>
        <v>6</v>
      </c>
      <c r="K516">
        <f>COUNTIF($J$2:J516,1)</f>
        <v>87</v>
      </c>
      <c r="N516">
        <v>1</v>
      </c>
      <c r="O516" t="s">
        <v>23</v>
      </c>
      <c r="P516" t="s">
        <v>171</v>
      </c>
      <c r="Q516" t="s">
        <v>172</v>
      </c>
      <c r="R516" t="s">
        <v>204</v>
      </c>
      <c r="S516" t="s">
        <v>205</v>
      </c>
      <c r="T516" t="s">
        <v>206</v>
      </c>
      <c r="U516" t="s">
        <v>207</v>
      </c>
      <c r="V516" t="s">
        <v>192</v>
      </c>
      <c r="W516" t="s">
        <v>22</v>
      </c>
      <c r="X516" t="s">
        <v>22</v>
      </c>
      <c r="Y516" t="s">
        <v>208</v>
      </c>
      <c r="Z516">
        <v>1803</v>
      </c>
    </row>
    <row r="517" spans="1:26" hidden="1" x14ac:dyDescent="0.25">
      <c r="A517">
        <f>COUNTIF($P$2:P517,P517)</f>
        <v>146</v>
      </c>
      <c r="B517">
        <f>COUNTIF($A$2:A517,1)</f>
        <v>18</v>
      </c>
      <c r="C517" t="str">
        <f t="shared" si="40"/>
        <v>OCS</v>
      </c>
      <c r="D517" t="str">
        <f t="shared" si="41"/>
        <v>OCSPerson</v>
      </c>
      <c r="E517">
        <f>COUNTIF($R$2:R517,R517)</f>
        <v>28</v>
      </c>
      <c r="F517">
        <f>COUNTIF($E$2:E517,1)</f>
        <v>29</v>
      </c>
      <c r="G517" t="str">
        <f t="shared" si="42"/>
        <v>ocs.services.mandate</v>
      </c>
      <c r="H517" t="str">
        <f t="shared" si="43"/>
        <v>OCSocs.services.mandatePerson</v>
      </c>
      <c r="I517" t="str">
        <f t="shared" si="44"/>
        <v>OCSocs.services.mandateocs.ed.sc.gc.map</v>
      </c>
      <c r="J517">
        <f>IF(I517="",0,COUNTIF($I$2:I517,I517))</f>
        <v>7</v>
      </c>
      <c r="K517">
        <f>COUNTIF($J$2:J517,1)</f>
        <v>87</v>
      </c>
      <c r="N517">
        <v>11</v>
      </c>
      <c r="O517" t="s">
        <v>24</v>
      </c>
      <c r="P517" t="s">
        <v>171</v>
      </c>
      <c r="Q517" t="s">
        <v>172</v>
      </c>
      <c r="R517" t="s">
        <v>204</v>
      </c>
      <c r="S517" t="s">
        <v>205</v>
      </c>
      <c r="T517" t="s">
        <v>206</v>
      </c>
      <c r="U517" t="s">
        <v>207</v>
      </c>
      <c r="V517" t="s">
        <v>192</v>
      </c>
      <c r="W517" t="s">
        <v>21</v>
      </c>
      <c r="X517" t="s">
        <v>21</v>
      </c>
      <c r="Y517" t="s">
        <v>193</v>
      </c>
      <c r="Z517">
        <v>5054</v>
      </c>
    </row>
    <row r="518" spans="1:26" hidden="1" x14ac:dyDescent="0.25">
      <c r="A518">
        <f>COUNTIF($P$2:P518,P518)</f>
        <v>147</v>
      </c>
      <c r="B518">
        <f>COUNTIF($A$2:A518,1)</f>
        <v>18</v>
      </c>
      <c r="C518" t="str">
        <f t="shared" si="40"/>
        <v>OCS</v>
      </c>
      <c r="D518" t="str">
        <f t="shared" si="41"/>
        <v>OCSPerson</v>
      </c>
      <c r="E518">
        <f>COUNTIF($R$2:R518,R518)</f>
        <v>29</v>
      </c>
      <c r="F518">
        <f>COUNTIF($E$2:E518,1)</f>
        <v>29</v>
      </c>
      <c r="G518" t="str">
        <f t="shared" si="42"/>
        <v>ocs.services.mandate</v>
      </c>
      <c r="H518" t="str">
        <f t="shared" si="43"/>
        <v>OCSocs.services.mandatePerson</v>
      </c>
      <c r="I518" t="str">
        <f t="shared" si="44"/>
        <v>OCSocs.services.mandateocs.ed.sc.gc.map</v>
      </c>
      <c r="J518">
        <f>IF(I518="",0,COUNTIF($I$2:I518,I518))</f>
        <v>8</v>
      </c>
      <c r="K518">
        <f>COUNTIF($J$2:J518,1)</f>
        <v>87</v>
      </c>
      <c r="N518">
        <v>11</v>
      </c>
      <c r="O518" t="s">
        <v>24</v>
      </c>
      <c r="P518" t="s">
        <v>171</v>
      </c>
      <c r="Q518" t="s">
        <v>172</v>
      </c>
      <c r="R518" t="s">
        <v>204</v>
      </c>
      <c r="S518" t="s">
        <v>205</v>
      </c>
      <c r="T518" t="s">
        <v>206</v>
      </c>
      <c r="U518" t="s">
        <v>207</v>
      </c>
      <c r="V518" t="s">
        <v>192</v>
      </c>
      <c r="W518" t="s">
        <v>21</v>
      </c>
      <c r="X518" t="s">
        <v>22</v>
      </c>
      <c r="Y518" t="s">
        <v>208</v>
      </c>
      <c r="Z518">
        <v>1803</v>
      </c>
    </row>
    <row r="519" spans="1:26" hidden="1" x14ac:dyDescent="0.25">
      <c r="A519">
        <f>COUNTIF($P$2:P519,P519)</f>
        <v>148</v>
      </c>
      <c r="B519">
        <f>COUNTIF($A$2:A519,1)</f>
        <v>18</v>
      </c>
      <c r="C519" t="str">
        <f t="shared" si="40"/>
        <v>OCS</v>
      </c>
      <c r="D519" t="str">
        <f t="shared" si="41"/>
        <v>OCSIntegrator</v>
      </c>
      <c r="E519">
        <f>COUNTIF($R$2:R519,R519)</f>
        <v>30</v>
      </c>
      <c r="F519">
        <f>COUNTIF($E$2:E519,1)</f>
        <v>29</v>
      </c>
      <c r="G519" t="str">
        <f t="shared" si="42"/>
        <v>ocs.services.mandate</v>
      </c>
      <c r="H519" t="str">
        <f t="shared" si="43"/>
        <v>OCSocs.services.mandateIntegrator</v>
      </c>
      <c r="I519" t="str">
        <f t="shared" si="44"/>
        <v>OCSocs.services.mandateocs.ed.ul.gc.map</v>
      </c>
      <c r="J519">
        <f>IF(I519="",0,COUNTIF($I$2:I519,I519))</f>
        <v>1</v>
      </c>
      <c r="K519">
        <f>COUNTIF($J$2:J519,1)</f>
        <v>88</v>
      </c>
      <c r="N519">
        <v>11</v>
      </c>
      <c r="O519" t="s">
        <v>23</v>
      </c>
      <c r="P519" t="s">
        <v>171</v>
      </c>
      <c r="Q519" t="s">
        <v>172</v>
      </c>
      <c r="R519" t="s">
        <v>204</v>
      </c>
      <c r="S519" t="s">
        <v>205</v>
      </c>
      <c r="T519" t="s">
        <v>206</v>
      </c>
      <c r="U519" t="s">
        <v>207</v>
      </c>
      <c r="V519" t="s">
        <v>194</v>
      </c>
      <c r="W519" t="s">
        <v>21</v>
      </c>
      <c r="X519" t="s">
        <v>21</v>
      </c>
      <c r="Z519">
        <v>5015</v>
      </c>
    </row>
    <row r="520" spans="1:26" hidden="1" x14ac:dyDescent="0.25">
      <c r="A520">
        <f>COUNTIF($P$2:P520,P520)</f>
        <v>149</v>
      </c>
      <c r="B520">
        <f>COUNTIF($A$2:A520,1)</f>
        <v>18</v>
      </c>
      <c r="C520" t="str">
        <f t="shared" si="40"/>
        <v>OCS</v>
      </c>
      <c r="D520" t="str">
        <f t="shared" si="41"/>
        <v>OCSParent</v>
      </c>
      <c r="E520">
        <f>COUNTIF($R$2:R520,R520)</f>
        <v>31</v>
      </c>
      <c r="F520">
        <f>COUNTIF($E$2:E520,1)</f>
        <v>29</v>
      </c>
      <c r="G520" t="str">
        <f t="shared" si="42"/>
        <v>ocs.services.mandate</v>
      </c>
      <c r="H520" t="str">
        <f t="shared" si="43"/>
        <v>OCSocs.services.mandateParent</v>
      </c>
      <c r="I520" t="str">
        <f t="shared" si="44"/>
        <v>OCSocs.services.mandateocs.ed.ul.gc.map</v>
      </c>
      <c r="J520">
        <f>IF(I520="",0,COUNTIF($I$2:I520,I520))</f>
        <v>2</v>
      </c>
      <c r="K520">
        <f>COUNTIF($J$2:J520,1)</f>
        <v>88</v>
      </c>
      <c r="N520">
        <v>12</v>
      </c>
      <c r="O520" t="s">
        <v>15</v>
      </c>
      <c r="P520" t="s">
        <v>171</v>
      </c>
      <c r="Q520" t="s">
        <v>172</v>
      </c>
      <c r="R520" t="s">
        <v>204</v>
      </c>
      <c r="S520" t="s">
        <v>205</v>
      </c>
      <c r="T520" t="s">
        <v>206</v>
      </c>
      <c r="U520" t="s">
        <v>207</v>
      </c>
      <c r="V520" t="s">
        <v>194</v>
      </c>
      <c r="W520" t="s">
        <v>21</v>
      </c>
      <c r="X520" t="s">
        <v>21</v>
      </c>
      <c r="Z520">
        <v>5015</v>
      </c>
    </row>
    <row r="521" spans="1:26" hidden="1" x14ac:dyDescent="0.25">
      <c r="A521">
        <f>COUNTIF($P$2:P521,P521)</f>
        <v>150</v>
      </c>
      <c r="B521">
        <f>COUNTIF($A$2:A521,1)</f>
        <v>18</v>
      </c>
      <c r="C521" t="str">
        <f t="shared" si="40"/>
        <v>OCS</v>
      </c>
      <c r="D521" t="str">
        <f t="shared" si="41"/>
        <v>OCSPerson</v>
      </c>
      <c r="E521">
        <f>COUNTIF($R$2:R521,R521)</f>
        <v>32</v>
      </c>
      <c r="F521">
        <f>COUNTIF($E$2:E521,1)</f>
        <v>29</v>
      </c>
      <c r="G521" t="str">
        <f t="shared" si="42"/>
        <v>ocs.services.mandate</v>
      </c>
      <c r="H521" t="str">
        <f t="shared" si="43"/>
        <v>OCSocs.services.mandatePerson</v>
      </c>
      <c r="I521" t="str">
        <f t="shared" si="44"/>
        <v>OCSocs.services.mandateocs.ed.ws.gc</v>
      </c>
      <c r="J521">
        <f>IF(I521="",0,COUNTIF($I$2:I521,I521))</f>
        <v>1</v>
      </c>
      <c r="K521">
        <f>COUNTIF($J$2:J521,1)</f>
        <v>89</v>
      </c>
      <c r="N521">
        <v>11</v>
      </c>
      <c r="O521" t="s">
        <v>24</v>
      </c>
      <c r="P521" t="s">
        <v>171</v>
      </c>
      <c r="Q521" t="s">
        <v>172</v>
      </c>
      <c r="R521" t="s">
        <v>204</v>
      </c>
      <c r="S521" t="s">
        <v>205</v>
      </c>
      <c r="T521" t="s">
        <v>206</v>
      </c>
      <c r="U521" t="s">
        <v>207</v>
      </c>
      <c r="V521" t="s">
        <v>195</v>
      </c>
      <c r="W521" t="s">
        <v>21</v>
      </c>
      <c r="X521" t="s">
        <v>22</v>
      </c>
      <c r="Y521" t="s">
        <v>209</v>
      </c>
      <c r="Z521">
        <v>1804</v>
      </c>
    </row>
    <row r="522" spans="1:26" hidden="1" x14ac:dyDescent="0.25">
      <c r="A522">
        <f>COUNTIF($P$2:P522,P522)</f>
        <v>151</v>
      </c>
      <c r="B522">
        <f>COUNTIF($A$2:A522,1)</f>
        <v>18</v>
      </c>
      <c r="C522" t="str">
        <f t="shared" si="40"/>
        <v>OCS</v>
      </c>
      <c r="D522" t="str">
        <f t="shared" si="41"/>
        <v>OCSPerson</v>
      </c>
      <c r="E522">
        <f>COUNTIF($R$2:R522,R522)</f>
        <v>33</v>
      </c>
      <c r="F522">
        <f>COUNTIF($E$2:E522,1)</f>
        <v>29</v>
      </c>
      <c r="G522" t="str">
        <f t="shared" si="42"/>
        <v>ocs.services.mandate</v>
      </c>
      <c r="H522" t="str">
        <f t="shared" si="43"/>
        <v>OCSocs.services.mandatePerson</v>
      </c>
      <c r="I522" t="str">
        <f t="shared" si="44"/>
        <v>OCSocs.services.mandateocs.ed.ws.gc</v>
      </c>
      <c r="J522">
        <f>IF(I522="",0,COUNTIF($I$2:I522,I522))</f>
        <v>2</v>
      </c>
      <c r="K522">
        <f>COUNTIF($J$2:J522,1)</f>
        <v>89</v>
      </c>
      <c r="N522">
        <v>11</v>
      </c>
      <c r="O522" t="s">
        <v>24</v>
      </c>
      <c r="P522" t="s">
        <v>171</v>
      </c>
      <c r="Q522" t="s">
        <v>172</v>
      </c>
      <c r="R522" t="s">
        <v>204</v>
      </c>
      <c r="S522" t="s">
        <v>205</v>
      </c>
      <c r="T522" t="s">
        <v>206</v>
      </c>
      <c r="U522" t="s">
        <v>207</v>
      </c>
      <c r="V522" t="s">
        <v>195</v>
      </c>
      <c r="W522" t="s">
        <v>21</v>
      </c>
      <c r="X522" t="s">
        <v>21</v>
      </c>
      <c r="Y522" t="s">
        <v>182</v>
      </c>
      <c r="Z522">
        <v>5051</v>
      </c>
    </row>
    <row r="523" spans="1:26" hidden="1" x14ac:dyDescent="0.25">
      <c r="A523">
        <f>COUNTIF($P$2:P523,P523)</f>
        <v>152</v>
      </c>
      <c r="B523">
        <f>COUNTIF($A$2:A523,1)</f>
        <v>18</v>
      </c>
      <c r="C523" t="str">
        <f t="shared" si="40"/>
        <v>OCS</v>
      </c>
      <c r="D523" t="str">
        <f t="shared" si="41"/>
        <v>OCSParent</v>
      </c>
      <c r="E523">
        <f>COUNTIF($R$2:R523,R523)</f>
        <v>34</v>
      </c>
      <c r="F523">
        <f>COUNTIF($E$2:E523,1)</f>
        <v>29</v>
      </c>
      <c r="G523" t="str">
        <f t="shared" si="42"/>
        <v>ocs.services.mandate</v>
      </c>
      <c r="H523" t="str">
        <f t="shared" si="43"/>
        <v>OCSocs.services.mandateParent</v>
      </c>
      <c r="I523" t="str">
        <f t="shared" si="44"/>
        <v>OCSocs.services.mandateocs.ed.ws.gc</v>
      </c>
      <c r="J523">
        <f>IF(I523="",0,COUNTIF($I$2:I523,I523))</f>
        <v>3</v>
      </c>
      <c r="K523">
        <f>COUNTIF($J$2:J523,1)</f>
        <v>89</v>
      </c>
      <c r="N523">
        <v>1</v>
      </c>
      <c r="O523" t="s">
        <v>15</v>
      </c>
      <c r="P523" t="s">
        <v>171</v>
      </c>
      <c r="Q523" t="s">
        <v>172</v>
      </c>
      <c r="R523" t="s">
        <v>204</v>
      </c>
      <c r="S523" t="s">
        <v>205</v>
      </c>
      <c r="T523" t="s">
        <v>206</v>
      </c>
      <c r="U523" t="s">
        <v>207</v>
      </c>
      <c r="V523" t="s">
        <v>195</v>
      </c>
      <c r="W523" t="s">
        <v>21</v>
      </c>
      <c r="X523" t="s">
        <v>22</v>
      </c>
      <c r="Y523" t="s">
        <v>209</v>
      </c>
      <c r="Z523">
        <v>1804</v>
      </c>
    </row>
    <row r="524" spans="1:26" hidden="1" x14ac:dyDescent="0.25">
      <c r="A524">
        <f>COUNTIF($P$2:P524,P524)</f>
        <v>153</v>
      </c>
      <c r="B524">
        <f>COUNTIF($A$2:A524,1)</f>
        <v>18</v>
      </c>
      <c r="C524" t="str">
        <f t="shared" si="40"/>
        <v>OCS</v>
      </c>
      <c r="D524" t="str">
        <f t="shared" si="41"/>
        <v>OCSParent</v>
      </c>
      <c r="E524">
        <f>COUNTIF($R$2:R524,R524)</f>
        <v>35</v>
      </c>
      <c r="F524">
        <f>COUNTIF($E$2:E524,1)</f>
        <v>29</v>
      </c>
      <c r="G524" t="str">
        <f t="shared" si="42"/>
        <v>ocs.services.mandate</v>
      </c>
      <c r="H524" t="str">
        <f t="shared" si="43"/>
        <v>OCSocs.services.mandateParent</v>
      </c>
      <c r="I524" t="str">
        <f t="shared" si="44"/>
        <v>OCSocs.services.mandateocs.ed.ws.gc</v>
      </c>
      <c r="J524">
        <f>IF(I524="",0,COUNTIF($I$2:I524,I524))</f>
        <v>4</v>
      </c>
      <c r="K524">
        <f>COUNTIF($J$2:J524,1)</f>
        <v>89</v>
      </c>
      <c r="N524">
        <v>1</v>
      </c>
      <c r="O524" t="s">
        <v>15</v>
      </c>
      <c r="P524" t="s">
        <v>171</v>
      </c>
      <c r="Q524" t="s">
        <v>172</v>
      </c>
      <c r="R524" t="s">
        <v>204</v>
      </c>
      <c r="S524" t="s">
        <v>205</v>
      </c>
      <c r="T524" t="s">
        <v>206</v>
      </c>
      <c r="U524" t="s">
        <v>207</v>
      </c>
      <c r="V524" t="s">
        <v>195</v>
      </c>
      <c r="W524" t="s">
        <v>21</v>
      </c>
      <c r="X524" t="s">
        <v>21</v>
      </c>
      <c r="Y524" t="s">
        <v>182</v>
      </c>
      <c r="Z524">
        <v>5051</v>
      </c>
    </row>
    <row r="525" spans="1:26" hidden="1" x14ac:dyDescent="0.25">
      <c r="A525">
        <f>COUNTIF($P$2:P525,P525)</f>
        <v>154</v>
      </c>
      <c r="B525">
        <f>COUNTIF($A$2:A525,1)</f>
        <v>18</v>
      </c>
      <c r="C525" t="str">
        <f t="shared" si="40"/>
        <v>OCS</v>
      </c>
      <c r="D525" t="str">
        <f t="shared" si="41"/>
        <v>OCSParent</v>
      </c>
      <c r="E525">
        <f>COUNTIF($R$2:R525,R525)</f>
        <v>36</v>
      </c>
      <c r="F525">
        <f>COUNTIF($E$2:E525,1)</f>
        <v>29</v>
      </c>
      <c r="G525" t="str">
        <f t="shared" si="42"/>
        <v>ocs.services.mandate</v>
      </c>
      <c r="H525" t="str">
        <f t="shared" si="43"/>
        <v>OCSocs.services.mandateParent</v>
      </c>
      <c r="I525" t="str">
        <f t="shared" si="44"/>
        <v>OCSocs.services.mandateocs.ed.ws.gc</v>
      </c>
      <c r="J525">
        <f>IF(I525="",0,COUNTIF($I$2:I525,I525))</f>
        <v>5</v>
      </c>
      <c r="K525">
        <f>COUNTIF($J$2:J525,1)</f>
        <v>89</v>
      </c>
      <c r="N525">
        <v>2</v>
      </c>
      <c r="O525" t="s">
        <v>15</v>
      </c>
      <c r="P525" t="s">
        <v>171</v>
      </c>
      <c r="Q525" t="s">
        <v>172</v>
      </c>
      <c r="R525" t="s">
        <v>204</v>
      </c>
      <c r="S525" t="s">
        <v>205</v>
      </c>
      <c r="T525" t="s">
        <v>206</v>
      </c>
      <c r="U525" t="s">
        <v>207</v>
      </c>
      <c r="V525" t="s">
        <v>195</v>
      </c>
      <c r="W525" t="s">
        <v>21</v>
      </c>
      <c r="X525" t="s">
        <v>22</v>
      </c>
      <c r="Y525" t="s">
        <v>209</v>
      </c>
      <c r="Z525">
        <v>1804</v>
      </c>
    </row>
    <row r="526" spans="1:26" hidden="1" x14ac:dyDescent="0.25">
      <c r="A526">
        <f>COUNTIF($P$2:P526,P526)</f>
        <v>155</v>
      </c>
      <c r="B526">
        <f>COUNTIF($A$2:A526,1)</f>
        <v>18</v>
      </c>
      <c r="C526" t="str">
        <f t="shared" si="40"/>
        <v>OCS</v>
      </c>
      <c r="D526" t="str">
        <f t="shared" si="41"/>
        <v>OCSParent</v>
      </c>
      <c r="E526">
        <f>COUNTIF($R$2:R526,R526)</f>
        <v>37</v>
      </c>
      <c r="F526">
        <f>COUNTIF($E$2:E526,1)</f>
        <v>29</v>
      </c>
      <c r="G526" t="str">
        <f t="shared" si="42"/>
        <v>ocs.services.mandate</v>
      </c>
      <c r="H526" t="str">
        <f t="shared" si="43"/>
        <v>OCSocs.services.mandateParent</v>
      </c>
      <c r="I526" t="str">
        <f t="shared" si="44"/>
        <v>OCSocs.services.mandateocs.ed.ws.gc</v>
      </c>
      <c r="J526">
        <f>IF(I526="",0,COUNTIF($I$2:I526,I526))</f>
        <v>6</v>
      </c>
      <c r="K526">
        <f>COUNTIF($J$2:J526,1)</f>
        <v>89</v>
      </c>
      <c r="N526">
        <v>2</v>
      </c>
      <c r="O526" t="s">
        <v>15</v>
      </c>
      <c r="P526" t="s">
        <v>171</v>
      </c>
      <c r="Q526" t="s">
        <v>172</v>
      </c>
      <c r="R526" t="s">
        <v>204</v>
      </c>
      <c r="S526" t="s">
        <v>205</v>
      </c>
      <c r="T526" t="s">
        <v>206</v>
      </c>
      <c r="U526" t="s">
        <v>207</v>
      </c>
      <c r="V526" t="s">
        <v>195</v>
      </c>
      <c r="W526" t="s">
        <v>21</v>
      </c>
      <c r="X526" t="s">
        <v>21</v>
      </c>
      <c r="Y526" t="s">
        <v>182</v>
      </c>
      <c r="Z526">
        <v>5051</v>
      </c>
    </row>
    <row r="527" spans="1:26" hidden="1" x14ac:dyDescent="0.25">
      <c r="A527">
        <f>COUNTIF($P$2:P527,P527)</f>
        <v>156</v>
      </c>
      <c r="B527">
        <f>COUNTIF($A$2:A527,1)</f>
        <v>18</v>
      </c>
      <c r="C527" t="str">
        <f t="shared" si="40"/>
        <v>OCS</v>
      </c>
      <c r="D527" t="str">
        <f t="shared" si="41"/>
        <v>OCSIntegrator</v>
      </c>
      <c r="E527">
        <f>COUNTIF($R$2:R527,R527)</f>
        <v>38</v>
      </c>
      <c r="F527">
        <f>COUNTIF($E$2:E527,1)</f>
        <v>29</v>
      </c>
      <c r="G527" t="str">
        <f t="shared" si="42"/>
        <v>ocs.services.mandate</v>
      </c>
      <c r="H527" t="str">
        <f t="shared" si="43"/>
        <v>OCSocs.services.mandateIntegrator</v>
      </c>
      <c r="I527" t="str">
        <f t="shared" si="44"/>
        <v>OCSocs.services.mandateocs.ed.ws.gc</v>
      </c>
      <c r="J527">
        <f>IF(I527="",0,COUNTIF($I$2:I527,I527))</f>
        <v>7</v>
      </c>
      <c r="K527">
        <f>COUNTIF($J$2:J527,1)</f>
        <v>89</v>
      </c>
      <c r="N527">
        <v>35</v>
      </c>
      <c r="O527" t="s">
        <v>23</v>
      </c>
      <c r="P527" t="s">
        <v>171</v>
      </c>
      <c r="Q527" t="s">
        <v>172</v>
      </c>
      <c r="R527" t="s">
        <v>204</v>
      </c>
      <c r="S527" t="s">
        <v>205</v>
      </c>
      <c r="T527" t="s">
        <v>206</v>
      </c>
      <c r="U527" t="s">
        <v>207</v>
      </c>
      <c r="V527" t="s">
        <v>195</v>
      </c>
      <c r="W527" t="s">
        <v>21</v>
      </c>
      <c r="X527" t="s">
        <v>22</v>
      </c>
      <c r="Y527" t="s">
        <v>209</v>
      </c>
      <c r="Z527">
        <v>1804</v>
      </c>
    </row>
    <row r="528" spans="1:26" hidden="1" x14ac:dyDescent="0.25">
      <c r="A528">
        <f>COUNTIF($P$2:P528,P528)</f>
        <v>157</v>
      </c>
      <c r="B528">
        <f>COUNTIF($A$2:A528,1)</f>
        <v>18</v>
      </c>
      <c r="C528" t="str">
        <f t="shared" si="40"/>
        <v>OCS</v>
      </c>
      <c r="D528" t="str">
        <f t="shared" si="41"/>
        <v>OCSIntegrator</v>
      </c>
      <c r="E528">
        <f>COUNTIF($R$2:R528,R528)</f>
        <v>39</v>
      </c>
      <c r="F528">
        <f>COUNTIF($E$2:E528,1)</f>
        <v>29</v>
      </c>
      <c r="G528" t="str">
        <f t="shared" si="42"/>
        <v>ocs.services.mandate</v>
      </c>
      <c r="H528" t="str">
        <f t="shared" si="43"/>
        <v>OCSocs.services.mandateIntegrator</v>
      </c>
      <c r="I528" t="str">
        <f t="shared" si="44"/>
        <v>OCSocs.services.mandateocs.ed.ws.gc</v>
      </c>
      <c r="J528">
        <f>IF(I528="",0,COUNTIF($I$2:I528,I528))</f>
        <v>8</v>
      </c>
      <c r="K528">
        <f>COUNTIF($J$2:J528,1)</f>
        <v>89</v>
      </c>
      <c r="N528">
        <v>35</v>
      </c>
      <c r="O528" t="s">
        <v>23</v>
      </c>
      <c r="P528" t="s">
        <v>171</v>
      </c>
      <c r="Q528" t="s">
        <v>172</v>
      </c>
      <c r="R528" t="s">
        <v>204</v>
      </c>
      <c r="S528" t="s">
        <v>205</v>
      </c>
      <c r="T528" t="s">
        <v>206</v>
      </c>
      <c r="U528" t="s">
        <v>207</v>
      </c>
      <c r="V528" t="s">
        <v>195</v>
      </c>
      <c r="W528" t="s">
        <v>21</v>
      </c>
      <c r="X528" t="s">
        <v>21</v>
      </c>
      <c r="Y528" t="s">
        <v>182</v>
      </c>
      <c r="Z528">
        <v>5051</v>
      </c>
    </row>
    <row r="529" spans="1:26" hidden="1" x14ac:dyDescent="0.25">
      <c r="A529">
        <f>COUNTIF($P$2:P529,P529)</f>
        <v>158</v>
      </c>
      <c r="B529">
        <f>COUNTIF($A$2:A529,1)</f>
        <v>18</v>
      </c>
      <c r="C529" t="str">
        <f t="shared" si="40"/>
        <v>OCS</v>
      </c>
      <c r="D529" t="str">
        <f t="shared" si="41"/>
        <v>OCSParent</v>
      </c>
      <c r="E529">
        <f>COUNTIF($R$2:R529,R529)</f>
        <v>40</v>
      </c>
      <c r="F529">
        <f>COUNTIF($E$2:E529,1)</f>
        <v>29</v>
      </c>
      <c r="G529" t="str">
        <f t="shared" si="42"/>
        <v>ocs.services.mandate</v>
      </c>
      <c r="H529" t="str">
        <f t="shared" si="43"/>
        <v>OCSocs.services.mandateParent</v>
      </c>
      <c r="I529" t="str">
        <f t="shared" si="44"/>
        <v>OCSocs.services.mandateocs.ed.ws.gc</v>
      </c>
      <c r="J529">
        <f>IF(I529="",0,COUNTIF($I$2:I529,I529))</f>
        <v>9</v>
      </c>
      <c r="K529">
        <f>COUNTIF($J$2:J529,1)</f>
        <v>89</v>
      </c>
      <c r="N529">
        <v>88</v>
      </c>
      <c r="O529" t="s">
        <v>15</v>
      </c>
      <c r="P529" t="s">
        <v>171</v>
      </c>
      <c r="Q529" t="s">
        <v>172</v>
      </c>
      <c r="R529" t="s">
        <v>204</v>
      </c>
      <c r="S529" t="s">
        <v>205</v>
      </c>
      <c r="T529" t="s">
        <v>206</v>
      </c>
      <c r="U529" t="s">
        <v>207</v>
      </c>
      <c r="V529" t="s">
        <v>195</v>
      </c>
      <c r="W529" t="s">
        <v>21</v>
      </c>
      <c r="X529" t="s">
        <v>22</v>
      </c>
      <c r="Y529" t="s">
        <v>209</v>
      </c>
      <c r="Z529">
        <v>1804</v>
      </c>
    </row>
    <row r="530" spans="1:26" hidden="1" x14ac:dyDescent="0.25">
      <c r="A530">
        <f>COUNTIF($P$2:P530,P530)</f>
        <v>159</v>
      </c>
      <c r="B530">
        <f>COUNTIF($A$2:A530,1)</f>
        <v>18</v>
      </c>
      <c r="C530" t="str">
        <f t="shared" si="40"/>
        <v>OCS</v>
      </c>
      <c r="D530" t="str">
        <f t="shared" si="41"/>
        <v>OCSParent</v>
      </c>
      <c r="E530">
        <f>COUNTIF($R$2:R530,R530)</f>
        <v>41</v>
      </c>
      <c r="F530">
        <f>COUNTIF($E$2:E530,1)</f>
        <v>29</v>
      </c>
      <c r="G530" t="str">
        <f t="shared" si="42"/>
        <v>ocs.services.mandate</v>
      </c>
      <c r="H530" t="str">
        <f t="shared" si="43"/>
        <v>OCSocs.services.mandateParent</v>
      </c>
      <c r="I530" t="str">
        <f t="shared" si="44"/>
        <v>OCSocs.services.mandateocs.ed.ws.gc</v>
      </c>
      <c r="J530">
        <f>IF(I530="",0,COUNTIF($I$2:I530,I530))</f>
        <v>10</v>
      </c>
      <c r="K530">
        <f>COUNTIF($J$2:J530,1)</f>
        <v>89</v>
      </c>
      <c r="N530">
        <v>88</v>
      </c>
      <c r="O530" t="s">
        <v>15</v>
      </c>
      <c r="P530" t="s">
        <v>171</v>
      </c>
      <c r="Q530" t="s">
        <v>172</v>
      </c>
      <c r="R530" t="s">
        <v>204</v>
      </c>
      <c r="S530" t="s">
        <v>205</v>
      </c>
      <c r="T530" t="s">
        <v>206</v>
      </c>
      <c r="U530" t="s">
        <v>207</v>
      </c>
      <c r="V530" t="s">
        <v>195</v>
      </c>
      <c r="W530" t="s">
        <v>21</v>
      </c>
      <c r="X530" t="s">
        <v>21</v>
      </c>
      <c r="Y530" t="s">
        <v>182</v>
      </c>
      <c r="Z530">
        <v>5051</v>
      </c>
    </row>
    <row r="531" spans="1:26" hidden="1" x14ac:dyDescent="0.25">
      <c r="A531">
        <f>COUNTIF($P$2:P531,P531)</f>
        <v>160</v>
      </c>
      <c r="B531">
        <f>COUNTIF($A$2:A531,1)</f>
        <v>18</v>
      </c>
      <c r="C531" t="str">
        <f t="shared" si="40"/>
        <v>OCS</v>
      </c>
      <c r="D531" t="str">
        <f t="shared" si="41"/>
        <v>OCSIntegrator</v>
      </c>
      <c r="E531">
        <f>COUNTIF($R$2:R531,R531)</f>
        <v>42</v>
      </c>
      <c r="F531">
        <f>COUNTIF($E$2:E531,1)</f>
        <v>29</v>
      </c>
      <c r="G531" t="str">
        <f t="shared" si="42"/>
        <v>ocs.services.mandate</v>
      </c>
      <c r="H531" t="str">
        <f t="shared" si="43"/>
        <v>OCSocs.services.mandateIntegrator</v>
      </c>
      <c r="I531" t="str">
        <f t="shared" si="44"/>
        <v>OCSocs.services.mandateocs.ed.ws.gc</v>
      </c>
      <c r="J531">
        <f>IF(I531="",0,COUNTIF($I$2:I531,I531))</f>
        <v>11</v>
      </c>
      <c r="K531">
        <f>COUNTIF($J$2:J531,1)</f>
        <v>89</v>
      </c>
      <c r="N531">
        <v>1</v>
      </c>
      <c r="O531" t="s">
        <v>23</v>
      </c>
      <c r="P531" t="s">
        <v>171</v>
      </c>
      <c r="Q531" t="s">
        <v>172</v>
      </c>
      <c r="R531" t="s">
        <v>204</v>
      </c>
      <c r="S531" t="s">
        <v>205</v>
      </c>
      <c r="T531" t="s">
        <v>206</v>
      </c>
      <c r="U531" t="s">
        <v>207</v>
      </c>
      <c r="V531" t="s">
        <v>195</v>
      </c>
      <c r="W531" t="s">
        <v>22</v>
      </c>
      <c r="X531" t="s">
        <v>22</v>
      </c>
      <c r="Y531" t="s">
        <v>209</v>
      </c>
      <c r="Z531">
        <v>1804</v>
      </c>
    </row>
    <row r="532" spans="1:26" hidden="1" x14ac:dyDescent="0.25">
      <c r="A532">
        <f>COUNTIF($P$2:P532,P532)</f>
        <v>161</v>
      </c>
      <c r="B532">
        <f>COUNTIF($A$2:A532,1)</f>
        <v>18</v>
      </c>
      <c r="C532" t="str">
        <f t="shared" si="40"/>
        <v>OCS</v>
      </c>
      <c r="D532" t="str">
        <f t="shared" si="41"/>
        <v>OCSIntegrator</v>
      </c>
      <c r="E532">
        <f>COUNTIF($R$2:R532,R532)</f>
        <v>43</v>
      </c>
      <c r="F532">
        <f>COUNTIF($E$2:E532,1)</f>
        <v>29</v>
      </c>
      <c r="G532" t="str">
        <f t="shared" si="42"/>
        <v>ocs.services.mandate</v>
      </c>
      <c r="H532" t="str">
        <f t="shared" si="43"/>
        <v>OCSocs.services.mandateIntegrator</v>
      </c>
      <c r="I532" t="str">
        <f t="shared" si="44"/>
        <v>OCSocs.services.mandateocs.ed.ws.gc</v>
      </c>
      <c r="J532">
        <f>IF(I532="",0,COUNTIF($I$2:I532,I532))</f>
        <v>12</v>
      </c>
      <c r="K532">
        <f>COUNTIF($J$2:J532,1)</f>
        <v>89</v>
      </c>
      <c r="N532">
        <v>1</v>
      </c>
      <c r="O532" t="s">
        <v>23</v>
      </c>
      <c r="P532" t="s">
        <v>171</v>
      </c>
      <c r="Q532" t="s">
        <v>172</v>
      </c>
      <c r="R532" t="s">
        <v>204</v>
      </c>
      <c r="S532" t="s">
        <v>205</v>
      </c>
      <c r="T532" t="s">
        <v>206</v>
      </c>
      <c r="U532" t="s">
        <v>207</v>
      </c>
      <c r="V532" t="s">
        <v>195</v>
      </c>
      <c r="W532" t="s">
        <v>22</v>
      </c>
      <c r="X532" t="s">
        <v>21</v>
      </c>
      <c r="Y532" t="s">
        <v>182</v>
      </c>
      <c r="Z532">
        <v>5051</v>
      </c>
    </row>
    <row r="533" spans="1:26" hidden="1" x14ac:dyDescent="0.25">
      <c r="A533">
        <f>COUNTIF($P$2:P533,P533)</f>
        <v>162</v>
      </c>
      <c r="B533">
        <f>COUNTIF($A$2:A533,1)</f>
        <v>18</v>
      </c>
      <c r="C533" t="str">
        <f t="shared" si="40"/>
        <v>OCS</v>
      </c>
      <c r="D533" t="str">
        <f t="shared" si="41"/>
        <v>OCSDevice</v>
      </c>
      <c r="E533">
        <f>COUNTIF($R$2:R533,R533)</f>
        <v>44</v>
      </c>
      <c r="F533">
        <f>COUNTIF($E$2:E533,1)</f>
        <v>29</v>
      </c>
      <c r="G533" t="str">
        <f t="shared" si="42"/>
        <v>ocs.services.mandate</v>
      </c>
      <c r="H533" t="str">
        <f t="shared" si="43"/>
        <v>OCSocs.services.mandateDevice</v>
      </c>
      <c r="I533" t="str">
        <f t="shared" si="44"/>
        <v>OCSocs.services.mandateocs.ed.ws.gc</v>
      </c>
      <c r="J533">
        <f>IF(I533="",0,COUNTIF($I$2:I533,I533))</f>
        <v>13</v>
      </c>
      <c r="K533">
        <f>COUNTIF($J$2:J533,1)</f>
        <v>89</v>
      </c>
      <c r="N533">
        <v>14</v>
      </c>
      <c r="O533" t="s">
        <v>31</v>
      </c>
      <c r="P533" t="s">
        <v>171</v>
      </c>
      <c r="Q533" t="s">
        <v>172</v>
      </c>
      <c r="R533" t="s">
        <v>204</v>
      </c>
      <c r="S533" t="s">
        <v>205</v>
      </c>
      <c r="T533" t="s">
        <v>206</v>
      </c>
      <c r="U533" t="s">
        <v>207</v>
      </c>
      <c r="V533" t="s">
        <v>195</v>
      </c>
      <c r="W533" t="s">
        <v>21</v>
      </c>
      <c r="X533" t="s">
        <v>22</v>
      </c>
      <c r="Y533" t="s">
        <v>209</v>
      </c>
      <c r="Z533">
        <v>1804</v>
      </c>
    </row>
    <row r="534" spans="1:26" hidden="1" x14ac:dyDescent="0.25">
      <c r="A534">
        <f>COUNTIF($P$2:P534,P534)</f>
        <v>163</v>
      </c>
      <c r="B534">
        <f>COUNTIF($A$2:A534,1)</f>
        <v>18</v>
      </c>
      <c r="C534" t="str">
        <f t="shared" si="40"/>
        <v>OCS</v>
      </c>
      <c r="D534" t="str">
        <f t="shared" si="41"/>
        <v>OCSDevice</v>
      </c>
      <c r="E534">
        <f>COUNTIF($R$2:R534,R534)</f>
        <v>45</v>
      </c>
      <c r="F534">
        <f>COUNTIF($E$2:E534,1)</f>
        <v>29</v>
      </c>
      <c r="G534" t="str">
        <f t="shared" si="42"/>
        <v>ocs.services.mandate</v>
      </c>
      <c r="H534" t="str">
        <f t="shared" si="43"/>
        <v>OCSocs.services.mandateDevice</v>
      </c>
      <c r="I534" t="str">
        <f t="shared" si="44"/>
        <v>OCSocs.services.mandateocs.ed.ws.gc</v>
      </c>
      <c r="J534">
        <f>IF(I534="",0,COUNTIF($I$2:I534,I534))</f>
        <v>14</v>
      </c>
      <c r="K534">
        <f>COUNTIF($J$2:J534,1)</f>
        <v>89</v>
      </c>
      <c r="N534">
        <v>14</v>
      </c>
      <c r="O534" t="s">
        <v>31</v>
      </c>
      <c r="P534" t="s">
        <v>171</v>
      </c>
      <c r="Q534" t="s">
        <v>172</v>
      </c>
      <c r="R534" t="s">
        <v>204</v>
      </c>
      <c r="S534" t="s">
        <v>205</v>
      </c>
      <c r="T534" t="s">
        <v>206</v>
      </c>
      <c r="U534" t="s">
        <v>207</v>
      </c>
      <c r="V534" t="s">
        <v>195</v>
      </c>
      <c r="W534" t="s">
        <v>21</v>
      </c>
      <c r="X534" t="s">
        <v>21</v>
      </c>
      <c r="Y534" t="s">
        <v>182</v>
      </c>
      <c r="Z534">
        <v>5051</v>
      </c>
    </row>
    <row r="535" spans="1:26" hidden="1" x14ac:dyDescent="0.25">
      <c r="A535">
        <f>COUNTIF($P$2:P535,P535)</f>
        <v>164</v>
      </c>
      <c r="B535">
        <f>COUNTIF($A$2:A535,1)</f>
        <v>18</v>
      </c>
      <c r="C535" t="str">
        <f t="shared" si="40"/>
        <v>OCS</v>
      </c>
      <c r="D535" t="str">
        <f t="shared" si="41"/>
        <v>OCSDevice</v>
      </c>
      <c r="E535">
        <f>COUNTIF($R$2:R535,R535)</f>
        <v>46</v>
      </c>
      <c r="F535">
        <f>COUNTIF($E$2:E535,1)</f>
        <v>29</v>
      </c>
      <c r="G535" t="str">
        <f t="shared" si="42"/>
        <v>ocs.services.mandate</v>
      </c>
      <c r="H535" t="str">
        <f t="shared" si="43"/>
        <v>OCSocs.services.mandateDevice</v>
      </c>
      <c r="I535" t="str">
        <f t="shared" si="44"/>
        <v>OCSocs.services.mandateocs.ed.ws.pwd</v>
      </c>
      <c r="J535">
        <f>IF(I535="",0,COUNTIF($I$2:I535,I535))</f>
        <v>1</v>
      </c>
      <c r="K535">
        <f>COUNTIF($J$2:J535,1)</f>
        <v>90</v>
      </c>
      <c r="N535">
        <v>14</v>
      </c>
      <c r="O535" t="s">
        <v>31</v>
      </c>
      <c r="P535" t="s">
        <v>171</v>
      </c>
      <c r="Q535" t="s">
        <v>172</v>
      </c>
      <c r="R535" t="s">
        <v>204</v>
      </c>
      <c r="S535" t="s">
        <v>205</v>
      </c>
      <c r="T535" t="s">
        <v>206</v>
      </c>
      <c r="U535" t="s">
        <v>207</v>
      </c>
      <c r="V535" t="s">
        <v>196</v>
      </c>
      <c r="W535" t="s">
        <v>21</v>
      </c>
      <c r="X535" t="s">
        <v>21</v>
      </c>
      <c r="Y535" t="s">
        <v>197</v>
      </c>
      <c r="Z535">
        <v>5053</v>
      </c>
    </row>
    <row r="536" spans="1:26" hidden="1" x14ac:dyDescent="0.25">
      <c r="A536">
        <f>COUNTIF($P$2:P536,P536)</f>
        <v>165</v>
      </c>
      <c r="B536">
        <f>COUNTIF($A$2:A536,1)</f>
        <v>18</v>
      </c>
      <c r="C536" t="str">
        <f t="shared" si="40"/>
        <v>OCS</v>
      </c>
      <c r="D536" t="str">
        <f t="shared" si="41"/>
        <v>OCSParent</v>
      </c>
      <c r="E536">
        <f>COUNTIF($R$2:R536,R536)</f>
        <v>47</v>
      </c>
      <c r="F536">
        <f>COUNTIF($E$2:E536,1)</f>
        <v>29</v>
      </c>
      <c r="G536" t="str">
        <f t="shared" si="42"/>
        <v>ocs.services.mandate</v>
      </c>
      <c r="H536" t="str">
        <f t="shared" si="43"/>
        <v>OCSocs.services.mandateParent</v>
      </c>
      <c r="I536" t="str">
        <f t="shared" si="44"/>
        <v>OCSocs.services.mandateocs.ed.ws.pwd</v>
      </c>
      <c r="J536">
        <f>IF(I536="",0,COUNTIF($I$2:I536,I536))</f>
        <v>2</v>
      </c>
      <c r="K536">
        <f>COUNTIF($J$2:J536,1)</f>
        <v>90</v>
      </c>
      <c r="N536">
        <v>1</v>
      </c>
      <c r="O536" t="s">
        <v>15</v>
      </c>
      <c r="P536" t="s">
        <v>171</v>
      </c>
      <c r="Q536" t="s">
        <v>172</v>
      </c>
      <c r="R536" t="s">
        <v>204</v>
      </c>
      <c r="S536" t="s">
        <v>205</v>
      </c>
      <c r="T536" t="s">
        <v>206</v>
      </c>
      <c r="U536" t="s">
        <v>207</v>
      </c>
      <c r="V536" t="s">
        <v>196</v>
      </c>
      <c r="W536" t="s">
        <v>21</v>
      </c>
      <c r="X536" t="s">
        <v>21</v>
      </c>
      <c r="Y536" t="s">
        <v>197</v>
      </c>
      <c r="Z536">
        <v>5053</v>
      </c>
    </row>
    <row r="537" spans="1:26" hidden="1" x14ac:dyDescent="0.25">
      <c r="A537">
        <f>COUNTIF($P$2:P537,P537)</f>
        <v>166</v>
      </c>
      <c r="B537">
        <f>COUNTIF($A$2:A537,1)</f>
        <v>18</v>
      </c>
      <c r="C537" t="str">
        <f t="shared" si="40"/>
        <v>OCS</v>
      </c>
      <c r="D537" t="str">
        <f t="shared" si="41"/>
        <v>OCSParent</v>
      </c>
      <c r="E537">
        <f>COUNTIF($R$2:R537,R537)</f>
        <v>48</v>
      </c>
      <c r="F537">
        <f>COUNTIF($E$2:E537,1)</f>
        <v>29</v>
      </c>
      <c r="G537" t="str">
        <f t="shared" si="42"/>
        <v>ocs.services.mandate</v>
      </c>
      <c r="H537" t="str">
        <f t="shared" si="43"/>
        <v>OCSocs.services.mandateParent</v>
      </c>
      <c r="I537" t="str">
        <f t="shared" si="44"/>
        <v>OCSocs.services.mandateocs.ed.ws.pwd</v>
      </c>
      <c r="J537">
        <f>IF(I537="",0,COUNTIF($I$2:I537,I537))</f>
        <v>3</v>
      </c>
      <c r="K537">
        <f>COUNTIF($J$2:J537,1)</f>
        <v>90</v>
      </c>
      <c r="N537">
        <v>2</v>
      </c>
      <c r="O537" t="s">
        <v>15</v>
      </c>
      <c r="P537" t="s">
        <v>171</v>
      </c>
      <c r="Q537" t="s">
        <v>172</v>
      </c>
      <c r="R537" t="s">
        <v>204</v>
      </c>
      <c r="S537" t="s">
        <v>205</v>
      </c>
      <c r="T537" t="s">
        <v>206</v>
      </c>
      <c r="U537" t="s">
        <v>207</v>
      </c>
      <c r="V537" t="s">
        <v>196</v>
      </c>
      <c r="W537" t="s">
        <v>21</v>
      </c>
      <c r="X537" t="s">
        <v>21</v>
      </c>
      <c r="Y537" t="s">
        <v>197</v>
      </c>
      <c r="Z537">
        <v>5053</v>
      </c>
    </row>
    <row r="538" spans="1:26" hidden="1" x14ac:dyDescent="0.25">
      <c r="A538">
        <f>COUNTIF($P$2:P538,P538)</f>
        <v>167</v>
      </c>
      <c r="B538">
        <f>COUNTIF($A$2:A538,1)</f>
        <v>18</v>
      </c>
      <c r="C538" t="str">
        <f t="shared" si="40"/>
        <v>OCS</v>
      </c>
      <c r="D538" t="str">
        <f t="shared" si="41"/>
        <v>OCSIntegrator</v>
      </c>
      <c r="E538">
        <f>COUNTIF($R$2:R538,R538)</f>
        <v>49</v>
      </c>
      <c r="F538">
        <f>COUNTIF($E$2:E538,1)</f>
        <v>29</v>
      </c>
      <c r="G538" t="str">
        <f t="shared" si="42"/>
        <v>ocs.services.mandate</v>
      </c>
      <c r="H538" t="str">
        <f t="shared" si="43"/>
        <v>OCSocs.services.mandateIntegrator</v>
      </c>
      <c r="I538" t="str">
        <f t="shared" si="44"/>
        <v>OCSocs.services.mandateocs.ed.ws.pwd</v>
      </c>
      <c r="J538">
        <f>IF(I538="",0,COUNTIF($I$2:I538,I538))</f>
        <v>4</v>
      </c>
      <c r="K538">
        <f>COUNTIF($J$2:J538,1)</f>
        <v>90</v>
      </c>
      <c r="N538">
        <v>34</v>
      </c>
      <c r="O538" t="s">
        <v>23</v>
      </c>
      <c r="P538" t="s">
        <v>171</v>
      </c>
      <c r="Q538" t="s">
        <v>172</v>
      </c>
      <c r="R538" t="s">
        <v>204</v>
      </c>
      <c r="S538" t="s">
        <v>205</v>
      </c>
      <c r="T538" t="s">
        <v>206</v>
      </c>
      <c r="U538" t="s">
        <v>207</v>
      </c>
      <c r="V538" t="s">
        <v>196</v>
      </c>
      <c r="W538" t="s">
        <v>21</v>
      </c>
      <c r="X538" t="s">
        <v>21</v>
      </c>
      <c r="Y538" t="s">
        <v>197</v>
      </c>
      <c r="Z538">
        <v>5053</v>
      </c>
    </row>
    <row r="539" spans="1:26" hidden="1" x14ac:dyDescent="0.25">
      <c r="A539">
        <f>COUNTIF($P$2:P539,P539)</f>
        <v>168</v>
      </c>
      <c r="B539">
        <f>COUNTIF($A$2:A539,1)</f>
        <v>18</v>
      </c>
      <c r="C539" t="str">
        <f t="shared" si="40"/>
        <v>OCS</v>
      </c>
      <c r="D539" t="str">
        <f t="shared" si="41"/>
        <v>OCSParent</v>
      </c>
      <c r="E539">
        <f>COUNTIF($R$2:R539,R539)</f>
        <v>50</v>
      </c>
      <c r="F539">
        <f>COUNTIF($E$2:E539,1)</f>
        <v>29</v>
      </c>
      <c r="G539" t="str">
        <f t="shared" si="42"/>
        <v>ocs.services.mandate</v>
      </c>
      <c r="H539" t="str">
        <f t="shared" si="43"/>
        <v>OCSocs.services.mandateParent</v>
      </c>
      <c r="I539" t="str">
        <f t="shared" si="44"/>
        <v>OCSocs.services.mandateocs.ed.ws.pwd</v>
      </c>
      <c r="J539">
        <f>IF(I539="",0,COUNTIF($I$2:I539,I539))</f>
        <v>5</v>
      </c>
      <c r="K539">
        <f>COUNTIF($J$2:J539,1)</f>
        <v>90</v>
      </c>
      <c r="N539">
        <v>90</v>
      </c>
      <c r="O539" t="s">
        <v>15</v>
      </c>
      <c r="P539" t="s">
        <v>171</v>
      </c>
      <c r="Q539" t="s">
        <v>172</v>
      </c>
      <c r="R539" t="s">
        <v>204</v>
      </c>
      <c r="S539" t="s">
        <v>205</v>
      </c>
      <c r="T539" t="s">
        <v>206</v>
      </c>
      <c r="U539" t="s">
        <v>207</v>
      </c>
      <c r="V539" t="s">
        <v>196</v>
      </c>
      <c r="W539" t="s">
        <v>21</v>
      </c>
      <c r="X539" t="s">
        <v>21</v>
      </c>
      <c r="Y539" t="s">
        <v>197</v>
      </c>
      <c r="Z539">
        <v>5053</v>
      </c>
    </row>
    <row r="540" spans="1:26" hidden="1" x14ac:dyDescent="0.25">
      <c r="A540">
        <f>COUNTIF($P$2:P540,P540)</f>
        <v>169</v>
      </c>
      <c r="B540">
        <f>COUNTIF($A$2:A540,1)</f>
        <v>18</v>
      </c>
      <c r="C540" t="str">
        <f t="shared" si="40"/>
        <v>OCS</v>
      </c>
      <c r="D540" t="str">
        <f t="shared" si="41"/>
        <v>OCSPerson</v>
      </c>
      <c r="E540">
        <f>COUNTIF($R$2:R540,R540)</f>
        <v>51</v>
      </c>
      <c r="F540">
        <f>COUNTIF($E$2:E540,1)</f>
        <v>29</v>
      </c>
      <c r="G540" t="str">
        <f t="shared" si="42"/>
        <v>ocs.services.mandate</v>
      </c>
      <c r="H540" t="str">
        <f t="shared" si="43"/>
        <v>OCSocs.services.mandatePerson</v>
      </c>
      <c r="I540" t="str">
        <f t="shared" si="44"/>
        <v>OCSocs.services.mandateocs.ed.ws.pwd</v>
      </c>
      <c r="J540">
        <f>IF(I540="",0,COUNTIF($I$2:I540,I540))</f>
        <v>6</v>
      </c>
      <c r="K540">
        <f>COUNTIF($J$2:J540,1)</f>
        <v>90</v>
      </c>
      <c r="N540">
        <v>11</v>
      </c>
      <c r="O540" t="s">
        <v>24</v>
      </c>
      <c r="P540" t="s">
        <v>171</v>
      </c>
      <c r="Q540" t="s">
        <v>172</v>
      </c>
      <c r="R540" t="s">
        <v>204</v>
      </c>
      <c r="S540" t="s">
        <v>205</v>
      </c>
      <c r="T540" t="s">
        <v>206</v>
      </c>
      <c r="U540" t="s">
        <v>207</v>
      </c>
      <c r="V540" t="s">
        <v>196</v>
      </c>
      <c r="W540" t="s">
        <v>21</v>
      </c>
      <c r="X540" t="s">
        <v>21</v>
      </c>
      <c r="Y540" t="s">
        <v>197</v>
      </c>
      <c r="Z540">
        <v>5053</v>
      </c>
    </row>
    <row r="541" spans="1:26" hidden="1" x14ac:dyDescent="0.25">
      <c r="A541">
        <f>COUNTIF($P$2:P541,P541)</f>
        <v>170</v>
      </c>
      <c r="B541">
        <f>COUNTIF($A$2:A541,1)</f>
        <v>18</v>
      </c>
      <c r="C541" t="str">
        <f t="shared" si="40"/>
        <v>OCS</v>
      </c>
      <c r="D541" t="str">
        <f t="shared" si="41"/>
        <v>OCSParent</v>
      </c>
      <c r="E541">
        <f>COUNTIF($R$2:R541,R541)</f>
        <v>52</v>
      </c>
      <c r="F541">
        <f>COUNTIF($E$2:E541,1)</f>
        <v>29</v>
      </c>
      <c r="G541" t="str">
        <f t="shared" si="42"/>
        <v>ocs.services.mandate</v>
      </c>
      <c r="H541" t="str">
        <f t="shared" si="43"/>
        <v>OCSocs.services.mandateParent</v>
      </c>
      <c r="I541" t="str">
        <f t="shared" si="44"/>
        <v>OCSocs.services.mandateocs.ed.ws.usr</v>
      </c>
      <c r="J541">
        <f>IF(I541="",0,COUNTIF($I$2:I541,I541))</f>
        <v>1</v>
      </c>
      <c r="K541">
        <f>COUNTIF($J$2:J541,1)</f>
        <v>91</v>
      </c>
      <c r="N541">
        <v>2</v>
      </c>
      <c r="O541" t="s">
        <v>15</v>
      </c>
      <c r="P541" t="s">
        <v>171</v>
      </c>
      <c r="Q541" t="s">
        <v>172</v>
      </c>
      <c r="R541" t="s">
        <v>204</v>
      </c>
      <c r="S541" t="s">
        <v>205</v>
      </c>
      <c r="T541" t="s">
        <v>206</v>
      </c>
      <c r="U541" t="s">
        <v>207</v>
      </c>
      <c r="V541" t="s">
        <v>198</v>
      </c>
      <c r="W541" t="s">
        <v>21</v>
      </c>
      <c r="X541" t="s">
        <v>21</v>
      </c>
      <c r="Y541" t="s">
        <v>199</v>
      </c>
      <c r="Z541">
        <v>5052</v>
      </c>
    </row>
    <row r="542" spans="1:26" hidden="1" x14ac:dyDescent="0.25">
      <c r="A542">
        <f>COUNTIF($P$2:P542,P542)</f>
        <v>171</v>
      </c>
      <c r="B542">
        <f>COUNTIF($A$2:A542,1)</f>
        <v>18</v>
      </c>
      <c r="C542" t="str">
        <f t="shared" si="40"/>
        <v>OCS</v>
      </c>
      <c r="D542" t="str">
        <f t="shared" si="41"/>
        <v>OCSParent</v>
      </c>
      <c r="E542">
        <f>COUNTIF($R$2:R542,R542)</f>
        <v>53</v>
      </c>
      <c r="F542">
        <f>COUNTIF($E$2:E542,1)</f>
        <v>29</v>
      </c>
      <c r="G542" t="str">
        <f t="shared" si="42"/>
        <v>ocs.services.mandate</v>
      </c>
      <c r="H542" t="str">
        <f t="shared" si="43"/>
        <v>OCSocs.services.mandateParent</v>
      </c>
      <c r="I542" t="str">
        <f t="shared" si="44"/>
        <v>OCSocs.services.mandateocs.ed.ws.usr</v>
      </c>
      <c r="J542">
        <f>IF(I542="",0,COUNTIF($I$2:I542,I542))</f>
        <v>2</v>
      </c>
      <c r="K542">
        <f>COUNTIF($J$2:J542,1)</f>
        <v>91</v>
      </c>
      <c r="N542">
        <v>90</v>
      </c>
      <c r="O542" t="s">
        <v>15</v>
      </c>
      <c r="P542" t="s">
        <v>171</v>
      </c>
      <c r="Q542" t="s">
        <v>172</v>
      </c>
      <c r="R542" t="s">
        <v>204</v>
      </c>
      <c r="S542" t="s">
        <v>205</v>
      </c>
      <c r="T542" t="s">
        <v>206</v>
      </c>
      <c r="U542" t="s">
        <v>207</v>
      </c>
      <c r="V542" t="s">
        <v>198</v>
      </c>
      <c r="W542" t="s">
        <v>21</v>
      </c>
      <c r="X542" t="s">
        <v>21</v>
      </c>
      <c r="Y542" t="s">
        <v>199</v>
      </c>
      <c r="Z542">
        <v>5052</v>
      </c>
    </row>
    <row r="543" spans="1:26" hidden="1" x14ac:dyDescent="0.25">
      <c r="A543">
        <f>COUNTIF($P$2:P543,P543)</f>
        <v>172</v>
      </c>
      <c r="B543">
        <f>COUNTIF($A$2:A543,1)</f>
        <v>18</v>
      </c>
      <c r="C543" t="str">
        <f t="shared" si="40"/>
        <v>OCS</v>
      </c>
      <c r="D543" t="str">
        <f t="shared" si="41"/>
        <v>OCSIntegrator</v>
      </c>
      <c r="E543">
        <f>COUNTIF($R$2:R543,R543)</f>
        <v>54</v>
      </c>
      <c r="F543">
        <f>COUNTIF($E$2:E543,1)</f>
        <v>29</v>
      </c>
      <c r="G543" t="str">
        <f t="shared" si="42"/>
        <v>ocs.services.mandate</v>
      </c>
      <c r="H543" t="str">
        <f t="shared" si="43"/>
        <v>OCSocs.services.mandateIntegrator</v>
      </c>
      <c r="I543" t="str">
        <f t="shared" si="44"/>
        <v>OCSocs.services.mandateocs.ed.ws.usr</v>
      </c>
      <c r="J543">
        <f>IF(I543="",0,COUNTIF($I$2:I543,I543))</f>
        <v>3</v>
      </c>
      <c r="K543">
        <f>COUNTIF($J$2:J543,1)</f>
        <v>91</v>
      </c>
      <c r="N543">
        <v>34</v>
      </c>
      <c r="O543" t="s">
        <v>23</v>
      </c>
      <c r="P543" t="s">
        <v>171</v>
      </c>
      <c r="Q543" t="s">
        <v>172</v>
      </c>
      <c r="R543" t="s">
        <v>204</v>
      </c>
      <c r="S543" t="s">
        <v>205</v>
      </c>
      <c r="T543" t="s">
        <v>206</v>
      </c>
      <c r="U543" t="s">
        <v>207</v>
      </c>
      <c r="V543" t="s">
        <v>198</v>
      </c>
      <c r="W543" t="s">
        <v>21</v>
      </c>
      <c r="X543" t="s">
        <v>21</v>
      </c>
      <c r="Y543" t="s">
        <v>199</v>
      </c>
      <c r="Z543">
        <v>5052</v>
      </c>
    </row>
    <row r="544" spans="1:26" hidden="1" x14ac:dyDescent="0.25">
      <c r="A544">
        <f>COUNTIF($P$2:P544,P544)</f>
        <v>173</v>
      </c>
      <c r="B544">
        <f>COUNTIF($A$2:A544,1)</f>
        <v>18</v>
      </c>
      <c r="C544" t="str">
        <f t="shared" si="40"/>
        <v>OCS</v>
      </c>
      <c r="D544" t="str">
        <f t="shared" si="41"/>
        <v>OCSParent</v>
      </c>
      <c r="E544">
        <f>COUNTIF($R$2:R544,R544)</f>
        <v>55</v>
      </c>
      <c r="F544">
        <f>COUNTIF($E$2:E544,1)</f>
        <v>29</v>
      </c>
      <c r="G544" t="str">
        <f t="shared" si="42"/>
        <v>ocs.services.mandate</v>
      </c>
      <c r="H544" t="str">
        <f t="shared" si="43"/>
        <v>OCSocs.services.mandateParent</v>
      </c>
      <c r="I544" t="str">
        <f t="shared" si="44"/>
        <v>OCSocs.services.mandateocs.ed.ws.usr</v>
      </c>
      <c r="J544">
        <f>IF(I544="",0,COUNTIF($I$2:I544,I544))</f>
        <v>4</v>
      </c>
      <c r="K544">
        <f>COUNTIF($J$2:J544,1)</f>
        <v>91</v>
      </c>
      <c r="N544">
        <v>1</v>
      </c>
      <c r="O544" t="s">
        <v>15</v>
      </c>
      <c r="P544" t="s">
        <v>171</v>
      </c>
      <c r="Q544" t="s">
        <v>172</v>
      </c>
      <c r="R544" t="s">
        <v>204</v>
      </c>
      <c r="S544" t="s">
        <v>205</v>
      </c>
      <c r="T544" t="s">
        <v>206</v>
      </c>
      <c r="U544" t="s">
        <v>207</v>
      </c>
      <c r="V544" t="s">
        <v>198</v>
      </c>
      <c r="W544" t="s">
        <v>21</v>
      </c>
      <c r="X544" t="s">
        <v>21</v>
      </c>
      <c r="Y544" t="s">
        <v>199</v>
      </c>
      <c r="Z544">
        <v>5052</v>
      </c>
    </row>
    <row r="545" spans="1:26" hidden="1" x14ac:dyDescent="0.25">
      <c r="A545">
        <f>COUNTIF($P$2:P545,P545)</f>
        <v>174</v>
      </c>
      <c r="B545">
        <f>COUNTIF($A$2:A545,1)</f>
        <v>18</v>
      </c>
      <c r="C545" t="str">
        <f t="shared" si="40"/>
        <v>OCS</v>
      </c>
      <c r="D545" t="str">
        <f t="shared" si="41"/>
        <v>OCSPerson</v>
      </c>
      <c r="E545">
        <f>COUNTIF($R$2:R545,R545)</f>
        <v>56</v>
      </c>
      <c r="F545">
        <f>COUNTIF($E$2:E545,1)</f>
        <v>29</v>
      </c>
      <c r="G545" t="str">
        <f t="shared" si="42"/>
        <v>ocs.services.mandate</v>
      </c>
      <c r="H545" t="str">
        <f t="shared" si="43"/>
        <v>OCSocs.services.mandatePerson</v>
      </c>
      <c r="I545" t="str">
        <f t="shared" si="44"/>
        <v>OCSocs.services.mandateocs.ed.ws.usr</v>
      </c>
      <c r="J545">
        <f>IF(I545="",0,COUNTIF($I$2:I545,I545))</f>
        <v>5</v>
      </c>
      <c r="K545">
        <f>COUNTIF($J$2:J545,1)</f>
        <v>91</v>
      </c>
      <c r="N545">
        <v>11</v>
      </c>
      <c r="O545" t="s">
        <v>24</v>
      </c>
      <c r="P545" t="s">
        <v>171</v>
      </c>
      <c r="Q545" t="s">
        <v>172</v>
      </c>
      <c r="R545" t="s">
        <v>204</v>
      </c>
      <c r="S545" t="s">
        <v>205</v>
      </c>
      <c r="T545" t="s">
        <v>206</v>
      </c>
      <c r="U545" t="s">
        <v>207</v>
      </c>
      <c r="V545" t="s">
        <v>198</v>
      </c>
      <c r="W545" t="s">
        <v>21</v>
      </c>
      <c r="X545" t="s">
        <v>21</v>
      </c>
      <c r="Y545" t="s">
        <v>199</v>
      </c>
      <c r="Z545">
        <v>5052</v>
      </c>
    </row>
    <row r="546" spans="1:26" hidden="1" x14ac:dyDescent="0.25">
      <c r="A546">
        <f>COUNTIF($P$2:P546,P546)</f>
        <v>175</v>
      </c>
      <c r="B546">
        <f>COUNTIF($A$2:A546,1)</f>
        <v>18</v>
      </c>
      <c r="C546" t="str">
        <f t="shared" si="40"/>
        <v>OCS</v>
      </c>
      <c r="D546" t="str">
        <f t="shared" si="41"/>
        <v>OCSDevice</v>
      </c>
      <c r="E546">
        <f>COUNTIF($R$2:R546,R546)</f>
        <v>57</v>
      </c>
      <c r="F546">
        <f>COUNTIF($E$2:E546,1)</f>
        <v>29</v>
      </c>
      <c r="G546" t="str">
        <f t="shared" si="42"/>
        <v>ocs.services.mandate</v>
      </c>
      <c r="H546" t="str">
        <f t="shared" si="43"/>
        <v>OCSocs.services.mandateDevice</v>
      </c>
      <c r="I546" t="str">
        <f t="shared" si="44"/>
        <v>OCSocs.services.mandateocs.ed.ws.usr</v>
      </c>
      <c r="J546">
        <f>IF(I546="",0,COUNTIF($I$2:I546,I546))</f>
        <v>6</v>
      </c>
      <c r="K546">
        <f>COUNTIF($J$2:J546,1)</f>
        <v>91</v>
      </c>
      <c r="N546">
        <v>14</v>
      </c>
      <c r="O546" t="s">
        <v>31</v>
      </c>
      <c r="P546" t="s">
        <v>171</v>
      </c>
      <c r="Q546" t="s">
        <v>172</v>
      </c>
      <c r="R546" t="s">
        <v>204</v>
      </c>
      <c r="S546" t="s">
        <v>205</v>
      </c>
      <c r="T546" t="s">
        <v>206</v>
      </c>
      <c r="U546" t="s">
        <v>207</v>
      </c>
      <c r="V546" t="s">
        <v>198</v>
      </c>
      <c r="W546" t="s">
        <v>21</v>
      </c>
      <c r="X546" t="s">
        <v>21</v>
      </c>
      <c r="Y546" t="s">
        <v>199</v>
      </c>
      <c r="Z546">
        <v>5052</v>
      </c>
    </row>
    <row r="547" spans="1:26" hidden="1" x14ac:dyDescent="0.25">
      <c r="A547">
        <f>COUNTIF($P$2:P547,P547)</f>
        <v>176</v>
      </c>
      <c r="B547">
        <f>COUNTIF($A$2:A547,1)</f>
        <v>18</v>
      </c>
      <c r="C547" t="str">
        <f t="shared" si="40"/>
        <v>OCS</v>
      </c>
      <c r="D547" t="str">
        <f t="shared" si="41"/>
        <v>OCSParent</v>
      </c>
      <c r="E547">
        <f>COUNTIF($R$2:R547,R547)</f>
        <v>58</v>
      </c>
      <c r="F547">
        <f>COUNTIF($E$2:E547,1)</f>
        <v>29</v>
      </c>
      <c r="G547" t="str">
        <f t="shared" si="42"/>
        <v>ocs.services.mandate</v>
      </c>
      <c r="H547" t="str">
        <f t="shared" si="43"/>
        <v>OCSocs.services.mandateParent</v>
      </c>
      <c r="I547" t="str">
        <f t="shared" si="44"/>
        <v/>
      </c>
      <c r="J547">
        <f>IF(I547="",0,COUNTIF($I$2:I547,I547))</f>
        <v>0</v>
      </c>
      <c r="K547">
        <f>COUNTIF($J$2:J547,1)</f>
        <v>91</v>
      </c>
      <c r="N547">
        <v>1</v>
      </c>
      <c r="O547" t="s">
        <v>15</v>
      </c>
      <c r="P547" t="s">
        <v>171</v>
      </c>
      <c r="Q547" t="s">
        <v>172</v>
      </c>
      <c r="R547" t="s">
        <v>204</v>
      </c>
      <c r="S547" t="s">
        <v>205</v>
      </c>
      <c r="T547" t="s">
        <v>206</v>
      </c>
      <c r="U547" t="s">
        <v>207</v>
      </c>
      <c r="W547" t="s">
        <v>21</v>
      </c>
    </row>
    <row r="548" spans="1:26" hidden="1" x14ac:dyDescent="0.25">
      <c r="A548">
        <f>COUNTIF($P$2:P548,P548)</f>
        <v>177</v>
      </c>
      <c r="B548">
        <f>COUNTIF($A$2:A548,1)</f>
        <v>18</v>
      </c>
      <c r="C548" t="str">
        <f t="shared" si="40"/>
        <v>OCS</v>
      </c>
      <c r="D548" t="str">
        <f t="shared" si="41"/>
        <v>OCSDevice</v>
      </c>
      <c r="E548">
        <f>COUNTIF($R$2:R548,R548)</f>
        <v>59</v>
      </c>
      <c r="F548">
        <f>COUNTIF($E$2:E548,1)</f>
        <v>29</v>
      </c>
      <c r="G548" t="str">
        <f t="shared" si="42"/>
        <v>ocs.services.mandate</v>
      </c>
      <c r="H548" t="str">
        <f t="shared" si="43"/>
        <v>OCSocs.services.mandateDevice</v>
      </c>
      <c r="I548" t="str">
        <f t="shared" si="44"/>
        <v/>
      </c>
      <c r="J548">
        <f>IF(I548="",0,COUNTIF($I$2:I548,I548))</f>
        <v>0</v>
      </c>
      <c r="K548">
        <f>COUNTIF($J$2:J548,1)</f>
        <v>91</v>
      </c>
      <c r="N548">
        <v>1</v>
      </c>
      <c r="O548" t="s">
        <v>31</v>
      </c>
      <c r="P548" t="s">
        <v>171</v>
      </c>
      <c r="Q548" t="s">
        <v>172</v>
      </c>
      <c r="R548" t="s">
        <v>204</v>
      </c>
      <c r="S548" t="s">
        <v>205</v>
      </c>
      <c r="T548" t="s">
        <v>206</v>
      </c>
      <c r="U548" t="s">
        <v>207</v>
      </c>
      <c r="W548" t="s">
        <v>21</v>
      </c>
    </row>
    <row r="549" spans="1:26" hidden="1" x14ac:dyDescent="0.25">
      <c r="A549">
        <f>COUNTIF($P$2:P549,P549)</f>
        <v>178</v>
      </c>
      <c r="B549">
        <f>COUNTIF($A$2:A549,1)</f>
        <v>18</v>
      </c>
      <c r="C549" t="str">
        <f t="shared" si="40"/>
        <v>OCS</v>
      </c>
      <c r="D549" t="str">
        <f t="shared" si="41"/>
        <v>OCSParent</v>
      </c>
      <c r="E549">
        <f>COUNTIF($R$2:R549,R549)</f>
        <v>60</v>
      </c>
      <c r="F549">
        <f>COUNTIF($E$2:E549,1)</f>
        <v>29</v>
      </c>
      <c r="G549" t="str">
        <f t="shared" si="42"/>
        <v>ocs.services.mandate</v>
      </c>
      <c r="H549" t="str">
        <f t="shared" si="43"/>
        <v>OCSocs.services.mandateParent</v>
      </c>
      <c r="I549" t="str">
        <f t="shared" si="44"/>
        <v/>
      </c>
      <c r="J549">
        <f>IF(I549="",0,COUNTIF($I$2:I549,I549))</f>
        <v>0</v>
      </c>
      <c r="K549">
        <f>COUNTIF($J$2:J549,1)</f>
        <v>91</v>
      </c>
      <c r="N549">
        <v>1</v>
      </c>
      <c r="O549" t="s">
        <v>15</v>
      </c>
      <c r="P549" t="s">
        <v>171</v>
      </c>
      <c r="Q549" t="s">
        <v>172</v>
      </c>
      <c r="R549" t="s">
        <v>204</v>
      </c>
      <c r="S549" t="s">
        <v>205</v>
      </c>
      <c r="T549" t="s">
        <v>206</v>
      </c>
      <c r="U549" t="s">
        <v>207</v>
      </c>
      <c r="W549" t="s">
        <v>21</v>
      </c>
    </row>
    <row r="550" spans="1:26" hidden="1" x14ac:dyDescent="0.25">
      <c r="A550">
        <f>COUNTIF($P$2:P550,P550)</f>
        <v>179</v>
      </c>
      <c r="B550">
        <f>COUNTIF($A$2:A550,1)</f>
        <v>18</v>
      </c>
      <c r="C550" t="str">
        <f t="shared" si="40"/>
        <v>OCS</v>
      </c>
      <c r="D550" t="str">
        <f t="shared" si="41"/>
        <v>OCSIntegrator</v>
      </c>
      <c r="E550">
        <f>COUNTIF($R$2:R550,R550)</f>
        <v>61</v>
      </c>
      <c r="F550">
        <f>COUNTIF($E$2:E550,1)</f>
        <v>29</v>
      </c>
      <c r="G550" t="str">
        <f t="shared" si="42"/>
        <v>ocs.services.mandate</v>
      </c>
      <c r="H550" t="str">
        <f t="shared" si="43"/>
        <v>OCSocs.services.mandateIntegrator</v>
      </c>
      <c r="I550" t="str">
        <f t="shared" si="44"/>
        <v/>
      </c>
      <c r="J550">
        <f>IF(I550="",0,COUNTIF($I$2:I550,I550))</f>
        <v>0</v>
      </c>
      <c r="K550">
        <f>COUNTIF($J$2:J550,1)</f>
        <v>91</v>
      </c>
      <c r="N550">
        <v>60</v>
      </c>
      <c r="O550" t="s">
        <v>23</v>
      </c>
      <c r="P550" t="s">
        <v>171</v>
      </c>
      <c r="Q550" t="s">
        <v>172</v>
      </c>
      <c r="R550" t="s">
        <v>204</v>
      </c>
      <c r="S550" t="s">
        <v>205</v>
      </c>
      <c r="T550" t="s">
        <v>206</v>
      </c>
      <c r="U550" t="s">
        <v>207</v>
      </c>
      <c r="W550" t="s">
        <v>21</v>
      </c>
    </row>
    <row r="551" spans="1:26" hidden="1" x14ac:dyDescent="0.25">
      <c r="A551">
        <f>COUNTIF($P$2:P551,P551)</f>
        <v>180</v>
      </c>
      <c r="B551">
        <f>COUNTIF($A$2:A551,1)</f>
        <v>18</v>
      </c>
      <c r="C551" t="str">
        <f t="shared" si="40"/>
        <v>OCS</v>
      </c>
      <c r="D551" t="str">
        <f t="shared" si="41"/>
        <v>OCSParent</v>
      </c>
      <c r="E551">
        <f>COUNTIF($R$2:R551,R551)</f>
        <v>62</v>
      </c>
      <c r="F551">
        <f>COUNTIF($E$2:E551,1)</f>
        <v>29</v>
      </c>
      <c r="G551" t="str">
        <f t="shared" si="42"/>
        <v>ocs.services.mandate</v>
      </c>
      <c r="H551" t="str">
        <f t="shared" si="43"/>
        <v>OCSocs.services.mandateParent</v>
      </c>
      <c r="I551" t="str">
        <f t="shared" si="44"/>
        <v/>
      </c>
      <c r="J551">
        <f>IF(I551="",0,COUNTIF($I$2:I551,I551))</f>
        <v>0</v>
      </c>
      <c r="K551">
        <f>COUNTIF($J$2:J551,1)</f>
        <v>91</v>
      </c>
      <c r="N551">
        <v>91</v>
      </c>
      <c r="O551" t="s">
        <v>15</v>
      </c>
      <c r="P551" t="s">
        <v>171</v>
      </c>
      <c r="Q551" t="s">
        <v>172</v>
      </c>
      <c r="R551" t="s">
        <v>204</v>
      </c>
      <c r="S551" t="s">
        <v>205</v>
      </c>
      <c r="T551" t="s">
        <v>206</v>
      </c>
      <c r="U551" t="s">
        <v>207</v>
      </c>
      <c r="W551" t="s">
        <v>22</v>
      </c>
    </row>
    <row r="552" spans="1:26" hidden="1" x14ac:dyDescent="0.25">
      <c r="A552">
        <f>COUNTIF($P$2:P552,P552)</f>
        <v>181</v>
      </c>
      <c r="B552">
        <f>COUNTIF($A$2:A552,1)</f>
        <v>18</v>
      </c>
      <c r="C552" t="str">
        <f t="shared" si="40"/>
        <v>OCS</v>
      </c>
      <c r="D552" t="str">
        <f t="shared" si="41"/>
        <v>OCSIntegrator</v>
      </c>
      <c r="E552">
        <f>COUNTIF($R$2:R552,R552)</f>
        <v>63</v>
      </c>
      <c r="F552">
        <f>COUNTIF($E$2:E552,1)</f>
        <v>29</v>
      </c>
      <c r="G552" t="str">
        <f t="shared" si="42"/>
        <v>ocs.services.mandate</v>
      </c>
      <c r="H552" t="str">
        <f t="shared" si="43"/>
        <v>OCSocs.services.mandateIntegrator</v>
      </c>
      <c r="I552" t="str">
        <f t="shared" si="44"/>
        <v/>
      </c>
      <c r="J552">
        <f>IF(I552="",0,COUNTIF($I$2:I552,I552))</f>
        <v>0</v>
      </c>
      <c r="K552">
        <f>COUNTIF($J$2:J552,1)</f>
        <v>91</v>
      </c>
      <c r="N552">
        <v>90</v>
      </c>
      <c r="O552" t="s">
        <v>23</v>
      </c>
      <c r="P552" t="s">
        <v>171</v>
      </c>
      <c r="Q552" t="s">
        <v>172</v>
      </c>
      <c r="R552" t="s">
        <v>204</v>
      </c>
      <c r="S552" t="s">
        <v>205</v>
      </c>
      <c r="T552" t="s">
        <v>206</v>
      </c>
      <c r="U552" t="s">
        <v>207</v>
      </c>
      <c r="W552" t="s">
        <v>22</v>
      </c>
    </row>
    <row r="553" spans="1:26" hidden="1" x14ac:dyDescent="0.25">
      <c r="A553">
        <f>COUNTIF($P$2:P553,P553)</f>
        <v>182</v>
      </c>
      <c r="B553">
        <f>COUNTIF($A$2:A553,1)</f>
        <v>18</v>
      </c>
      <c r="C553" t="str">
        <f t="shared" si="40"/>
        <v>OCS</v>
      </c>
      <c r="D553" t="str">
        <f t="shared" si="41"/>
        <v>OCSParent</v>
      </c>
      <c r="E553">
        <f>COUNTIF($R$2:R553,R553)</f>
        <v>64</v>
      </c>
      <c r="F553">
        <f>COUNTIF($E$2:E553,1)</f>
        <v>29</v>
      </c>
      <c r="G553" t="str">
        <f t="shared" si="42"/>
        <v>ocs.services.mandate</v>
      </c>
      <c r="H553" t="str">
        <f t="shared" si="43"/>
        <v>OCSocs.services.mandateParent</v>
      </c>
      <c r="I553" t="str">
        <f t="shared" si="44"/>
        <v/>
      </c>
      <c r="J553">
        <f>IF(I553="",0,COUNTIF($I$2:I553,I553))</f>
        <v>0</v>
      </c>
      <c r="K553">
        <f>COUNTIF($J$2:J553,1)</f>
        <v>91</v>
      </c>
      <c r="N553">
        <v>2</v>
      </c>
      <c r="O553" t="s">
        <v>15</v>
      </c>
      <c r="P553" t="s">
        <v>171</v>
      </c>
      <c r="Q553" t="s">
        <v>172</v>
      </c>
      <c r="R553" t="s">
        <v>204</v>
      </c>
      <c r="S553" t="s">
        <v>205</v>
      </c>
      <c r="T553" t="s">
        <v>206</v>
      </c>
      <c r="U553" t="s">
        <v>207</v>
      </c>
      <c r="W553" t="s">
        <v>22</v>
      </c>
    </row>
    <row r="554" spans="1:26" hidden="1" x14ac:dyDescent="0.25">
      <c r="A554">
        <f>COUNTIF($P$2:P554,P554)</f>
        <v>183</v>
      </c>
      <c r="B554">
        <f>COUNTIF($A$2:A554,1)</f>
        <v>18</v>
      </c>
      <c r="C554" t="str">
        <f t="shared" si="40"/>
        <v>OCS</v>
      </c>
      <c r="D554" t="str">
        <f t="shared" si="41"/>
        <v>OCSParent</v>
      </c>
      <c r="E554">
        <f>COUNTIF($R$2:R554,R554)</f>
        <v>65</v>
      </c>
      <c r="F554">
        <f>COUNTIF($E$2:E554,1)</f>
        <v>29</v>
      </c>
      <c r="G554" t="str">
        <f t="shared" si="42"/>
        <v>ocs.services.mandate</v>
      </c>
      <c r="H554" t="str">
        <f t="shared" si="43"/>
        <v>OCSocs.services.mandateParent</v>
      </c>
      <c r="I554" t="str">
        <f t="shared" si="44"/>
        <v/>
      </c>
      <c r="J554">
        <f>IF(I554="",0,COUNTIF($I$2:I554,I554))</f>
        <v>0</v>
      </c>
      <c r="K554">
        <f>COUNTIF($J$2:J554,1)</f>
        <v>91</v>
      </c>
      <c r="N554">
        <v>1</v>
      </c>
      <c r="O554" t="s">
        <v>15</v>
      </c>
      <c r="P554" t="s">
        <v>171</v>
      </c>
      <c r="Q554" t="s">
        <v>172</v>
      </c>
      <c r="R554" t="s">
        <v>204</v>
      </c>
      <c r="S554" t="s">
        <v>205</v>
      </c>
      <c r="T554" t="s">
        <v>206</v>
      </c>
      <c r="U554" t="s">
        <v>207</v>
      </c>
      <c r="W554" t="s">
        <v>22</v>
      </c>
    </row>
    <row r="555" spans="1:26" hidden="1" x14ac:dyDescent="0.25">
      <c r="A555">
        <f>COUNTIF($P$2:P555,P555)</f>
        <v>184</v>
      </c>
      <c r="B555">
        <f>COUNTIF($A$2:A555,1)</f>
        <v>18</v>
      </c>
      <c r="C555" t="str">
        <f t="shared" si="40"/>
        <v>OCS</v>
      </c>
      <c r="D555" t="str">
        <f t="shared" si="41"/>
        <v>OCSPerson</v>
      </c>
      <c r="E555">
        <f>COUNTIF($R$2:R555,R555)</f>
        <v>66</v>
      </c>
      <c r="F555">
        <f>COUNTIF($E$2:E555,1)</f>
        <v>29</v>
      </c>
      <c r="G555" t="str">
        <f t="shared" si="42"/>
        <v>ocs.services.mandate</v>
      </c>
      <c r="H555" t="str">
        <f t="shared" si="43"/>
        <v>OCSocs.services.mandatePerson</v>
      </c>
      <c r="I555" t="str">
        <f t="shared" si="44"/>
        <v/>
      </c>
      <c r="J555">
        <f>IF(I555="",0,COUNTIF($I$2:I555,I555))</f>
        <v>0</v>
      </c>
      <c r="K555">
        <f>COUNTIF($J$2:J555,1)</f>
        <v>91</v>
      </c>
      <c r="N555">
        <v>22</v>
      </c>
      <c r="O555" t="s">
        <v>24</v>
      </c>
      <c r="P555" t="s">
        <v>171</v>
      </c>
      <c r="Q555" t="s">
        <v>172</v>
      </c>
      <c r="R555" t="s">
        <v>204</v>
      </c>
      <c r="S555" t="s">
        <v>205</v>
      </c>
      <c r="T555" t="s">
        <v>206</v>
      </c>
      <c r="U555" t="s">
        <v>207</v>
      </c>
      <c r="W555" t="s">
        <v>22</v>
      </c>
    </row>
    <row r="556" spans="1:26" hidden="1" x14ac:dyDescent="0.25">
      <c r="A556">
        <f>COUNTIF($P$2:P556,P556)</f>
        <v>185</v>
      </c>
      <c r="B556">
        <f>COUNTIF($A$2:A556,1)</f>
        <v>18</v>
      </c>
      <c r="C556" t="str">
        <f t="shared" si="40"/>
        <v>OCS</v>
      </c>
      <c r="D556" t="str">
        <f t="shared" si="41"/>
        <v>OCSDevice</v>
      </c>
      <c r="E556">
        <f>COUNTIF($R$2:R556,R556)</f>
        <v>67</v>
      </c>
      <c r="F556">
        <f>COUNTIF($E$2:E556,1)</f>
        <v>29</v>
      </c>
      <c r="G556" t="str">
        <f t="shared" si="42"/>
        <v>ocs.services.mandate</v>
      </c>
      <c r="H556" t="str">
        <f t="shared" si="43"/>
        <v>OCSocs.services.mandateDevice</v>
      </c>
      <c r="I556" t="str">
        <f t="shared" si="44"/>
        <v/>
      </c>
      <c r="J556">
        <f>IF(I556="",0,COUNTIF($I$2:I556,I556))</f>
        <v>0</v>
      </c>
      <c r="K556">
        <f>COUNTIF($J$2:J556,1)</f>
        <v>91</v>
      </c>
      <c r="N556">
        <v>40</v>
      </c>
      <c r="O556" t="s">
        <v>31</v>
      </c>
      <c r="P556" t="s">
        <v>171</v>
      </c>
      <c r="Q556" t="s">
        <v>172</v>
      </c>
      <c r="R556" t="s">
        <v>204</v>
      </c>
      <c r="S556" t="s">
        <v>205</v>
      </c>
      <c r="T556" t="s">
        <v>206</v>
      </c>
      <c r="U556" t="s">
        <v>207</v>
      </c>
      <c r="W556" t="s">
        <v>22</v>
      </c>
    </row>
    <row r="557" spans="1:26" hidden="1" x14ac:dyDescent="0.25">
      <c r="A557">
        <f>COUNTIF($P$2:P557,P557)</f>
        <v>186</v>
      </c>
      <c r="B557">
        <f>COUNTIF($A$2:A557,1)</f>
        <v>18</v>
      </c>
      <c r="C557" t="str">
        <f t="shared" si="40"/>
        <v>OCS</v>
      </c>
      <c r="D557" t="str">
        <f t="shared" si="41"/>
        <v>OCSParent</v>
      </c>
      <c r="E557">
        <f>COUNTIF($R$2:R557,R557)</f>
        <v>68</v>
      </c>
      <c r="F557">
        <f>COUNTIF($E$2:E557,1)</f>
        <v>29</v>
      </c>
      <c r="G557" t="str">
        <f t="shared" si="42"/>
        <v>ocs.services.mandate</v>
      </c>
      <c r="H557" t="str">
        <f t="shared" si="43"/>
        <v>OCSocs.services.mandateParent</v>
      </c>
      <c r="I557" t="str">
        <f t="shared" si="44"/>
        <v/>
      </c>
      <c r="J557">
        <f>IF(I557="",0,COUNTIF($I$2:I557,I557))</f>
        <v>0</v>
      </c>
      <c r="K557">
        <f>COUNTIF($J$2:J557,1)</f>
        <v>91</v>
      </c>
      <c r="N557">
        <v>259</v>
      </c>
      <c r="O557" t="s">
        <v>15</v>
      </c>
      <c r="P557" t="s">
        <v>171</v>
      </c>
      <c r="Q557" t="s">
        <v>172</v>
      </c>
      <c r="R557" t="s">
        <v>204</v>
      </c>
      <c r="S557" t="s">
        <v>205</v>
      </c>
      <c r="T557" t="s">
        <v>206</v>
      </c>
      <c r="U557" t="s">
        <v>207</v>
      </c>
      <c r="W557" t="s">
        <v>22</v>
      </c>
    </row>
    <row r="558" spans="1:26" hidden="1" x14ac:dyDescent="0.25">
      <c r="A558">
        <f>COUNTIF($P$2:P558,P558)</f>
        <v>187</v>
      </c>
      <c r="B558">
        <f>COUNTIF($A$2:A558,1)</f>
        <v>18</v>
      </c>
      <c r="C558" t="str">
        <f t="shared" si="40"/>
        <v>OCS</v>
      </c>
      <c r="D558" t="str">
        <f t="shared" si="41"/>
        <v>OCSDevice</v>
      </c>
      <c r="E558">
        <f>COUNTIF($R$2:R558,R558)</f>
        <v>69</v>
      </c>
      <c r="F558">
        <f>COUNTIF($E$2:E558,1)</f>
        <v>29</v>
      </c>
      <c r="G558" t="str">
        <f t="shared" si="42"/>
        <v>ocs.services.mandate</v>
      </c>
      <c r="H558" t="str">
        <f t="shared" si="43"/>
        <v>OCSocs.services.mandateDevice</v>
      </c>
      <c r="I558" t="str">
        <f t="shared" si="44"/>
        <v/>
      </c>
      <c r="J558">
        <f>IF(I558="",0,COUNTIF($I$2:I558,I558))</f>
        <v>0</v>
      </c>
      <c r="K558">
        <f>COUNTIF($J$2:J558,1)</f>
        <v>91</v>
      </c>
      <c r="N558">
        <v>44</v>
      </c>
      <c r="O558" t="s">
        <v>31</v>
      </c>
      <c r="P558" t="s">
        <v>171</v>
      </c>
      <c r="Q558" t="s">
        <v>172</v>
      </c>
      <c r="R558" t="s">
        <v>204</v>
      </c>
      <c r="S558" t="s">
        <v>205</v>
      </c>
      <c r="T558" t="s">
        <v>206</v>
      </c>
      <c r="U558" t="s">
        <v>207</v>
      </c>
      <c r="W558" t="s">
        <v>21</v>
      </c>
    </row>
    <row r="559" spans="1:26" hidden="1" x14ac:dyDescent="0.25">
      <c r="A559">
        <f>COUNTIF($P$2:P559,P559)</f>
        <v>188</v>
      </c>
      <c r="B559">
        <f>COUNTIF($A$2:A559,1)</f>
        <v>18</v>
      </c>
      <c r="C559" t="str">
        <f t="shared" si="40"/>
        <v>OCS</v>
      </c>
      <c r="D559" t="str">
        <f t="shared" si="41"/>
        <v>OCSPerson</v>
      </c>
      <c r="E559">
        <f>COUNTIF($R$2:R559,R559)</f>
        <v>70</v>
      </c>
      <c r="F559">
        <f>COUNTIF($E$2:E559,1)</f>
        <v>29</v>
      </c>
      <c r="G559" t="str">
        <f t="shared" si="42"/>
        <v>ocs.services.mandate</v>
      </c>
      <c r="H559" t="str">
        <f t="shared" si="43"/>
        <v>OCSocs.services.mandatePerson</v>
      </c>
      <c r="I559" t="str">
        <f t="shared" si="44"/>
        <v/>
      </c>
      <c r="J559">
        <f>IF(I559="",0,COUNTIF($I$2:I559,I559))</f>
        <v>0</v>
      </c>
      <c r="K559">
        <f>COUNTIF($J$2:J559,1)</f>
        <v>91</v>
      </c>
      <c r="N559">
        <v>10</v>
      </c>
      <c r="O559" t="s">
        <v>24</v>
      </c>
      <c r="P559" t="s">
        <v>171</v>
      </c>
      <c r="Q559" t="s">
        <v>172</v>
      </c>
      <c r="R559" t="s">
        <v>204</v>
      </c>
      <c r="S559" t="s">
        <v>205</v>
      </c>
      <c r="T559" t="s">
        <v>206</v>
      </c>
      <c r="U559" t="s">
        <v>207</v>
      </c>
      <c r="W559" t="s">
        <v>21</v>
      </c>
    </row>
    <row r="560" spans="1:26" hidden="1" x14ac:dyDescent="0.25">
      <c r="A560">
        <f>COUNTIF($P$2:P560,P560)</f>
        <v>189</v>
      </c>
      <c r="B560">
        <f>COUNTIF($A$2:A560,1)</f>
        <v>18</v>
      </c>
      <c r="C560" t="str">
        <f t="shared" si="40"/>
        <v>OCS</v>
      </c>
      <c r="D560" t="str">
        <f t="shared" si="41"/>
        <v>OCSDevice</v>
      </c>
      <c r="E560">
        <f>COUNTIF($R$2:R560,R560)</f>
        <v>71</v>
      </c>
      <c r="F560">
        <f>COUNTIF($E$2:E560,1)</f>
        <v>29</v>
      </c>
      <c r="G560" t="str">
        <f t="shared" si="42"/>
        <v>ocs.services.mandate</v>
      </c>
      <c r="H560" t="str">
        <f t="shared" si="43"/>
        <v>OCSocs.services.mandateDevice</v>
      </c>
      <c r="I560" t="str">
        <f t="shared" si="44"/>
        <v/>
      </c>
      <c r="J560">
        <f>IF(I560="",0,COUNTIF($I$2:I560,I560))</f>
        <v>0</v>
      </c>
      <c r="K560">
        <f>COUNTIF($J$2:J560,1)</f>
        <v>91</v>
      </c>
      <c r="N560">
        <v>15</v>
      </c>
      <c r="O560" t="s">
        <v>31</v>
      </c>
      <c r="P560" t="s">
        <v>171</v>
      </c>
      <c r="Q560" t="s">
        <v>172</v>
      </c>
      <c r="R560" t="s">
        <v>204</v>
      </c>
      <c r="S560" t="s">
        <v>205</v>
      </c>
      <c r="T560" t="s">
        <v>206</v>
      </c>
      <c r="U560" t="s">
        <v>207</v>
      </c>
      <c r="W560" t="s">
        <v>21</v>
      </c>
    </row>
    <row r="561" spans="1:26" hidden="1" x14ac:dyDescent="0.25">
      <c r="A561">
        <f>COUNTIF($P$2:P561,P561)</f>
        <v>190</v>
      </c>
      <c r="B561">
        <f>COUNTIF($A$2:A561,1)</f>
        <v>18</v>
      </c>
      <c r="C561" t="str">
        <f t="shared" si="40"/>
        <v>OCS</v>
      </c>
      <c r="D561" t="str">
        <f t="shared" si="41"/>
        <v>OCSParent</v>
      </c>
      <c r="E561">
        <f>COUNTIF($R$2:R561,R561)</f>
        <v>72</v>
      </c>
      <c r="F561">
        <f>COUNTIF($E$2:E561,1)</f>
        <v>29</v>
      </c>
      <c r="G561" t="str">
        <f t="shared" si="42"/>
        <v>ocs.services.mandate</v>
      </c>
      <c r="H561" t="str">
        <f t="shared" si="43"/>
        <v>OCSocs.services.mandateParent</v>
      </c>
      <c r="I561" t="str">
        <f t="shared" si="44"/>
        <v/>
      </c>
      <c r="J561">
        <f>IF(I561="",0,COUNTIF($I$2:I561,I561))</f>
        <v>0</v>
      </c>
      <c r="K561">
        <f>COUNTIF($J$2:J561,1)</f>
        <v>91</v>
      </c>
      <c r="N561">
        <v>265</v>
      </c>
      <c r="O561" t="s">
        <v>15</v>
      </c>
      <c r="P561" t="s">
        <v>171</v>
      </c>
      <c r="Q561" t="s">
        <v>172</v>
      </c>
      <c r="R561" t="s">
        <v>204</v>
      </c>
      <c r="S561" t="s">
        <v>205</v>
      </c>
      <c r="T561" t="s">
        <v>206</v>
      </c>
      <c r="U561" t="s">
        <v>207</v>
      </c>
      <c r="W561" t="s">
        <v>21</v>
      </c>
    </row>
    <row r="562" spans="1:26" hidden="1" x14ac:dyDescent="0.25">
      <c r="A562">
        <f>COUNTIF($P$2:P562,P562)</f>
        <v>1</v>
      </c>
      <c r="B562">
        <f>COUNTIF($A$2:A562,1)</f>
        <v>19</v>
      </c>
      <c r="C562" t="str">
        <f t="shared" si="40"/>
        <v>OPS</v>
      </c>
      <c r="D562" t="str">
        <f t="shared" si="41"/>
        <v>OPSParent</v>
      </c>
      <c r="E562">
        <f>COUNTIF($R$2:R562,R562)</f>
        <v>1</v>
      </c>
      <c r="F562">
        <f>COUNTIF($E$2:E562,1)</f>
        <v>30</v>
      </c>
      <c r="G562" t="str">
        <f t="shared" si="42"/>
        <v>ops.services.cps</v>
      </c>
      <c r="H562" t="str">
        <f t="shared" si="43"/>
        <v>OPSops.services.cpsParent</v>
      </c>
      <c r="I562" t="str">
        <f t="shared" si="44"/>
        <v>OPSops.services.cpscps.chc.access.key</v>
      </c>
      <c r="J562">
        <f>IF(I562="",0,COUNTIF($I$2:I562,I562))</f>
        <v>1</v>
      </c>
      <c r="K562">
        <f>COUNTIF($J$2:J562,1)</f>
        <v>92</v>
      </c>
      <c r="N562">
        <v>12</v>
      </c>
      <c r="O562" t="s">
        <v>15</v>
      </c>
      <c r="P562" t="s">
        <v>210</v>
      </c>
      <c r="Q562" t="s">
        <v>211</v>
      </c>
      <c r="R562" t="s">
        <v>212</v>
      </c>
      <c r="S562" t="s">
        <v>213</v>
      </c>
      <c r="T562" t="s">
        <v>214</v>
      </c>
      <c r="U562" t="s">
        <v>215</v>
      </c>
      <c r="V562" t="s">
        <v>216</v>
      </c>
      <c r="W562" t="s">
        <v>21</v>
      </c>
      <c r="X562" t="s">
        <v>21</v>
      </c>
      <c r="Y562" t="s">
        <v>217</v>
      </c>
      <c r="Z562">
        <v>4940</v>
      </c>
    </row>
    <row r="563" spans="1:26" hidden="1" x14ac:dyDescent="0.25">
      <c r="A563">
        <f>COUNTIF($P$2:P563,P563)</f>
        <v>2</v>
      </c>
      <c r="B563">
        <f>COUNTIF($A$2:A563,1)</f>
        <v>19</v>
      </c>
      <c r="C563" t="str">
        <f t="shared" si="40"/>
        <v>OPS</v>
      </c>
      <c r="D563" t="str">
        <f t="shared" si="41"/>
        <v>OPSWeb Service</v>
      </c>
      <c r="E563">
        <f>COUNTIF($R$2:R563,R563)</f>
        <v>2</v>
      </c>
      <c r="F563">
        <f>COUNTIF($E$2:E563,1)</f>
        <v>30</v>
      </c>
      <c r="G563" t="str">
        <f t="shared" si="42"/>
        <v>ops.services.cps</v>
      </c>
      <c r="H563" t="str">
        <f t="shared" si="43"/>
        <v>OPSops.services.cpsWeb Service</v>
      </c>
      <c r="I563" t="str">
        <f t="shared" si="44"/>
        <v>OPSops.services.cpscps.chc.access.key</v>
      </c>
      <c r="J563">
        <f>IF(I563="",0,COUNTIF($I$2:I563,I563))</f>
        <v>2</v>
      </c>
      <c r="K563">
        <f>COUNTIF($J$2:J563,1)</f>
        <v>92</v>
      </c>
      <c r="N563">
        <v>1</v>
      </c>
      <c r="O563" t="s">
        <v>81</v>
      </c>
      <c r="P563" t="s">
        <v>210</v>
      </c>
      <c r="Q563" t="s">
        <v>211</v>
      </c>
      <c r="R563" t="s">
        <v>212</v>
      </c>
      <c r="S563" t="s">
        <v>213</v>
      </c>
      <c r="T563" t="s">
        <v>214</v>
      </c>
      <c r="U563" t="s">
        <v>215</v>
      </c>
      <c r="V563" t="s">
        <v>216</v>
      </c>
      <c r="W563" t="s">
        <v>21</v>
      </c>
      <c r="X563" t="s">
        <v>21</v>
      </c>
      <c r="Y563" t="s">
        <v>217</v>
      </c>
      <c r="Z563">
        <v>4940</v>
      </c>
    </row>
    <row r="564" spans="1:26" hidden="1" x14ac:dyDescent="0.25">
      <c r="A564">
        <f>COUNTIF($P$2:P564,P564)</f>
        <v>3</v>
      </c>
      <c r="B564">
        <f>COUNTIF($A$2:A564,1)</f>
        <v>19</v>
      </c>
      <c r="C564" t="str">
        <f t="shared" si="40"/>
        <v>OPS</v>
      </c>
      <c r="D564" t="str">
        <f t="shared" si="41"/>
        <v>OPSIntegrator</v>
      </c>
      <c r="E564">
        <f>COUNTIF($R$2:R564,R564)</f>
        <v>3</v>
      </c>
      <c r="F564">
        <f>COUNTIF($E$2:E564,1)</f>
        <v>30</v>
      </c>
      <c r="G564" t="str">
        <f t="shared" si="42"/>
        <v>ops.services.cps</v>
      </c>
      <c r="H564" t="str">
        <f t="shared" si="43"/>
        <v>OPSops.services.cpsIntegrator</v>
      </c>
      <c r="I564" t="str">
        <f t="shared" si="44"/>
        <v>OPSops.services.cpscps.chc.access.key</v>
      </c>
      <c r="J564">
        <f>IF(I564="",0,COUNTIF($I$2:I564,I564))</f>
        <v>3</v>
      </c>
      <c r="K564">
        <f>COUNTIF($J$2:J564,1)</f>
        <v>92</v>
      </c>
      <c r="N564">
        <v>1</v>
      </c>
      <c r="O564" t="s">
        <v>23</v>
      </c>
      <c r="P564" t="s">
        <v>210</v>
      </c>
      <c r="Q564" t="s">
        <v>211</v>
      </c>
      <c r="R564" t="s">
        <v>212</v>
      </c>
      <c r="S564" t="s">
        <v>213</v>
      </c>
      <c r="T564" t="s">
        <v>214</v>
      </c>
      <c r="U564" t="s">
        <v>215</v>
      </c>
      <c r="V564" t="s">
        <v>216</v>
      </c>
      <c r="W564" t="s">
        <v>21</v>
      </c>
      <c r="X564" t="s">
        <v>21</v>
      </c>
      <c r="Y564" t="s">
        <v>217</v>
      </c>
      <c r="Z564">
        <v>4940</v>
      </c>
    </row>
    <row r="565" spans="1:26" hidden="1" x14ac:dyDescent="0.25">
      <c r="A565">
        <f>COUNTIF($P$2:P565,P565)</f>
        <v>4</v>
      </c>
      <c r="B565">
        <f>COUNTIF($A$2:A565,1)</f>
        <v>19</v>
      </c>
      <c r="C565" t="str">
        <f t="shared" si="40"/>
        <v>OPS</v>
      </c>
      <c r="D565" t="str">
        <f t="shared" si="41"/>
        <v>OPSParent</v>
      </c>
      <c r="E565">
        <f>COUNTIF($R$2:R565,R565)</f>
        <v>4</v>
      </c>
      <c r="F565">
        <f>COUNTIF($E$2:E565,1)</f>
        <v>30</v>
      </c>
      <c r="G565" t="str">
        <f t="shared" si="42"/>
        <v>ops.services.cps</v>
      </c>
      <c r="H565" t="str">
        <f t="shared" si="43"/>
        <v>OPSops.services.cpsParent</v>
      </c>
      <c r="I565" t="str">
        <f t="shared" si="44"/>
        <v>OPSops.services.cpscps.chc.profile.id</v>
      </c>
      <c r="J565">
        <f>IF(I565="",0,COUNTIF($I$2:I565,I565))</f>
        <v>1</v>
      </c>
      <c r="K565">
        <f>COUNTIF($J$2:J565,1)</f>
        <v>93</v>
      </c>
      <c r="N565">
        <v>12</v>
      </c>
      <c r="O565" t="s">
        <v>15</v>
      </c>
      <c r="P565" t="s">
        <v>210</v>
      </c>
      <c r="Q565" t="s">
        <v>211</v>
      </c>
      <c r="R565" t="s">
        <v>212</v>
      </c>
      <c r="S565" t="s">
        <v>213</v>
      </c>
      <c r="T565" t="s">
        <v>214</v>
      </c>
      <c r="U565" t="s">
        <v>215</v>
      </c>
      <c r="V565" t="s">
        <v>218</v>
      </c>
      <c r="W565" t="s">
        <v>21</v>
      </c>
      <c r="X565" t="s">
        <v>21</v>
      </c>
      <c r="Y565" t="s">
        <v>219</v>
      </c>
      <c r="Z565">
        <v>4942</v>
      </c>
    </row>
    <row r="566" spans="1:26" hidden="1" x14ac:dyDescent="0.25">
      <c r="A566">
        <f>COUNTIF($P$2:P566,P566)</f>
        <v>5</v>
      </c>
      <c r="B566">
        <f>COUNTIF($A$2:A566,1)</f>
        <v>19</v>
      </c>
      <c r="C566" t="str">
        <f t="shared" si="40"/>
        <v>OPS</v>
      </c>
      <c r="D566" t="str">
        <f t="shared" si="41"/>
        <v>OPSWeb Service</v>
      </c>
      <c r="E566">
        <f>COUNTIF($R$2:R566,R566)</f>
        <v>5</v>
      </c>
      <c r="F566">
        <f>COUNTIF($E$2:E566,1)</f>
        <v>30</v>
      </c>
      <c r="G566" t="str">
        <f t="shared" si="42"/>
        <v>ops.services.cps</v>
      </c>
      <c r="H566" t="str">
        <f t="shared" si="43"/>
        <v>OPSops.services.cpsWeb Service</v>
      </c>
      <c r="I566" t="str">
        <f t="shared" si="44"/>
        <v>OPSops.services.cpscps.chc.profile.id</v>
      </c>
      <c r="J566">
        <f>IF(I566="",0,COUNTIF($I$2:I566,I566))</f>
        <v>2</v>
      </c>
      <c r="K566">
        <f>COUNTIF($J$2:J566,1)</f>
        <v>93</v>
      </c>
      <c r="N566">
        <v>1</v>
      </c>
      <c r="O566" t="s">
        <v>81</v>
      </c>
      <c r="P566" t="s">
        <v>210</v>
      </c>
      <c r="Q566" t="s">
        <v>211</v>
      </c>
      <c r="R566" t="s">
        <v>212</v>
      </c>
      <c r="S566" t="s">
        <v>213</v>
      </c>
      <c r="T566" t="s">
        <v>214</v>
      </c>
      <c r="U566" t="s">
        <v>215</v>
      </c>
      <c r="V566" t="s">
        <v>218</v>
      </c>
      <c r="W566" t="s">
        <v>21</v>
      </c>
      <c r="X566" t="s">
        <v>21</v>
      </c>
      <c r="Y566" t="s">
        <v>219</v>
      </c>
      <c r="Z566">
        <v>4942</v>
      </c>
    </row>
    <row r="567" spans="1:26" hidden="1" x14ac:dyDescent="0.25">
      <c r="A567">
        <f>COUNTIF($P$2:P567,P567)</f>
        <v>6</v>
      </c>
      <c r="B567">
        <f>COUNTIF($A$2:A567,1)</f>
        <v>19</v>
      </c>
      <c r="C567" t="str">
        <f t="shared" si="40"/>
        <v>OPS</v>
      </c>
      <c r="D567" t="str">
        <f t="shared" si="41"/>
        <v>OPSIntegrator</v>
      </c>
      <c r="E567">
        <f>COUNTIF($R$2:R567,R567)</f>
        <v>6</v>
      </c>
      <c r="F567">
        <f>COUNTIF($E$2:E567,1)</f>
        <v>30</v>
      </c>
      <c r="G567" t="str">
        <f t="shared" si="42"/>
        <v>ops.services.cps</v>
      </c>
      <c r="H567" t="str">
        <f t="shared" si="43"/>
        <v>OPSops.services.cpsIntegrator</v>
      </c>
      <c r="I567" t="str">
        <f t="shared" si="44"/>
        <v>OPSops.services.cpscps.chc.profile.id</v>
      </c>
      <c r="J567">
        <f>IF(I567="",0,COUNTIF($I$2:I567,I567))</f>
        <v>3</v>
      </c>
      <c r="K567">
        <f>COUNTIF($J$2:J567,1)</f>
        <v>93</v>
      </c>
      <c r="N567">
        <v>1</v>
      </c>
      <c r="O567" t="s">
        <v>23</v>
      </c>
      <c r="P567" t="s">
        <v>210</v>
      </c>
      <c r="Q567" t="s">
        <v>211</v>
      </c>
      <c r="R567" t="s">
        <v>212</v>
      </c>
      <c r="S567" t="s">
        <v>213</v>
      </c>
      <c r="T567" t="s">
        <v>214</v>
      </c>
      <c r="U567" t="s">
        <v>215</v>
      </c>
      <c r="V567" t="s">
        <v>218</v>
      </c>
      <c r="W567" t="s">
        <v>21</v>
      </c>
      <c r="X567" t="s">
        <v>21</v>
      </c>
      <c r="Y567" t="s">
        <v>219</v>
      </c>
      <c r="Z567">
        <v>4942</v>
      </c>
    </row>
    <row r="568" spans="1:26" hidden="1" x14ac:dyDescent="0.25">
      <c r="A568">
        <f>COUNTIF($P$2:P568,P568)</f>
        <v>7</v>
      </c>
      <c r="B568">
        <f>COUNTIF($A$2:A568,1)</f>
        <v>19</v>
      </c>
      <c r="C568" t="str">
        <f t="shared" si="40"/>
        <v>OPS</v>
      </c>
      <c r="D568" t="str">
        <f t="shared" si="41"/>
        <v>OPSWeb Service</v>
      </c>
      <c r="E568">
        <f>COUNTIF($R$2:R568,R568)</f>
        <v>7</v>
      </c>
      <c r="F568">
        <f>COUNTIF($E$2:E568,1)</f>
        <v>30</v>
      </c>
      <c r="G568" t="str">
        <f t="shared" si="42"/>
        <v>ops.services.cps</v>
      </c>
      <c r="H568" t="str">
        <f t="shared" si="43"/>
        <v>OPSops.services.cpsWeb Service</v>
      </c>
      <c r="I568" t="str">
        <f t="shared" si="44"/>
        <v>OPSops.services.cpscps.chc.secret.key</v>
      </c>
      <c r="J568">
        <f>IF(I568="",0,COUNTIF($I$2:I568,I568))</f>
        <v>1</v>
      </c>
      <c r="K568">
        <f>COUNTIF($J$2:J568,1)</f>
        <v>94</v>
      </c>
      <c r="N568">
        <v>1</v>
      </c>
      <c r="O568" t="s">
        <v>81</v>
      </c>
      <c r="P568" t="s">
        <v>210</v>
      </c>
      <c r="Q568" t="s">
        <v>211</v>
      </c>
      <c r="R568" t="s">
        <v>212</v>
      </c>
      <c r="S568" t="s">
        <v>213</v>
      </c>
      <c r="T568" t="s">
        <v>214</v>
      </c>
      <c r="U568" t="s">
        <v>215</v>
      </c>
      <c r="V568" t="s">
        <v>220</v>
      </c>
      <c r="W568" t="s">
        <v>21</v>
      </c>
      <c r="X568" t="s">
        <v>21</v>
      </c>
      <c r="Y568" t="s">
        <v>221</v>
      </c>
      <c r="Z568">
        <v>4941</v>
      </c>
    </row>
    <row r="569" spans="1:26" hidden="1" x14ac:dyDescent="0.25">
      <c r="A569">
        <f>COUNTIF($P$2:P569,P569)</f>
        <v>8</v>
      </c>
      <c r="B569">
        <f>COUNTIF($A$2:A569,1)</f>
        <v>19</v>
      </c>
      <c r="C569" t="str">
        <f t="shared" si="40"/>
        <v>OPS</v>
      </c>
      <c r="D569" t="str">
        <f t="shared" si="41"/>
        <v>OPSParent</v>
      </c>
      <c r="E569">
        <f>COUNTIF($R$2:R569,R569)</f>
        <v>8</v>
      </c>
      <c r="F569">
        <f>COUNTIF($E$2:E569,1)</f>
        <v>30</v>
      </c>
      <c r="G569" t="str">
        <f t="shared" si="42"/>
        <v>ops.services.cps</v>
      </c>
      <c r="H569" t="str">
        <f t="shared" si="43"/>
        <v>OPSops.services.cpsParent</v>
      </c>
      <c r="I569" t="str">
        <f t="shared" si="44"/>
        <v>OPSops.services.cpscps.chc.secret.key</v>
      </c>
      <c r="J569">
        <f>IF(I569="",0,COUNTIF($I$2:I569,I569))</f>
        <v>2</v>
      </c>
      <c r="K569">
        <f>COUNTIF($J$2:J569,1)</f>
        <v>94</v>
      </c>
      <c r="N569">
        <v>12</v>
      </c>
      <c r="O569" t="s">
        <v>15</v>
      </c>
      <c r="P569" t="s">
        <v>210</v>
      </c>
      <c r="Q569" t="s">
        <v>211</v>
      </c>
      <c r="R569" t="s">
        <v>212</v>
      </c>
      <c r="S569" t="s">
        <v>213</v>
      </c>
      <c r="T569" t="s">
        <v>214</v>
      </c>
      <c r="U569" t="s">
        <v>215</v>
      </c>
      <c r="V569" t="s">
        <v>220</v>
      </c>
      <c r="W569" t="s">
        <v>21</v>
      </c>
      <c r="X569" t="s">
        <v>21</v>
      </c>
      <c r="Y569" t="s">
        <v>221</v>
      </c>
      <c r="Z569">
        <v>4941</v>
      </c>
    </row>
    <row r="570" spans="1:26" hidden="1" x14ac:dyDescent="0.25">
      <c r="A570">
        <f>COUNTIF($P$2:P570,P570)</f>
        <v>9</v>
      </c>
      <c r="B570">
        <f>COUNTIF($A$2:A570,1)</f>
        <v>19</v>
      </c>
      <c r="C570" t="str">
        <f t="shared" si="40"/>
        <v>OPS</v>
      </c>
      <c r="D570" t="str">
        <f t="shared" si="41"/>
        <v>OPSIntegrator</v>
      </c>
      <c r="E570">
        <f>COUNTIF($R$2:R570,R570)</f>
        <v>9</v>
      </c>
      <c r="F570">
        <f>COUNTIF($E$2:E570,1)</f>
        <v>30</v>
      </c>
      <c r="G570" t="str">
        <f t="shared" si="42"/>
        <v>ops.services.cps</v>
      </c>
      <c r="H570" t="str">
        <f t="shared" si="43"/>
        <v>OPSops.services.cpsIntegrator</v>
      </c>
      <c r="I570" t="str">
        <f t="shared" si="44"/>
        <v>OPSops.services.cpscps.chc.secret.key</v>
      </c>
      <c r="J570">
        <f>IF(I570="",0,COUNTIF($I$2:I570,I570))</f>
        <v>3</v>
      </c>
      <c r="K570">
        <f>COUNTIF($J$2:J570,1)</f>
        <v>94</v>
      </c>
      <c r="N570">
        <v>1</v>
      </c>
      <c r="O570" t="s">
        <v>23</v>
      </c>
      <c r="P570" t="s">
        <v>210</v>
      </c>
      <c r="Q570" t="s">
        <v>211</v>
      </c>
      <c r="R570" t="s">
        <v>212</v>
      </c>
      <c r="S570" t="s">
        <v>213</v>
      </c>
      <c r="T570" t="s">
        <v>214</v>
      </c>
      <c r="U570" t="s">
        <v>215</v>
      </c>
      <c r="V570" t="s">
        <v>220</v>
      </c>
      <c r="W570" t="s">
        <v>21</v>
      </c>
      <c r="X570" t="s">
        <v>21</v>
      </c>
      <c r="Y570" t="s">
        <v>221</v>
      </c>
      <c r="Z570">
        <v>4941</v>
      </c>
    </row>
    <row r="571" spans="1:26" hidden="1" x14ac:dyDescent="0.25">
      <c r="A571">
        <f>COUNTIF($P$2:P571,P571)</f>
        <v>10</v>
      </c>
      <c r="B571">
        <f>COUNTIF($A$2:A571,1)</f>
        <v>19</v>
      </c>
      <c r="C571" t="str">
        <f t="shared" si="40"/>
        <v>OPS</v>
      </c>
      <c r="D571" t="str">
        <f t="shared" si="41"/>
        <v>OPSWeb Service</v>
      </c>
      <c r="E571">
        <f>COUNTIF($R$2:R571,R571)</f>
        <v>10</v>
      </c>
      <c r="F571">
        <f>COUNTIF($E$2:E571,1)</f>
        <v>30</v>
      </c>
      <c r="G571" t="str">
        <f t="shared" si="42"/>
        <v>ops.services.cps</v>
      </c>
      <c r="H571" t="str">
        <f t="shared" si="43"/>
        <v>OPSops.services.cpsWeb Service</v>
      </c>
      <c r="I571" t="str">
        <f t="shared" si="44"/>
        <v>OPSops.services.cpsops.logo</v>
      </c>
      <c r="J571">
        <f>IF(I571="",0,COUNTIF($I$2:I571,I571))</f>
        <v>1</v>
      </c>
      <c r="K571">
        <f>COUNTIF($J$2:J571,1)</f>
        <v>95</v>
      </c>
      <c r="N571">
        <v>1</v>
      </c>
      <c r="O571" t="s">
        <v>81</v>
      </c>
      <c r="P571" t="s">
        <v>210</v>
      </c>
      <c r="Q571" t="s">
        <v>211</v>
      </c>
      <c r="R571" t="s">
        <v>212</v>
      </c>
      <c r="S571" t="s">
        <v>213</v>
      </c>
      <c r="T571" t="s">
        <v>214</v>
      </c>
      <c r="U571" t="s">
        <v>215</v>
      </c>
      <c r="V571" t="s">
        <v>222</v>
      </c>
      <c r="W571" t="s">
        <v>21</v>
      </c>
      <c r="X571" t="s">
        <v>22</v>
      </c>
      <c r="Y571" t="s">
        <v>223</v>
      </c>
    </row>
    <row r="572" spans="1:26" hidden="1" x14ac:dyDescent="0.25">
      <c r="A572">
        <f>COUNTIF($P$2:P572,P572)</f>
        <v>0</v>
      </c>
      <c r="B572">
        <f>COUNTIF($A$2:A572,1)</f>
        <v>19</v>
      </c>
      <c r="C572" t="str">
        <f t="shared" si="40"/>
        <v>OPS</v>
      </c>
      <c r="D572" t="str">
        <f t="shared" si="41"/>
        <v>OPS</v>
      </c>
      <c r="E572">
        <f>COUNTIF($R$2:R572,R572)</f>
        <v>0</v>
      </c>
      <c r="F572">
        <f>COUNTIF($E$2:E572,1)</f>
        <v>30</v>
      </c>
      <c r="G572" t="str">
        <f t="shared" si="42"/>
        <v>ops.services.cps</v>
      </c>
      <c r="H572" t="str">
        <f t="shared" si="43"/>
        <v>OPSops.services.cps</v>
      </c>
      <c r="I572" t="str">
        <f t="shared" si="44"/>
        <v/>
      </c>
      <c r="J572">
        <f>IF(I572="",0,COUNTIF($I$2:I572,I572))</f>
        <v>0</v>
      </c>
      <c r="K572">
        <f>COUNTIF($J$2:J572,1)</f>
        <v>95</v>
      </c>
      <c r="N572" t="s">
        <v>224</v>
      </c>
    </row>
    <row r="573" spans="1:26" hidden="1" x14ac:dyDescent="0.25">
      <c r="A573">
        <f>COUNTIF($P$2:P573,P573)</f>
        <v>0</v>
      </c>
      <c r="B573">
        <f>COUNTIF($A$2:A573,1)</f>
        <v>19</v>
      </c>
      <c r="C573" t="str">
        <f t="shared" si="40"/>
        <v>OPS</v>
      </c>
      <c r="D573" t="str">
        <f t="shared" si="41"/>
        <v>OPS</v>
      </c>
      <c r="E573">
        <f>COUNTIF($R$2:R573,R573)</f>
        <v>0</v>
      </c>
      <c r="F573">
        <f>COUNTIF($E$2:E573,1)</f>
        <v>30</v>
      </c>
      <c r="G573" t="str">
        <f t="shared" si="42"/>
        <v>ops.services.cps</v>
      </c>
      <c r="H573" t="str">
        <f t="shared" si="43"/>
        <v>OPSops.services.cps</v>
      </c>
      <c r="I573" t="str">
        <f t="shared" si="44"/>
        <v/>
      </c>
      <c r="J573">
        <f>IF(I573="",0,COUNTIF($I$2:I573,I573))</f>
        <v>0</v>
      </c>
      <c r="K573">
        <f>COUNTIF($J$2:J573,1)</f>
        <v>95</v>
      </c>
      <c r="N573" t="s">
        <v>225</v>
      </c>
    </row>
    <row r="574" spans="1:26" hidden="1" x14ac:dyDescent="0.25">
      <c r="A574">
        <f>COUNTIF($P$2:P574,P574)</f>
        <v>0</v>
      </c>
      <c r="B574">
        <f>COUNTIF($A$2:A574,1)</f>
        <v>19</v>
      </c>
      <c r="C574" t="str">
        <f t="shared" si="40"/>
        <v>OPS</v>
      </c>
      <c r="D574" t="str">
        <f t="shared" si="41"/>
        <v>OPS</v>
      </c>
      <c r="E574">
        <f>COUNTIF($R$2:R574,R574)</f>
        <v>0</v>
      </c>
      <c r="F574">
        <f>COUNTIF($E$2:E574,1)</f>
        <v>30</v>
      </c>
      <c r="G574" t="str">
        <f t="shared" si="42"/>
        <v>ops.services.cps</v>
      </c>
      <c r="H574" t="str">
        <f t="shared" si="43"/>
        <v>OPSops.services.cps</v>
      </c>
      <c r="I574" t="str">
        <f t="shared" si="44"/>
        <v/>
      </c>
      <c r="J574">
        <f>IF(I574="",0,COUNTIF($I$2:I574,I574))</f>
        <v>0</v>
      </c>
      <c r="K574">
        <f>COUNTIF($J$2:J574,1)</f>
        <v>95</v>
      </c>
      <c r="N574" t="s">
        <v>226</v>
      </c>
    </row>
    <row r="575" spans="1:26" hidden="1" x14ac:dyDescent="0.25">
      <c r="A575">
        <f>COUNTIF($P$2:P575,P575)</f>
        <v>0</v>
      </c>
      <c r="B575">
        <f>COUNTIF($A$2:A575,1)</f>
        <v>19</v>
      </c>
      <c r="C575" t="str">
        <f t="shared" si="40"/>
        <v>OPS</v>
      </c>
      <c r="D575" t="str">
        <f t="shared" si="41"/>
        <v>OPS</v>
      </c>
      <c r="E575">
        <f>COUNTIF($R$2:R575,R575)</f>
        <v>0</v>
      </c>
      <c r="F575">
        <f>COUNTIF($E$2:E575,1)</f>
        <v>30</v>
      </c>
      <c r="G575" t="str">
        <f t="shared" si="42"/>
        <v>ops.services.cps</v>
      </c>
      <c r="H575" t="str">
        <f t="shared" si="43"/>
        <v>OPSops.services.cps</v>
      </c>
      <c r="I575" t="str">
        <f t="shared" si="44"/>
        <v/>
      </c>
      <c r="J575">
        <f>IF(I575="",0,COUNTIF($I$2:I575,I575))</f>
        <v>0</v>
      </c>
      <c r="K575">
        <f>COUNTIF($J$2:J575,1)</f>
        <v>95</v>
      </c>
      <c r="N575" t="s">
        <v>227</v>
      </c>
    </row>
    <row r="576" spans="1:26" hidden="1" x14ac:dyDescent="0.25">
      <c r="A576">
        <f>COUNTIF($P$2:P576,P576)</f>
        <v>0</v>
      </c>
      <c r="B576">
        <f>COUNTIF($A$2:A576,1)</f>
        <v>19</v>
      </c>
      <c r="C576" t="str">
        <f t="shared" si="40"/>
        <v>OPS</v>
      </c>
      <c r="D576" t="str">
        <f t="shared" si="41"/>
        <v>OPS</v>
      </c>
      <c r="E576">
        <f>COUNTIF($R$2:R576,R576)</f>
        <v>0</v>
      </c>
      <c r="F576">
        <f>COUNTIF($E$2:E576,1)</f>
        <v>30</v>
      </c>
      <c r="G576" t="str">
        <f t="shared" si="42"/>
        <v>ops.services.cps</v>
      </c>
      <c r="H576" t="str">
        <f t="shared" si="43"/>
        <v>OPSops.services.cps</v>
      </c>
      <c r="I576" t="str">
        <f t="shared" si="44"/>
        <v/>
      </c>
      <c r="J576">
        <f>IF(I576="",0,COUNTIF($I$2:I576,I576))</f>
        <v>0</v>
      </c>
      <c r="K576">
        <f>COUNTIF($J$2:J576,1)</f>
        <v>95</v>
      </c>
      <c r="N576" t="s">
        <v>228</v>
      </c>
    </row>
    <row r="577" spans="1:26" hidden="1" x14ac:dyDescent="0.25">
      <c r="A577">
        <f>COUNTIF($P$2:P577,P577)</f>
        <v>0</v>
      </c>
      <c r="B577">
        <f>COUNTIF($A$2:A577,1)</f>
        <v>19</v>
      </c>
      <c r="C577" t="str">
        <f t="shared" si="40"/>
        <v>OPS</v>
      </c>
      <c r="D577" t="str">
        <f t="shared" si="41"/>
        <v>OPS</v>
      </c>
      <c r="E577">
        <f>COUNTIF($R$2:R577,R577)</f>
        <v>0</v>
      </c>
      <c r="F577">
        <f>COUNTIF($E$2:E577,1)</f>
        <v>30</v>
      </c>
      <c r="G577" t="str">
        <f t="shared" si="42"/>
        <v>ops.services.cps</v>
      </c>
      <c r="H577" t="str">
        <f t="shared" si="43"/>
        <v>OPSops.services.cps</v>
      </c>
      <c r="I577" t="str">
        <f t="shared" si="44"/>
        <v/>
      </c>
      <c r="J577">
        <f>IF(I577="",0,COUNTIF($I$2:I577,I577))</f>
        <v>0</v>
      </c>
      <c r="K577">
        <f>COUNTIF($J$2:J577,1)</f>
        <v>95</v>
      </c>
      <c r="N577" t="s">
        <v>229</v>
      </c>
    </row>
    <row r="578" spans="1:26" hidden="1" x14ac:dyDescent="0.25">
      <c r="A578">
        <f>COUNTIF($P$2:P578,P578)</f>
        <v>0</v>
      </c>
      <c r="B578">
        <f>COUNTIF($A$2:A578,1)</f>
        <v>19</v>
      </c>
      <c r="C578" t="str">
        <f t="shared" si="40"/>
        <v>OPS</v>
      </c>
      <c r="D578" t="str">
        <f t="shared" si="41"/>
        <v>OPS1901</v>
      </c>
      <c r="E578">
        <f>COUNTIF($R$2:R578,R578)</f>
        <v>0</v>
      </c>
      <c r="F578">
        <f>COUNTIF($E$2:E578,1)</f>
        <v>30</v>
      </c>
      <c r="G578" t="str">
        <f t="shared" si="42"/>
        <v>ops.services.cps</v>
      </c>
      <c r="H578" t="str">
        <f t="shared" si="43"/>
        <v>OPSops.services.cps1901</v>
      </c>
      <c r="I578" t="str">
        <f t="shared" si="44"/>
        <v/>
      </c>
      <c r="J578">
        <f>IF(I578="",0,COUNTIF($I$2:I578,I578))</f>
        <v>0</v>
      </c>
      <c r="K578">
        <f>COUNTIF($J$2:J578,1)</f>
        <v>95</v>
      </c>
      <c r="N578" t="s">
        <v>230</v>
      </c>
      <c r="O578">
        <v>1901</v>
      </c>
    </row>
    <row r="579" spans="1:26" hidden="1" x14ac:dyDescent="0.25">
      <c r="A579">
        <f>COUNTIF($P$2:P579,P579)</f>
        <v>11</v>
      </c>
      <c r="B579">
        <f>COUNTIF($A$2:A579,1)</f>
        <v>19</v>
      </c>
      <c r="C579" t="str">
        <f t="shared" ref="C579:C642" si="45">IF(A579=1,P579,C578)</f>
        <v>OPS</v>
      </c>
      <c r="D579" t="str">
        <f t="shared" ref="D579:D642" si="46">C579&amp;O579</f>
        <v>OPSWeb Service</v>
      </c>
      <c r="E579">
        <f>COUNTIF($R$2:R579,R579)</f>
        <v>11</v>
      </c>
      <c r="F579">
        <f>COUNTIF($E$2:E579,1)</f>
        <v>30</v>
      </c>
      <c r="G579" t="str">
        <f t="shared" ref="G579:G642" si="47">IF(E579=1,R579,G578)</f>
        <v>ops.services.cps</v>
      </c>
      <c r="H579" t="str">
        <f t="shared" ref="H579:H642" si="48">C579&amp;G579&amp;O579</f>
        <v>OPSops.services.cpsWeb Service</v>
      </c>
      <c r="I579" t="str">
        <f t="shared" ref="I579:I642" si="49">IF(V579="","",P579&amp;R579&amp;V579)</f>
        <v>OPSops.services.cpsops.logo</v>
      </c>
      <c r="J579">
        <f>IF(I579="",0,COUNTIF($I$2:I579,I579))</f>
        <v>2</v>
      </c>
      <c r="K579">
        <f>COUNTIF($J$2:J579,1)</f>
        <v>95</v>
      </c>
      <c r="N579">
        <v>1</v>
      </c>
      <c r="O579" t="s">
        <v>81</v>
      </c>
      <c r="P579" t="s">
        <v>210</v>
      </c>
      <c r="Q579" t="s">
        <v>211</v>
      </c>
      <c r="R579" t="s">
        <v>212</v>
      </c>
      <c r="S579" t="s">
        <v>213</v>
      </c>
      <c r="T579" t="s">
        <v>214</v>
      </c>
      <c r="U579" t="s">
        <v>215</v>
      </c>
      <c r="V579" t="s">
        <v>222</v>
      </c>
      <c r="W579" t="s">
        <v>21</v>
      </c>
      <c r="X579" t="s">
        <v>21</v>
      </c>
      <c r="Y579" t="s">
        <v>231</v>
      </c>
      <c r="Z579">
        <v>2536</v>
      </c>
    </row>
    <row r="580" spans="1:26" hidden="1" x14ac:dyDescent="0.25">
      <c r="A580">
        <f>COUNTIF($P$2:P580,P580)</f>
        <v>12</v>
      </c>
      <c r="B580">
        <f>COUNTIF($A$2:A580,1)</f>
        <v>19</v>
      </c>
      <c r="C580" t="str">
        <f t="shared" si="45"/>
        <v>OPS</v>
      </c>
      <c r="D580" t="str">
        <f t="shared" si="46"/>
        <v>OPSParent</v>
      </c>
      <c r="E580">
        <f>COUNTIF($R$2:R580,R580)</f>
        <v>12</v>
      </c>
      <c r="F580">
        <f>COUNTIF($E$2:E580,1)</f>
        <v>30</v>
      </c>
      <c r="G580" t="str">
        <f t="shared" si="47"/>
        <v>ops.services.cps</v>
      </c>
      <c r="H580" t="str">
        <f t="shared" si="48"/>
        <v>OPSops.services.cpsParent</v>
      </c>
      <c r="I580" t="str">
        <f t="shared" si="49"/>
        <v>OPSops.services.cpsops.logo</v>
      </c>
      <c r="J580">
        <f>IF(I580="",0,COUNTIF($I$2:I580,I580))</f>
        <v>3</v>
      </c>
      <c r="K580">
        <f>COUNTIF($J$2:J580,1)</f>
        <v>95</v>
      </c>
      <c r="N580">
        <v>12</v>
      </c>
      <c r="O580" t="s">
        <v>15</v>
      </c>
      <c r="P580" t="s">
        <v>210</v>
      </c>
      <c r="Q580" t="s">
        <v>211</v>
      </c>
      <c r="R580" t="s">
        <v>212</v>
      </c>
      <c r="S580" t="s">
        <v>213</v>
      </c>
      <c r="T580" t="s">
        <v>214</v>
      </c>
      <c r="U580" t="s">
        <v>215</v>
      </c>
      <c r="V580" t="s">
        <v>222</v>
      </c>
      <c r="W580" t="s">
        <v>22</v>
      </c>
      <c r="X580" t="s">
        <v>22</v>
      </c>
      <c r="Y580" t="s">
        <v>223</v>
      </c>
    </row>
    <row r="581" spans="1:26" hidden="1" x14ac:dyDescent="0.25">
      <c r="A581">
        <f>COUNTIF($P$2:P581,P581)</f>
        <v>0</v>
      </c>
      <c r="B581">
        <f>COUNTIF($A$2:A581,1)</f>
        <v>19</v>
      </c>
      <c r="C581" t="str">
        <f t="shared" si="45"/>
        <v>OPS</v>
      </c>
      <c r="D581" t="str">
        <f t="shared" si="46"/>
        <v>OPS</v>
      </c>
      <c r="E581">
        <f>COUNTIF($R$2:R581,R581)</f>
        <v>0</v>
      </c>
      <c r="F581">
        <f>COUNTIF($E$2:E581,1)</f>
        <v>30</v>
      </c>
      <c r="G581" t="str">
        <f t="shared" si="47"/>
        <v>ops.services.cps</v>
      </c>
      <c r="H581" t="str">
        <f t="shared" si="48"/>
        <v>OPSops.services.cps</v>
      </c>
      <c r="I581" t="str">
        <f t="shared" si="49"/>
        <v/>
      </c>
      <c r="J581">
        <f>IF(I581="",0,COUNTIF($I$2:I581,I581))</f>
        <v>0</v>
      </c>
      <c r="K581">
        <f>COUNTIF($J$2:J581,1)</f>
        <v>95</v>
      </c>
      <c r="N581" t="s">
        <v>224</v>
      </c>
    </row>
    <row r="582" spans="1:26" hidden="1" x14ac:dyDescent="0.25">
      <c r="A582">
        <f>COUNTIF($P$2:P582,P582)</f>
        <v>0</v>
      </c>
      <c r="B582">
        <f>COUNTIF($A$2:A582,1)</f>
        <v>19</v>
      </c>
      <c r="C582" t="str">
        <f t="shared" si="45"/>
        <v>OPS</v>
      </c>
      <c r="D582" t="str">
        <f t="shared" si="46"/>
        <v>OPS</v>
      </c>
      <c r="E582">
        <f>COUNTIF($R$2:R582,R582)</f>
        <v>0</v>
      </c>
      <c r="F582">
        <f>COUNTIF($E$2:E582,1)</f>
        <v>30</v>
      </c>
      <c r="G582" t="str">
        <f t="shared" si="47"/>
        <v>ops.services.cps</v>
      </c>
      <c r="H582" t="str">
        <f t="shared" si="48"/>
        <v>OPSops.services.cps</v>
      </c>
      <c r="I582" t="str">
        <f t="shared" si="49"/>
        <v/>
      </c>
      <c r="J582">
        <f>IF(I582="",0,COUNTIF($I$2:I582,I582))</f>
        <v>0</v>
      </c>
      <c r="K582">
        <f>COUNTIF($J$2:J582,1)</f>
        <v>95</v>
      </c>
      <c r="N582" t="s">
        <v>225</v>
      </c>
    </row>
    <row r="583" spans="1:26" hidden="1" x14ac:dyDescent="0.25">
      <c r="A583">
        <f>COUNTIF($P$2:P583,P583)</f>
        <v>0</v>
      </c>
      <c r="B583">
        <f>COUNTIF($A$2:A583,1)</f>
        <v>19</v>
      </c>
      <c r="C583" t="str">
        <f t="shared" si="45"/>
        <v>OPS</v>
      </c>
      <c r="D583" t="str">
        <f t="shared" si="46"/>
        <v>OPS</v>
      </c>
      <c r="E583">
        <f>COUNTIF($R$2:R583,R583)</f>
        <v>0</v>
      </c>
      <c r="F583">
        <f>COUNTIF($E$2:E583,1)</f>
        <v>30</v>
      </c>
      <c r="G583" t="str">
        <f t="shared" si="47"/>
        <v>ops.services.cps</v>
      </c>
      <c r="H583" t="str">
        <f t="shared" si="48"/>
        <v>OPSops.services.cps</v>
      </c>
      <c r="I583" t="str">
        <f t="shared" si="49"/>
        <v/>
      </c>
      <c r="J583">
        <f>IF(I583="",0,COUNTIF($I$2:I583,I583))</f>
        <v>0</v>
      </c>
      <c r="K583">
        <f>COUNTIF($J$2:J583,1)</f>
        <v>95</v>
      </c>
      <c r="N583" t="s">
        <v>226</v>
      </c>
    </row>
    <row r="584" spans="1:26" hidden="1" x14ac:dyDescent="0.25">
      <c r="A584">
        <f>COUNTIF($P$2:P584,P584)</f>
        <v>0</v>
      </c>
      <c r="B584">
        <f>COUNTIF($A$2:A584,1)</f>
        <v>19</v>
      </c>
      <c r="C584" t="str">
        <f t="shared" si="45"/>
        <v>OPS</v>
      </c>
      <c r="D584" t="str">
        <f t="shared" si="46"/>
        <v>OPS</v>
      </c>
      <c r="E584">
        <f>COUNTIF($R$2:R584,R584)</f>
        <v>0</v>
      </c>
      <c r="F584">
        <f>COUNTIF($E$2:E584,1)</f>
        <v>30</v>
      </c>
      <c r="G584" t="str">
        <f t="shared" si="47"/>
        <v>ops.services.cps</v>
      </c>
      <c r="H584" t="str">
        <f t="shared" si="48"/>
        <v>OPSops.services.cps</v>
      </c>
      <c r="I584" t="str">
        <f t="shared" si="49"/>
        <v/>
      </c>
      <c r="J584">
        <f>IF(I584="",0,COUNTIF($I$2:I584,I584))</f>
        <v>0</v>
      </c>
      <c r="K584">
        <f>COUNTIF($J$2:J584,1)</f>
        <v>95</v>
      </c>
      <c r="N584" t="s">
        <v>227</v>
      </c>
    </row>
    <row r="585" spans="1:26" hidden="1" x14ac:dyDescent="0.25">
      <c r="A585">
        <f>COUNTIF($P$2:P585,P585)</f>
        <v>0</v>
      </c>
      <c r="B585">
        <f>COUNTIF($A$2:A585,1)</f>
        <v>19</v>
      </c>
      <c r="C585" t="str">
        <f t="shared" si="45"/>
        <v>OPS</v>
      </c>
      <c r="D585" t="str">
        <f t="shared" si="46"/>
        <v>OPS</v>
      </c>
      <c r="E585">
        <f>COUNTIF($R$2:R585,R585)</f>
        <v>0</v>
      </c>
      <c r="F585">
        <f>COUNTIF($E$2:E585,1)</f>
        <v>30</v>
      </c>
      <c r="G585" t="str">
        <f t="shared" si="47"/>
        <v>ops.services.cps</v>
      </c>
      <c r="H585" t="str">
        <f t="shared" si="48"/>
        <v>OPSops.services.cps</v>
      </c>
      <c r="I585" t="str">
        <f t="shared" si="49"/>
        <v/>
      </c>
      <c r="J585">
        <f>IF(I585="",0,COUNTIF($I$2:I585,I585))</f>
        <v>0</v>
      </c>
      <c r="K585">
        <f>COUNTIF($J$2:J585,1)</f>
        <v>95</v>
      </c>
      <c r="N585" t="s">
        <v>228</v>
      </c>
    </row>
    <row r="586" spans="1:26" hidden="1" x14ac:dyDescent="0.25">
      <c r="A586">
        <f>COUNTIF($P$2:P586,P586)</f>
        <v>0</v>
      </c>
      <c r="B586">
        <f>COUNTIF($A$2:A586,1)</f>
        <v>19</v>
      </c>
      <c r="C586" t="str">
        <f t="shared" si="45"/>
        <v>OPS</v>
      </c>
      <c r="D586" t="str">
        <f t="shared" si="46"/>
        <v>OPS</v>
      </c>
      <c r="E586">
        <f>COUNTIF($R$2:R586,R586)</f>
        <v>0</v>
      </c>
      <c r="F586">
        <f>COUNTIF($E$2:E586,1)</f>
        <v>30</v>
      </c>
      <c r="G586" t="str">
        <f t="shared" si="47"/>
        <v>ops.services.cps</v>
      </c>
      <c r="H586" t="str">
        <f t="shared" si="48"/>
        <v>OPSops.services.cps</v>
      </c>
      <c r="I586" t="str">
        <f t="shared" si="49"/>
        <v/>
      </c>
      <c r="J586">
        <f>IF(I586="",0,COUNTIF($I$2:I586,I586))</f>
        <v>0</v>
      </c>
      <c r="K586">
        <f>COUNTIF($J$2:J586,1)</f>
        <v>95</v>
      </c>
      <c r="N586" t="s">
        <v>229</v>
      </c>
    </row>
    <row r="587" spans="1:26" hidden="1" x14ac:dyDescent="0.25">
      <c r="A587">
        <f>COUNTIF($P$2:P587,P587)</f>
        <v>0</v>
      </c>
      <c r="B587">
        <f>COUNTIF($A$2:A587,1)</f>
        <v>19</v>
      </c>
      <c r="C587" t="str">
        <f t="shared" si="45"/>
        <v>OPS</v>
      </c>
      <c r="D587" t="str">
        <f t="shared" si="46"/>
        <v>OPS1901</v>
      </c>
      <c r="E587">
        <f>COUNTIF($R$2:R587,R587)</f>
        <v>0</v>
      </c>
      <c r="F587">
        <f>COUNTIF($E$2:E587,1)</f>
        <v>30</v>
      </c>
      <c r="G587" t="str">
        <f t="shared" si="47"/>
        <v>ops.services.cps</v>
      </c>
      <c r="H587" t="str">
        <f t="shared" si="48"/>
        <v>OPSops.services.cps1901</v>
      </c>
      <c r="I587" t="str">
        <f t="shared" si="49"/>
        <v/>
      </c>
      <c r="J587">
        <f>IF(I587="",0,COUNTIF($I$2:I587,I587))</f>
        <v>0</v>
      </c>
      <c r="K587">
        <f>COUNTIF($J$2:J587,1)</f>
        <v>95</v>
      </c>
      <c r="N587" t="s">
        <v>230</v>
      </c>
      <c r="O587">
        <v>1901</v>
      </c>
    </row>
    <row r="588" spans="1:26" hidden="1" x14ac:dyDescent="0.25">
      <c r="A588">
        <f>COUNTIF($P$2:P588,P588)</f>
        <v>13</v>
      </c>
      <c r="B588">
        <f>COUNTIF($A$2:A588,1)</f>
        <v>19</v>
      </c>
      <c r="C588" t="str">
        <f t="shared" si="45"/>
        <v>OPS</v>
      </c>
      <c r="D588" t="str">
        <f t="shared" si="46"/>
        <v>OPSParent</v>
      </c>
      <c r="E588">
        <f>COUNTIF($R$2:R588,R588)</f>
        <v>13</v>
      </c>
      <c r="F588">
        <f>COUNTIF($E$2:E588,1)</f>
        <v>30</v>
      </c>
      <c r="G588" t="str">
        <f t="shared" si="47"/>
        <v>ops.services.cps</v>
      </c>
      <c r="H588" t="str">
        <f t="shared" si="48"/>
        <v>OPSops.services.cpsParent</v>
      </c>
      <c r="I588" t="str">
        <f t="shared" si="49"/>
        <v>OPSops.services.cpsops.logo</v>
      </c>
      <c r="J588">
        <f>IF(I588="",0,COUNTIF($I$2:I588,I588))</f>
        <v>4</v>
      </c>
      <c r="K588">
        <f>COUNTIF($J$2:J588,1)</f>
        <v>95</v>
      </c>
      <c r="N588">
        <v>12</v>
      </c>
      <c r="O588" t="s">
        <v>15</v>
      </c>
      <c r="P588" t="s">
        <v>210</v>
      </c>
      <c r="Q588" t="s">
        <v>211</v>
      </c>
      <c r="R588" t="s">
        <v>212</v>
      </c>
      <c r="S588" t="s">
        <v>213</v>
      </c>
      <c r="T588" t="s">
        <v>214</v>
      </c>
      <c r="U588" t="s">
        <v>215</v>
      </c>
      <c r="V588" t="s">
        <v>222</v>
      </c>
      <c r="W588" t="s">
        <v>22</v>
      </c>
      <c r="X588" t="s">
        <v>21</v>
      </c>
      <c r="Y588" t="s">
        <v>231</v>
      </c>
      <c r="Z588">
        <v>2536</v>
      </c>
    </row>
    <row r="589" spans="1:26" hidden="1" x14ac:dyDescent="0.25">
      <c r="A589">
        <f>COUNTIF($P$2:P589,P589)</f>
        <v>14</v>
      </c>
      <c r="B589">
        <f>COUNTIF($A$2:A589,1)</f>
        <v>19</v>
      </c>
      <c r="C589" t="str">
        <f t="shared" si="45"/>
        <v>OPS</v>
      </c>
      <c r="D589" t="str">
        <f t="shared" si="46"/>
        <v>OPSWeb Service</v>
      </c>
      <c r="E589">
        <f>COUNTIF($R$2:R589,R589)</f>
        <v>14</v>
      </c>
      <c r="F589">
        <f>COUNTIF($E$2:E589,1)</f>
        <v>30</v>
      </c>
      <c r="G589" t="str">
        <f t="shared" si="47"/>
        <v>ops.services.cps</v>
      </c>
      <c r="H589" t="str">
        <f t="shared" si="48"/>
        <v>OPSops.services.cpsWeb Service</v>
      </c>
      <c r="I589" t="str">
        <f t="shared" si="49"/>
        <v>OPSops.services.cpsops.logo</v>
      </c>
      <c r="J589">
        <f>IF(I589="",0,COUNTIF($I$2:I589,I589))</f>
        <v>5</v>
      </c>
      <c r="K589">
        <f>COUNTIF($J$2:J589,1)</f>
        <v>95</v>
      </c>
      <c r="N589">
        <v>1</v>
      </c>
      <c r="O589" t="s">
        <v>81</v>
      </c>
      <c r="P589" t="s">
        <v>210</v>
      </c>
      <c r="Q589" t="s">
        <v>211</v>
      </c>
      <c r="R589" t="s">
        <v>212</v>
      </c>
      <c r="S589" t="s">
        <v>213</v>
      </c>
      <c r="T589" t="s">
        <v>214</v>
      </c>
      <c r="U589" t="s">
        <v>215</v>
      </c>
      <c r="V589" t="s">
        <v>222</v>
      </c>
      <c r="W589" t="s">
        <v>22</v>
      </c>
      <c r="X589" t="s">
        <v>22</v>
      </c>
      <c r="Y589" t="s">
        <v>223</v>
      </c>
    </row>
    <row r="590" spans="1:26" hidden="1" x14ac:dyDescent="0.25">
      <c r="A590">
        <f>COUNTIF($P$2:P590,P590)</f>
        <v>0</v>
      </c>
      <c r="B590">
        <f>COUNTIF($A$2:A590,1)</f>
        <v>19</v>
      </c>
      <c r="C590" t="str">
        <f t="shared" si="45"/>
        <v>OPS</v>
      </c>
      <c r="D590" t="str">
        <f t="shared" si="46"/>
        <v>OPS</v>
      </c>
      <c r="E590">
        <f>COUNTIF($R$2:R590,R590)</f>
        <v>0</v>
      </c>
      <c r="F590">
        <f>COUNTIF($E$2:E590,1)</f>
        <v>30</v>
      </c>
      <c r="G590" t="str">
        <f t="shared" si="47"/>
        <v>ops.services.cps</v>
      </c>
      <c r="H590" t="str">
        <f t="shared" si="48"/>
        <v>OPSops.services.cps</v>
      </c>
      <c r="I590" t="str">
        <f t="shared" si="49"/>
        <v/>
      </c>
      <c r="J590">
        <f>IF(I590="",0,COUNTIF($I$2:I590,I590))</f>
        <v>0</v>
      </c>
      <c r="K590">
        <f>COUNTIF($J$2:J590,1)</f>
        <v>95</v>
      </c>
      <c r="N590" t="s">
        <v>224</v>
      </c>
    </row>
    <row r="591" spans="1:26" hidden="1" x14ac:dyDescent="0.25">
      <c r="A591">
        <f>COUNTIF($P$2:P591,P591)</f>
        <v>0</v>
      </c>
      <c r="B591">
        <f>COUNTIF($A$2:A591,1)</f>
        <v>19</v>
      </c>
      <c r="C591" t="str">
        <f t="shared" si="45"/>
        <v>OPS</v>
      </c>
      <c r="D591" t="str">
        <f t="shared" si="46"/>
        <v>OPS</v>
      </c>
      <c r="E591">
        <f>COUNTIF($R$2:R591,R591)</f>
        <v>0</v>
      </c>
      <c r="F591">
        <f>COUNTIF($E$2:E591,1)</f>
        <v>30</v>
      </c>
      <c r="G591" t="str">
        <f t="shared" si="47"/>
        <v>ops.services.cps</v>
      </c>
      <c r="H591" t="str">
        <f t="shared" si="48"/>
        <v>OPSops.services.cps</v>
      </c>
      <c r="I591" t="str">
        <f t="shared" si="49"/>
        <v/>
      </c>
      <c r="J591">
        <f>IF(I591="",0,COUNTIF($I$2:I591,I591))</f>
        <v>0</v>
      </c>
      <c r="K591">
        <f>COUNTIF($J$2:J591,1)</f>
        <v>95</v>
      </c>
      <c r="N591" t="s">
        <v>225</v>
      </c>
    </row>
    <row r="592" spans="1:26" hidden="1" x14ac:dyDescent="0.25">
      <c r="A592">
        <f>COUNTIF($P$2:P592,P592)</f>
        <v>0</v>
      </c>
      <c r="B592">
        <f>COUNTIF($A$2:A592,1)</f>
        <v>19</v>
      </c>
      <c r="C592" t="str">
        <f t="shared" si="45"/>
        <v>OPS</v>
      </c>
      <c r="D592" t="str">
        <f t="shared" si="46"/>
        <v>OPS</v>
      </c>
      <c r="E592">
        <f>COUNTIF($R$2:R592,R592)</f>
        <v>0</v>
      </c>
      <c r="F592">
        <f>COUNTIF($E$2:E592,1)</f>
        <v>30</v>
      </c>
      <c r="G592" t="str">
        <f t="shared" si="47"/>
        <v>ops.services.cps</v>
      </c>
      <c r="H592" t="str">
        <f t="shared" si="48"/>
        <v>OPSops.services.cps</v>
      </c>
      <c r="I592" t="str">
        <f t="shared" si="49"/>
        <v/>
      </c>
      <c r="J592">
        <f>IF(I592="",0,COUNTIF($I$2:I592,I592))</f>
        <v>0</v>
      </c>
      <c r="K592">
        <f>COUNTIF($J$2:J592,1)</f>
        <v>95</v>
      </c>
      <c r="N592" t="s">
        <v>226</v>
      </c>
    </row>
    <row r="593" spans="1:26" hidden="1" x14ac:dyDescent="0.25">
      <c r="A593">
        <f>COUNTIF($P$2:P593,P593)</f>
        <v>0</v>
      </c>
      <c r="B593">
        <f>COUNTIF($A$2:A593,1)</f>
        <v>19</v>
      </c>
      <c r="C593" t="str">
        <f t="shared" si="45"/>
        <v>OPS</v>
      </c>
      <c r="D593" t="str">
        <f t="shared" si="46"/>
        <v>OPS</v>
      </c>
      <c r="E593">
        <f>COUNTIF($R$2:R593,R593)</f>
        <v>0</v>
      </c>
      <c r="F593">
        <f>COUNTIF($E$2:E593,1)</f>
        <v>30</v>
      </c>
      <c r="G593" t="str">
        <f t="shared" si="47"/>
        <v>ops.services.cps</v>
      </c>
      <c r="H593" t="str">
        <f t="shared" si="48"/>
        <v>OPSops.services.cps</v>
      </c>
      <c r="I593" t="str">
        <f t="shared" si="49"/>
        <v/>
      </c>
      <c r="J593">
        <f>IF(I593="",0,COUNTIF($I$2:I593,I593))</f>
        <v>0</v>
      </c>
      <c r="K593">
        <f>COUNTIF($J$2:J593,1)</f>
        <v>95</v>
      </c>
      <c r="N593" t="s">
        <v>227</v>
      </c>
    </row>
    <row r="594" spans="1:26" hidden="1" x14ac:dyDescent="0.25">
      <c r="A594">
        <f>COUNTIF($P$2:P594,P594)</f>
        <v>0</v>
      </c>
      <c r="B594">
        <f>COUNTIF($A$2:A594,1)</f>
        <v>19</v>
      </c>
      <c r="C594" t="str">
        <f t="shared" si="45"/>
        <v>OPS</v>
      </c>
      <c r="D594" t="str">
        <f t="shared" si="46"/>
        <v>OPS</v>
      </c>
      <c r="E594">
        <f>COUNTIF($R$2:R594,R594)</f>
        <v>0</v>
      </c>
      <c r="F594">
        <f>COUNTIF($E$2:E594,1)</f>
        <v>30</v>
      </c>
      <c r="G594" t="str">
        <f t="shared" si="47"/>
        <v>ops.services.cps</v>
      </c>
      <c r="H594" t="str">
        <f t="shared" si="48"/>
        <v>OPSops.services.cps</v>
      </c>
      <c r="I594" t="str">
        <f t="shared" si="49"/>
        <v/>
      </c>
      <c r="J594">
        <f>IF(I594="",0,COUNTIF($I$2:I594,I594))</f>
        <v>0</v>
      </c>
      <c r="K594">
        <f>COUNTIF($J$2:J594,1)</f>
        <v>95</v>
      </c>
      <c r="N594" t="s">
        <v>228</v>
      </c>
    </row>
    <row r="595" spans="1:26" hidden="1" x14ac:dyDescent="0.25">
      <c r="A595">
        <f>COUNTIF($P$2:P595,P595)</f>
        <v>0</v>
      </c>
      <c r="B595">
        <f>COUNTIF($A$2:A595,1)</f>
        <v>19</v>
      </c>
      <c r="C595" t="str">
        <f t="shared" si="45"/>
        <v>OPS</v>
      </c>
      <c r="D595" t="str">
        <f t="shared" si="46"/>
        <v>OPS</v>
      </c>
      <c r="E595">
        <f>COUNTIF($R$2:R595,R595)</f>
        <v>0</v>
      </c>
      <c r="F595">
        <f>COUNTIF($E$2:E595,1)</f>
        <v>30</v>
      </c>
      <c r="G595" t="str">
        <f t="shared" si="47"/>
        <v>ops.services.cps</v>
      </c>
      <c r="H595" t="str">
        <f t="shared" si="48"/>
        <v>OPSops.services.cps</v>
      </c>
      <c r="I595" t="str">
        <f t="shared" si="49"/>
        <v/>
      </c>
      <c r="J595">
        <f>IF(I595="",0,COUNTIF($I$2:I595,I595))</f>
        <v>0</v>
      </c>
      <c r="K595">
        <f>COUNTIF($J$2:J595,1)</f>
        <v>95</v>
      </c>
      <c r="N595" t="s">
        <v>229</v>
      </c>
    </row>
    <row r="596" spans="1:26" hidden="1" x14ac:dyDescent="0.25">
      <c r="A596">
        <f>COUNTIF($P$2:P596,P596)</f>
        <v>0</v>
      </c>
      <c r="B596">
        <f>COUNTIF($A$2:A596,1)</f>
        <v>19</v>
      </c>
      <c r="C596" t="str">
        <f t="shared" si="45"/>
        <v>OPS</v>
      </c>
      <c r="D596" t="str">
        <f t="shared" si="46"/>
        <v>OPS1901</v>
      </c>
      <c r="E596">
        <f>COUNTIF($R$2:R596,R596)</f>
        <v>0</v>
      </c>
      <c r="F596">
        <f>COUNTIF($E$2:E596,1)</f>
        <v>30</v>
      </c>
      <c r="G596" t="str">
        <f t="shared" si="47"/>
        <v>ops.services.cps</v>
      </c>
      <c r="H596" t="str">
        <f t="shared" si="48"/>
        <v>OPSops.services.cps1901</v>
      </c>
      <c r="I596" t="str">
        <f t="shared" si="49"/>
        <v/>
      </c>
      <c r="J596">
        <f>IF(I596="",0,COUNTIF($I$2:I596,I596))</f>
        <v>0</v>
      </c>
      <c r="K596">
        <f>COUNTIF($J$2:J596,1)</f>
        <v>95</v>
      </c>
      <c r="N596" t="s">
        <v>230</v>
      </c>
      <c r="O596">
        <v>1901</v>
      </c>
    </row>
    <row r="597" spans="1:26" hidden="1" x14ac:dyDescent="0.25">
      <c r="A597">
        <f>COUNTIF($P$2:P597,P597)</f>
        <v>15</v>
      </c>
      <c r="B597">
        <f>COUNTIF($A$2:A597,1)</f>
        <v>19</v>
      </c>
      <c r="C597" t="str">
        <f t="shared" si="45"/>
        <v>OPS</v>
      </c>
      <c r="D597" t="str">
        <f t="shared" si="46"/>
        <v>OPSWeb Service</v>
      </c>
      <c r="E597">
        <f>COUNTIF($R$2:R597,R597)</f>
        <v>15</v>
      </c>
      <c r="F597">
        <f>COUNTIF($E$2:E597,1)</f>
        <v>30</v>
      </c>
      <c r="G597" t="str">
        <f t="shared" si="47"/>
        <v>ops.services.cps</v>
      </c>
      <c r="H597" t="str">
        <f t="shared" si="48"/>
        <v>OPSops.services.cpsWeb Service</v>
      </c>
      <c r="I597" t="str">
        <f t="shared" si="49"/>
        <v>OPSops.services.cpsops.logo</v>
      </c>
      <c r="J597">
        <f>IF(I597="",0,COUNTIF($I$2:I597,I597))</f>
        <v>6</v>
      </c>
      <c r="K597">
        <f>COUNTIF($J$2:J597,1)</f>
        <v>95</v>
      </c>
      <c r="N597">
        <v>1</v>
      </c>
      <c r="O597" t="s">
        <v>81</v>
      </c>
      <c r="P597" t="s">
        <v>210</v>
      </c>
      <c r="Q597" t="s">
        <v>211</v>
      </c>
      <c r="R597" t="s">
        <v>212</v>
      </c>
      <c r="S597" t="s">
        <v>213</v>
      </c>
      <c r="T597" t="s">
        <v>214</v>
      </c>
      <c r="U597" t="s">
        <v>215</v>
      </c>
      <c r="V597" t="s">
        <v>222</v>
      </c>
      <c r="W597" t="s">
        <v>22</v>
      </c>
      <c r="X597" t="s">
        <v>21</v>
      </c>
      <c r="Y597" t="s">
        <v>231</v>
      </c>
      <c r="Z597">
        <v>2536</v>
      </c>
    </row>
    <row r="598" spans="1:26" hidden="1" x14ac:dyDescent="0.25">
      <c r="A598">
        <f>COUNTIF($P$2:P598,P598)</f>
        <v>16</v>
      </c>
      <c r="B598">
        <f>COUNTIF($A$2:A598,1)</f>
        <v>19</v>
      </c>
      <c r="C598" t="str">
        <f t="shared" si="45"/>
        <v>OPS</v>
      </c>
      <c r="D598" t="str">
        <f t="shared" si="46"/>
        <v>OPSIntegrator</v>
      </c>
      <c r="E598">
        <f>COUNTIF($R$2:R598,R598)</f>
        <v>16</v>
      </c>
      <c r="F598">
        <f>COUNTIF($E$2:E598,1)</f>
        <v>30</v>
      </c>
      <c r="G598" t="str">
        <f t="shared" si="47"/>
        <v>ops.services.cps</v>
      </c>
      <c r="H598" t="str">
        <f t="shared" si="48"/>
        <v>OPSops.services.cpsIntegrator</v>
      </c>
      <c r="I598" t="str">
        <f t="shared" si="49"/>
        <v>OPSops.services.cpsops.logo</v>
      </c>
      <c r="J598">
        <f>IF(I598="",0,COUNTIF($I$2:I598,I598))</f>
        <v>7</v>
      </c>
      <c r="K598">
        <f>COUNTIF($J$2:J598,1)</f>
        <v>95</v>
      </c>
      <c r="N598">
        <v>9</v>
      </c>
      <c r="O598" t="s">
        <v>23</v>
      </c>
      <c r="P598" t="s">
        <v>210</v>
      </c>
      <c r="Q598" t="s">
        <v>211</v>
      </c>
      <c r="R598" t="s">
        <v>212</v>
      </c>
      <c r="S598" t="s">
        <v>213</v>
      </c>
      <c r="T598" t="s">
        <v>214</v>
      </c>
      <c r="U598" t="s">
        <v>215</v>
      </c>
      <c r="V598" t="s">
        <v>222</v>
      </c>
      <c r="W598" t="s">
        <v>22</v>
      </c>
      <c r="X598" t="s">
        <v>22</v>
      </c>
      <c r="Y598" t="s">
        <v>223</v>
      </c>
    </row>
    <row r="599" spans="1:26" hidden="1" x14ac:dyDescent="0.25">
      <c r="A599">
        <f>COUNTIF($P$2:P599,P599)</f>
        <v>0</v>
      </c>
      <c r="B599">
        <f>COUNTIF($A$2:A599,1)</f>
        <v>19</v>
      </c>
      <c r="C599" t="str">
        <f t="shared" si="45"/>
        <v>OPS</v>
      </c>
      <c r="D599" t="str">
        <f t="shared" si="46"/>
        <v>OPS</v>
      </c>
      <c r="E599">
        <f>COUNTIF($R$2:R599,R599)</f>
        <v>0</v>
      </c>
      <c r="F599">
        <f>COUNTIF($E$2:E599,1)</f>
        <v>30</v>
      </c>
      <c r="G599" t="str">
        <f t="shared" si="47"/>
        <v>ops.services.cps</v>
      </c>
      <c r="H599" t="str">
        <f t="shared" si="48"/>
        <v>OPSops.services.cps</v>
      </c>
      <c r="I599" t="str">
        <f t="shared" si="49"/>
        <v/>
      </c>
      <c r="J599">
        <f>IF(I599="",0,COUNTIF($I$2:I599,I599))</f>
        <v>0</v>
      </c>
      <c r="K599">
        <f>COUNTIF($J$2:J599,1)</f>
        <v>95</v>
      </c>
      <c r="N599" t="s">
        <v>224</v>
      </c>
    </row>
    <row r="600" spans="1:26" hidden="1" x14ac:dyDescent="0.25">
      <c r="A600">
        <f>COUNTIF($P$2:P600,P600)</f>
        <v>0</v>
      </c>
      <c r="B600">
        <f>COUNTIF($A$2:A600,1)</f>
        <v>19</v>
      </c>
      <c r="C600" t="str">
        <f t="shared" si="45"/>
        <v>OPS</v>
      </c>
      <c r="D600" t="str">
        <f t="shared" si="46"/>
        <v>OPS</v>
      </c>
      <c r="E600">
        <f>COUNTIF($R$2:R600,R600)</f>
        <v>0</v>
      </c>
      <c r="F600">
        <f>COUNTIF($E$2:E600,1)</f>
        <v>30</v>
      </c>
      <c r="G600" t="str">
        <f t="shared" si="47"/>
        <v>ops.services.cps</v>
      </c>
      <c r="H600" t="str">
        <f t="shared" si="48"/>
        <v>OPSops.services.cps</v>
      </c>
      <c r="I600" t="str">
        <f t="shared" si="49"/>
        <v/>
      </c>
      <c r="J600">
        <f>IF(I600="",0,COUNTIF($I$2:I600,I600))</f>
        <v>0</v>
      </c>
      <c r="K600">
        <f>COUNTIF($J$2:J600,1)</f>
        <v>95</v>
      </c>
      <c r="N600" t="s">
        <v>225</v>
      </c>
    </row>
    <row r="601" spans="1:26" hidden="1" x14ac:dyDescent="0.25">
      <c r="A601">
        <f>COUNTIF($P$2:P601,P601)</f>
        <v>0</v>
      </c>
      <c r="B601">
        <f>COUNTIF($A$2:A601,1)</f>
        <v>19</v>
      </c>
      <c r="C601" t="str">
        <f t="shared" si="45"/>
        <v>OPS</v>
      </c>
      <c r="D601" t="str">
        <f t="shared" si="46"/>
        <v>OPS</v>
      </c>
      <c r="E601">
        <f>COUNTIF($R$2:R601,R601)</f>
        <v>0</v>
      </c>
      <c r="F601">
        <f>COUNTIF($E$2:E601,1)</f>
        <v>30</v>
      </c>
      <c r="G601" t="str">
        <f t="shared" si="47"/>
        <v>ops.services.cps</v>
      </c>
      <c r="H601" t="str">
        <f t="shared" si="48"/>
        <v>OPSops.services.cps</v>
      </c>
      <c r="I601" t="str">
        <f t="shared" si="49"/>
        <v/>
      </c>
      <c r="J601">
        <f>IF(I601="",0,COUNTIF($I$2:I601,I601))</f>
        <v>0</v>
      </c>
      <c r="K601">
        <f>COUNTIF($J$2:J601,1)</f>
        <v>95</v>
      </c>
      <c r="N601" t="s">
        <v>226</v>
      </c>
    </row>
    <row r="602" spans="1:26" hidden="1" x14ac:dyDescent="0.25">
      <c r="A602">
        <f>COUNTIF($P$2:P602,P602)</f>
        <v>0</v>
      </c>
      <c r="B602">
        <f>COUNTIF($A$2:A602,1)</f>
        <v>19</v>
      </c>
      <c r="C602" t="str">
        <f t="shared" si="45"/>
        <v>OPS</v>
      </c>
      <c r="D602" t="str">
        <f t="shared" si="46"/>
        <v>OPS</v>
      </c>
      <c r="E602">
        <f>COUNTIF($R$2:R602,R602)</f>
        <v>0</v>
      </c>
      <c r="F602">
        <f>COUNTIF($E$2:E602,1)</f>
        <v>30</v>
      </c>
      <c r="G602" t="str">
        <f t="shared" si="47"/>
        <v>ops.services.cps</v>
      </c>
      <c r="H602" t="str">
        <f t="shared" si="48"/>
        <v>OPSops.services.cps</v>
      </c>
      <c r="I602" t="str">
        <f t="shared" si="49"/>
        <v/>
      </c>
      <c r="J602">
        <f>IF(I602="",0,COUNTIF($I$2:I602,I602))</f>
        <v>0</v>
      </c>
      <c r="K602">
        <f>COUNTIF($J$2:J602,1)</f>
        <v>95</v>
      </c>
      <c r="N602" t="s">
        <v>227</v>
      </c>
    </row>
    <row r="603" spans="1:26" hidden="1" x14ac:dyDescent="0.25">
      <c r="A603">
        <f>COUNTIF($P$2:P603,P603)</f>
        <v>0</v>
      </c>
      <c r="B603">
        <f>COUNTIF($A$2:A603,1)</f>
        <v>19</v>
      </c>
      <c r="C603" t="str">
        <f t="shared" si="45"/>
        <v>OPS</v>
      </c>
      <c r="D603" t="str">
        <f t="shared" si="46"/>
        <v>OPS</v>
      </c>
      <c r="E603">
        <f>COUNTIF($R$2:R603,R603)</f>
        <v>0</v>
      </c>
      <c r="F603">
        <f>COUNTIF($E$2:E603,1)</f>
        <v>30</v>
      </c>
      <c r="G603" t="str">
        <f t="shared" si="47"/>
        <v>ops.services.cps</v>
      </c>
      <c r="H603" t="str">
        <f t="shared" si="48"/>
        <v>OPSops.services.cps</v>
      </c>
      <c r="I603" t="str">
        <f t="shared" si="49"/>
        <v/>
      </c>
      <c r="J603">
        <f>IF(I603="",0,COUNTIF($I$2:I603,I603))</f>
        <v>0</v>
      </c>
      <c r="K603">
        <f>COUNTIF($J$2:J603,1)</f>
        <v>95</v>
      </c>
      <c r="N603" t="s">
        <v>228</v>
      </c>
    </row>
    <row r="604" spans="1:26" hidden="1" x14ac:dyDescent="0.25">
      <c r="A604">
        <f>COUNTIF($P$2:P604,P604)</f>
        <v>0</v>
      </c>
      <c r="B604">
        <f>COUNTIF($A$2:A604,1)</f>
        <v>19</v>
      </c>
      <c r="C604" t="str">
        <f t="shared" si="45"/>
        <v>OPS</v>
      </c>
      <c r="D604" t="str">
        <f t="shared" si="46"/>
        <v>OPS</v>
      </c>
      <c r="E604">
        <f>COUNTIF($R$2:R604,R604)</f>
        <v>0</v>
      </c>
      <c r="F604">
        <f>COUNTIF($E$2:E604,1)</f>
        <v>30</v>
      </c>
      <c r="G604" t="str">
        <f t="shared" si="47"/>
        <v>ops.services.cps</v>
      </c>
      <c r="H604" t="str">
        <f t="shared" si="48"/>
        <v>OPSops.services.cps</v>
      </c>
      <c r="I604" t="str">
        <f t="shared" si="49"/>
        <v/>
      </c>
      <c r="J604">
        <f>IF(I604="",0,COUNTIF($I$2:I604,I604))</f>
        <v>0</v>
      </c>
      <c r="K604">
        <f>COUNTIF($J$2:J604,1)</f>
        <v>95</v>
      </c>
      <c r="N604" t="s">
        <v>229</v>
      </c>
    </row>
    <row r="605" spans="1:26" hidden="1" x14ac:dyDescent="0.25">
      <c r="A605">
        <f>COUNTIF($P$2:P605,P605)</f>
        <v>0</v>
      </c>
      <c r="B605">
        <f>COUNTIF($A$2:A605,1)</f>
        <v>19</v>
      </c>
      <c r="C605" t="str">
        <f t="shared" si="45"/>
        <v>OPS</v>
      </c>
      <c r="D605" t="str">
        <f t="shared" si="46"/>
        <v>OPS1901</v>
      </c>
      <c r="E605">
        <f>COUNTIF($R$2:R605,R605)</f>
        <v>0</v>
      </c>
      <c r="F605">
        <f>COUNTIF($E$2:E605,1)</f>
        <v>30</v>
      </c>
      <c r="G605" t="str">
        <f t="shared" si="47"/>
        <v>ops.services.cps</v>
      </c>
      <c r="H605" t="str">
        <f t="shared" si="48"/>
        <v>OPSops.services.cps1901</v>
      </c>
      <c r="I605" t="str">
        <f t="shared" si="49"/>
        <v/>
      </c>
      <c r="J605">
        <f>IF(I605="",0,COUNTIF($I$2:I605,I605))</f>
        <v>0</v>
      </c>
      <c r="K605">
        <f>COUNTIF($J$2:J605,1)</f>
        <v>95</v>
      </c>
      <c r="N605" t="s">
        <v>230</v>
      </c>
      <c r="O605">
        <v>1901</v>
      </c>
    </row>
    <row r="606" spans="1:26" hidden="1" x14ac:dyDescent="0.25">
      <c r="A606">
        <f>COUNTIF($P$2:P606,P606)</f>
        <v>17</v>
      </c>
      <c r="B606">
        <f>COUNTIF($A$2:A606,1)</f>
        <v>19</v>
      </c>
      <c r="C606" t="str">
        <f t="shared" si="45"/>
        <v>OPS</v>
      </c>
      <c r="D606" t="str">
        <f t="shared" si="46"/>
        <v>OPSIntegrator</v>
      </c>
      <c r="E606">
        <f>COUNTIF($R$2:R606,R606)</f>
        <v>17</v>
      </c>
      <c r="F606">
        <f>COUNTIF($E$2:E606,1)</f>
        <v>30</v>
      </c>
      <c r="G606" t="str">
        <f t="shared" si="47"/>
        <v>ops.services.cps</v>
      </c>
      <c r="H606" t="str">
        <f t="shared" si="48"/>
        <v>OPSops.services.cpsIntegrator</v>
      </c>
      <c r="I606" t="str">
        <f t="shared" si="49"/>
        <v>OPSops.services.cpsops.logo</v>
      </c>
      <c r="J606">
        <f>IF(I606="",0,COUNTIF($I$2:I606,I606))</f>
        <v>8</v>
      </c>
      <c r="K606">
        <f>COUNTIF($J$2:J606,1)</f>
        <v>95</v>
      </c>
      <c r="N606">
        <v>9</v>
      </c>
      <c r="O606" t="s">
        <v>23</v>
      </c>
      <c r="P606" t="s">
        <v>210</v>
      </c>
      <c r="Q606" t="s">
        <v>211</v>
      </c>
      <c r="R606" t="s">
        <v>212</v>
      </c>
      <c r="S606" t="s">
        <v>213</v>
      </c>
      <c r="T606" t="s">
        <v>214</v>
      </c>
      <c r="U606" t="s">
        <v>215</v>
      </c>
      <c r="V606" t="s">
        <v>222</v>
      </c>
      <c r="W606" t="s">
        <v>22</v>
      </c>
      <c r="X606" t="s">
        <v>21</v>
      </c>
      <c r="Y606" t="s">
        <v>231</v>
      </c>
      <c r="Z606">
        <v>2536</v>
      </c>
    </row>
    <row r="607" spans="1:26" hidden="1" x14ac:dyDescent="0.25">
      <c r="A607">
        <f>COUNTIF($P$2:P607,P607)</f>
        <v>18</v>
      </c>
      <c r="B607">
        <f>COUNTIF($A$2:A607,1)</f>
        <v>19</v>
      </c>
      <c r="C607" t="str">
        <f t="shared" si="45"/>
        <v>OPS</v>
      </c>
      <c r="D607" t="str">
        <f t="shared" si="46"/>
        <v>OPSParent</v>
      </c>
      <c r="E607">
        <f>COUNTIF($R$2:R607,R607)</f>
        <v>18</v>
      </c>
      <c r="F607">
        <f>COUNTIF($E$2:E607,1)</f>
        <v>30</v>
      </c>
      <c r="G607" t="str">
        <f t="shared" si="47"/>
        <v>ops.services.cps</v>
      </c>
      <c r="H607" t="str">
        <f t="shared" si="48"/>
        <v>OPSops.services.cpsParent</v>
      </c>
      <c r="I607" t="str">
        <f t="shared" si="49"/>
        <v/>
      </c>
      <c r="J607">
        <f>IF(I607="",0,COUNTIF($I$2:I607,I607))</f>
        <v>0</v>
      </c>
      <c r="K607">
        <f>COUNTIF($J$2:J607,1)</f>
        <v>95</v>
      </c>
      <c r="N607">
        <v>10</v>
      </c>
      <c r="O607" t="s">
        <v>15</v>
      </c>
      <c r="P607" t="s">
        <v>210</v>
      </c>
      <c r="Q607" t="s">
        <v>211</v>
      </c>
      <c r="R607" t="s">
        <v>212</v>
      </c>
      <c r="S607" t="s">
        <v>213</v>
      </c>
      <c r="T607" t="s">
        <v>214</v>
      </c>
      <c r="U607" t="s">
        <v>215</v>
      </c>
      <c r="W607" t="s">
        <v>21</v>
      </c>
    </row>
    <row r="608" spans="1:26" hidden="1" x14ac:dyDescent="0.25">
      <c r="A608">
        <f>COUNTIF($P$2:P608,P608)</f>
        <v>19</v>
      </c>
      <c r="B608">
        <f>COUNTIF($A$2:A608,1)</f>
        <v>19</v>
      </c>
      <c r="C608" t="str">
        <f t="shared" si="45"/>
        <v>OPS</v>
      </c>
      <c r="D608" t="str">
        <f t="shared" si="46"/>
        <v>OPSIntegrator</v>
      </c>
      <c r="E608">
        <f>COUNTIF($R$2:R608,R608)</f>
        <v>19</v>
      </c>
      <c r="F608">
        <f>COUNTIF($E$2:E608,1)</f>
        <v>30</v>
      </c>
      <c r="G608" t="str">
        <f t="shared" si="47"/>
        <v>ops.services.cps</v>
      </c>
      <c r="H608" t="str">
        <f t="shared" si="48"/>
        <v>OPSops.services.cpsIntegrator</v>
      </c>
      <c r="I608" t="str">
        <f t="shared" si="49"/>
        <v/>
      </c>
      <c r="J608">
        <f>IF(I608="",0,COUNTIF($I$2:I608,I608))</f>
        <v>0</v>
      </c>
      <c r="K608">
        <f>COUNTIF($J$2:J608,1)</f>
        <v>95</v>
      </c>
      <c r="N608">
        <v>10</v>
      </c>
      <c r="O608" t="s">
        <v>23</v>
      </c>
      <c r="P608" t="s">
        <v>210</v>
      </c>
      <c r="Q608" t="s">
        <v>211</v>
      </c>
      <c r="R608" t="s">
        <v>212</v>
      </c>
      <c r="S608" t="s">
        <v>213</v>
      </c>
      <c r="T608" t="s">
        <v>214</v>
      </c>
      <c r="U608" t="s">
        <v>215</v>
      </c>
      <c r="W608" t="s">
        <v>21</v>
      </c>
    </row>
    <row r="609" spans="1:26" hidden="1" x14ac:dyDescent="0.25">
      <c r="A609">
        <f>COUNTIF($P$2:P609,P609)</f>
        <v>20</v>
      </c>
      <c r="B609">
        <f>COUNTIF($A$2:A609,1)</f>
        <v>19</v>
      </c>
      <c r="C609" t="str">
        <f t="shared" si="45"/>
        <v>OPS</v>
      </c>
      <c r="D609" t="str">
        <f t="shared" si="46"/>
        <v>OPSDevice</v>
      </c>
      <c r="E609">
        <f>COUNTIF($R$2:R609,R609)</f>
        <v>20</v>
      </c>
      <c r="F609">
        <f>COUNTIF($E$2:E609,1)</f>
        <v>30</v>
      </c>
      <c r="G609" t="str">
        <f t="shared" si="47"/>
        <v>ops.services.cps</v>
      </c>
      <c r="H609" t="str">
        <f t="shared" si="48"/>
        <v>OPSops.services.cpsDevice</v>
      </c>
      <c r="I609" t="str">
        <f t="shared" si="49"/>
        <v/>
      </c>
      <c r="J609">
        <f>IF(I609="",0,COUNTIF($I$2:I609,I609))</f>
        <v>0</v>
      </c>
      <c r="K609">
        <f>COUNTIF($J$2:J609,1)</f>
        <v>95</v>
      </c>
      <c r="N609">
        <v>1</v>
      </c>
      <c r="O609" t="s">
        <v>31</v>
      </c>
      <c r="P609" t="s">
        <v>210</v>
      </c>
      <c r="Q609" t="s">
        <v>211</v>
      </c>
      <c r="R609" t="s">
        <v>212</v>
      </c>
      <c r="S609" t="s">
        <v>213</v>
      </c>
      <c r="T609" t="s">
        <v>214</v>
      </c>
      <c r="U609" t="s">
        <v>215</v>
      </c>
      <c r="W609" t="s">
        <v>21</v>
      </c>
    </row>
    <row r="610" spans="1:26" hidden="1" x14ac:dyDescent="0.25">
      <c r="A610">
        <f>COUNTIF($P$2:P610,P610)</f>
        <v>21</v>
      </c>
      <c r="B610">
        <f>COUNTIF($A$2:A610,1)</f>
        <v>19</v>
      </c>
      <c r="C610" t="str">
        <f t="shared" si="45"/>
        <v>OPS</v>
      </c>
      <c r="D610" t="str">
        <f t="shared" si="46"/>
        <v>OPSParent</v>
      </c>
      <c r="E610">
        <f>COUNTIF($R$2:R610,R610)</f>
        <v>21</v>
      </c>
      <c r="F610">
        <f>COUNTIF($E$2:E610,1)</f>
        <v>30</v>
      </c>
      <c r="G610" t="str">
        <f t="shared" si="47"/>
        <v>ops.services.cps</v>
      </c>
      <c r="H610" t="str">
        <f t="shared" si="48"/>
        <v>OPSops.services.cpsParent</v>
      </c>
      <c r="I610" t="str">
        <f t="shared" si="49"/>
        <v/>
      </c>
      <c r="J610">
        <f>IF(I610="",0,COUNTIF($I$2:I610,I610))</f>
        <v>0</v>
      </c>
      <c r="K610">
        <f>COUNTIF($J$2:J610,1)</f>
        <v>95</v>
      </c>
      <c r="N610">
        <v>3</v>
      </c>
      <c r="O610" t="s">
        <v>15</v>
      </c>
      <c r="P610" t="s">
        <v>210</v>
      </c>
      <c r="Q610" t="s">
        <v>211</v>
      </c>
      <c r="R610" t="s">
        <v>212</v>
      </c>
      <c r="S610" t="s">
        <v>213</v>
      </c>
      <c r="T610" t="s">
        <v>214</v>
      </c>
      <c r="U610" t="s">
        <v>215</v>
      </c>
      <c r="W610" t="s">
        <v>22</v>
      </c>
    </row>
    <row r="611" spans="1:26" hidden="1" x14ac:dyDescent="0.25">
      <c r="A611">
        <f>COUNTIF($P$2:P611,P611)</f>
        <v>22</v>
      </c>
      <c r="B611">
        <f>COUNTIF($A$2:A611,1)</f>
        <v>19</v>
      </c>
      <c r="C611" t="str">
        <f t="shared" si="45"/>
        <v>OPS</v>
      </c>
      <c r="D611" t="str">
        <f t="shared" si="46"/>
        <v>OPSWeb Service</v>
      </c>
      <c r="E611">
        <f>COUNTIF($R$2:R611,R611)</f>
        <v>1</v>
      </c>
      <c r="F611">
        <f>COUNTIF($E$2:E611,1)</f>
        <v>31</v>
      </c>
      <c r="G611" t="str">
        <f t="shared" si="47"/>
        <v>ops.services.ieft</v>
      </c>
      <c r="H611" t="str">
        <f t="shared" si="48"/>
        <v>OPSops.services.ieftWeb Service</v>
      </c>
      <c r="I611" t="str">
        <f t="shared" si="49"/>
        <v>OPSops.services.ieftcps.chc.access.key</v>
      </c>
      <c r="J611">
        <f>IF(I611="",0,COUNTIF($I$2:I611,I611))</f>
        <v>1</v>
      </c>
      <c r="K611">
        <f>COUNTIF($J$2:J611,1)</f>
        <v>96</v>
      </c>
      <c r="N611">
        <v>1</v>
      </c>
      <c r="O611" t="s">
        <v>81</v>
      </c>
      <c r="P611" t="s">
        <v>210</v>
      </c>
      <c r="Q611" t="s">
        <v>211</v>
      </c>
      <c r="R611" t="s">
        <v>232</v>
      </c>
      <c r="S611" t="s">
        <v>233</v>
      </c>
      <c r="T611" t="s">
        <v>233</v>
      </c>
      <c r="U611" t="s">
        <v>234</v>
      </c>
      <c r="V611" t="s">
        <v>216</v>
      </c>
      <c r="W611" t="s">
        <v>21</v>
      </c>
      <c r="X611" t="s">
        <v>21</v>
      </c>
      <c r="Y611" t="s">
        <v>217</v>
      </c>
      <c r="Z611">
        <v>4940</v>
      </c>
    </row>
    <row r="612" spans="1:26" hidden="1" x14ac:dyDescent="0.25">
      <c r="A612">
        <f>COUNTIF($P$2:P612,P612)</f>
        <v>23</v>
      </c>
      <c r="B612">
        <f>COUNTIF($A$2:A612,1)</f>
        <v>19</v>
      </c>
      <c r="C612" t="str">
        <f t="shared" si="45"/>
        <v>OPS</v>
      </c>
      <c r="D612" t="str">
        <f t="shared" si="46"/>
        <v>OPSParent</v>
      </c>
      <c r="E612">
        <f>COUNTIF($R$2:R612,R612)</f>
        <v>2</v>
      </c>
      <c r="F612">
        <f>COUNTIF($E$2:E612,1)</f>
        <v>31</v>
      </c>
      <c r="G612" t="str">
        <f t="shared" si="47"/>
        <v>ops.services.ieft</v>
      </c>
      <c r="H612" t="str">
        <f t="shared" si="48"/>
        <v>OPSops.services.ieftParent</v>
      </c>
      <c r="I612" t="str">
        <f t="shared" si="49"/>
        <v>OPSops.services.ieftcps.chc.access.key</v>
      </c>
      <c r="J612">
        <f>IF(I612="",0,COUNTIF($I$2:I612,I612))</f>
        <v>2</v>
      </c>
      <c r="K612">
        <f>COUNTIF($J$2:J612,1)</f>
        <v>96</v>
      </c>
      <c r="N612">
        <v>12</v>
      </c>
      <c r="O612" t="s">
        <v>15</v>
      </c>
      <c r="P612" t="s">
        <v>210</v>
      </c>
      <c r="Q612" t="s">
        <v>211</v>
      </c>
      <c r="R612" t="s">
        <v>232</v>
      </c>
      <c r="S612" t="s">
        <v>233</v>
      </c>
      <c r="T612" t="s">
        <v>233</v>
      </c>
      <c r="U612" t="s">
        <v>234</v>
      </c>
      <c r="V612" t="s">
        <v>216</v>
      </c>
      <c r="W612" t="s">
        <v>21</v>
      </c>
      <c r="X612" t="s">
        <v>21</v>
      </c>
      <c r="Y612" t="s">
        <v>217</v>
      </c>
      <c r="Z612">
        <v>4940</v>
      </c>
    </row>
    <row r="613" spans="1:26" hidden="1" x14ac:dyDescent="0.25">
      <c r="A613">
        <f>COUNTIF($P$2:P613,P613)</f>
        <v>24</v>
      </c>
      <c r="B613">
        <f>COUNTIF($A$2:A613,1)</f>
        <v>19</v>
      </c>
      <c r="C613" t="str">
        <f t="shared" si="45"/>
        <v>OPS</v>
      </c>
      <c r="D613" t="str">
        <f t="shared" si="46"/>
        <v>OPSIntegrator</v>
      </c>
      <c r="E613">
        <f>COUNTIF($R$2:R613,R613)</f>
        <v>3</v>
      </c>
      <c r="F613">
        <f>COUNTIF($E$2:E613,1)</f>
        <v>31</v>
      </c>
      <c r="G613" t="str">
        <f t="shared" si="47"/>
        <v>ops.services.ieft</v>
      </c>
      <c r="H613" t="str">
        <f t="shared" si="48"/>
        <v>OPSops.services.ieftIntegrator</v>
      </c>
      <c r="I613" t="str">
        <f t="shared" si="49"/>
        <v>OPSops.services.ieftcps.chc.access.key</v>
      </c>
      <c r="J613">
        <f>IF(I613="",0,COUNTIF($I$2:I613,I613))</f>
        <v>3</v>
      </c>
      <c r="K613">
        <f>COUNTIF($J$2:J613,1)</f>
        <v>96</v>
      </c>
      <c r="N613">
        <v>1</v>
      </c>
      <c r="O613" t="s">
        <v>23</v>
      </c>
      <c r="P613" t="s">
        <v>210</v>
      </c>
      <c r="Q613" t="s">
        <v>211</v>
      </c>
      <c r="R613" t="s">
        <v>232</v>
      </c>
      <c r="S613" t="s">
        <v>233</v>
      </c>
      <c r="T613" t="s">
        <v>233</v>
      </c>
      <c r="U613" t="s">
        <v>234</v>
      </c>
      <c r="V613" t="s">
        <v>216</v>
      </c>
      <c r="W613" t="s">
        <v>21</v>
      </c>
      <c r="X613" t="s">
        <v>21</v>
      </c>
      <c r="Y613" t="s">
        <v>217</v>
      </c>
      <c r="Z613">
        <v>4940</v>
      </c>
    </row>
    <row r="614" spans="1:26" hidden="1" x14ac:dyDescent="0.25">
      <c r="A614">
        <f>COUNTIF($P$2:P614,P614)</f>
        <v>25</v>
      </c>
      <c r="B614">
        <f>COUNTIF($A$2:A614,1)</f>
        <v>19</v>
      </c>
      <c r="C614" t="str">
        <f t="shared" si="45"/>
        <v>OPS</v>
      </c>
      <c r="D614" t="str">
        <f t="shared" si="46"/>
        <v>OPSParent</v>
      </c>
      <c r="E614">
        <f>COUNTIF($R$2:R614,R614)</f>
        <v>4</v>
      </c>
      <c r="F614">
        <f>COUNTIF($E$2:E614,1)</f>
        <v>31</v>
      </c>
      <c r="G614" t="str">
        <f t="shared" si="47"/>
        <v>ops.services.ieft</v>
      </c>
      <c r="H614" t="str">
        <f t="shared" si="48"/>
        <v>OPSops.services.ieftParent</v>
      </c>
      <c r="I614" t="str">
        <f t="shared" si="49"/>
        <v>OPSops.services.ieftcps.chc.profile.id</v>
      </c>
      <c r="J614">
        <f>IF(I614="",0,COUNTIF($I$2:I614,I614))</f>
        <v>1</v>
      </c>
      <c r="K614">
        <f>COUNTIF($J$2:J614,1)</f>
        <v>97</v>
      </c>
      <c r="N614">
        <v>12</v>
      </c>
      <c r="O614" t="s">
        <v>15</v>
      </c>
      <c r="P614" t="s">
        <v>210</v>
      </c>
      <c r="Q614" t="s">
        <v>211</v>
      </c>
      <c r="R614" t="s">
        <v>232</v>
      </c>
      <c r="S614" t="s">
        <v>233</v>
      </c>
      <c r="T614" t="s">
        <v>233</v>
      </c>
      <c r="U614" t="s">
        <v>234</v>
      </c>
      <c r="V614" t="s">
        <v>218</v>
      </c>
      <c r="W614" t="s">
        <v>21</v>
      </c>
      <c r="X614" t="s">
        <v>21</v>
      </c>
      <c r="Y614" t="s">
        <v>219</v>
      </c>
      <c r="Z614">
        <v>4942</v>
      </c>
    </row>
    <row r="615" spans="1:26" hidden="1" x14ac:dyDescent="0.25">
      <c r="A615">
        <f>COUNTIF($P$2:P615,P615)</f>
        <v>26</v>
      </c>
      <c r="B615">
        <f>COUNTIF($A$2:A615,1)</f>
        <v>19</v>
      </c>
      <c r="C615" t="str">
        <f t="shared" si="45"/>
        <v>OPS</v>
      </c>
      <c r="D615" t="str">
        <f t="shared" si="46"/>
        <v>OPSWeb Service</v>
      </c>
      <c r="E615">
        <f>COUNTIF($R$2:R615,R615)</f>
        <v>5</v>
      </c>
      <c r="F615">
        <f>COUNTIF($E$2:E615,1)</f>
        <v>31</v>
      </c>
      <c r="G615" t="str">
        <f t="shared" si="47"/>
        <v>ops.services.ieft</v>
      </c>
      <c r="H615" t="str">
        <f t="shared" si="48"/>
        <v>OPSops.services.ieftWeb Service</v>
      </c>
      <c r="I615" t="str">
        <f t="shared" si="49"/>
        <v>OPSops.services.ieftcps.chc.profile.id</v>
      </c>
      <c r="J615">
        <f>IF(I615="",0,COUNTIF($I$2:I615,I615))</f>
        <v>2</v>
      </c>
      <c r="K615">
        <f>COUNTIF($J$2:J615,1)</f>
        <v>97</v>
      </c>
      <c r="N615">
        <v>1</v>
      </c>
      <c r="O615" t="s">
        <v>81</v>
      </c>
      <c r="P615" t="s">
        <v>210</v>
      </c>
      <c r="Q615" t="s">
        <v>211</v>
      </c>
      <c r="R615" t="s">
        <v>232</v>
      </c>
      <c r="S615" t="s">
        <v>233</v>
      </c>
      <c r="T615" t="s">
        <v>233</v>
      </c>
      <c r="U615" t="s">
        <v>234</v>
      </c>
      <c r="V615" t="s">
        <v>218</v>
      </c>
      <c r="W615" t="s">
        <v>21</v>
      </c>
      <c r="X615" t="s">
        <v>21</v>
      </c>
      <c r="Y615" t="s">
        <v>219</v>
      </c>
      <c r="Z615">
        <v>4942</v>
      </c>
    </row>
    <row r="616" spans="1:26" hidden="1" x14ac:dyDescent="0.25">
      <c r="A616">
        <f>COUNTIF($P$2:P616,P616)</f>
        <v>27</v>
      </c>
      <c r="B616">
        <f>COUNTIF($A$2:A616,1)</f>
        <v>19</v>
      </c>
      <c r="C616" t="str">
        <f t="shared" si="45"/>
        <v>OPS</v>
      </c>
      <c r="D616" t="str">
        <f t="shared" si="46"/>
        <v>OPSIntegrator</v>
      </c>
      <c r="E616">
        <f>COUNTIF($R$2:R616,R616)</f>
        <v>6</v>
      </c>
      <c r="F616">
        <f>COUNTIF($E$2:E616,1)</f>
        <v>31</v>
      </c>
      <c r="G616" t="str">
        <f t="shared" si="47"/>
        <v>ops.services.ieft</v>
      </c>
      <c r="H616" t="str">
        <f t="shared" si="48"/>
        <v>OPSops.services.ieftIntegrator</v>
      </c>
      <c r="I616" t="str">
        <f t="shared" si="49"/>
        <v>OPSops.services.ieftcps.chc.profile.id</v>
      </c>
      <c r="J616">
        <f>IF(I616="",0,COUNTIF($I$2:I616,I616))</f>
        <v>3</v>
      </c>
      <c r="K616">
        <f>COUNTIF($J$2:J616,1)</f>
        <v>97</v>
      </c>
      <c r="N616">
        <v>1</v>
      </c>
      <c r="O616" t="s">
        <v>23</v>
      </c>
      <c r="P616" t="s">
        <v>210</v>
      </c>
      <c r="Q616" t="s">
        <v>211</v>
      </c>
      <c r="R616" t="s">
        <v>232</v>
      </c>
      <c r="S616" t="s">
        <v>233</v>
      </c>
      <c r="T616" t="s">
        <v>233</v>
      </c>
      <c r="U616" t="s">
        <v>234</v>
      </c>
      <c r="V616" t="s">
        <v>218</v>
      </c>
      <c r="W616" t="s">
        <v>21</v>
      </c>
      <c r="X616" t="s">
        <v>21</v>
      </c>
      <c r="Y616" t="s">
        <v>219</v>
      </c>
      <c r="Z616">
        <v>4942</v>
      </c>
    </row>
    <row r="617" spans="1:26" hidden="1" x14ac:dyDescent="0.25">
      <c r="A617">
        <f>COUNTIF($P$2:P617,P617)</f>
        <v>28</v>
      </c>
      <c r="B617">
        <f>COUNTIF($A$2:A617,1)</f>
        <v>19</v>
      </c>
      <c r="C617" t="str">
        <f t="shared" si="45"/>
        <v>OPS</v>
      </c>
      <c r="D617" t="str">
        <f t="shared" si="46"/>
        <v>OPSParent</v>
      </c>
      <c r="E617">
        <f>COUNTIF($R$2:R617,R617)</f>
        <v>7</v>
      </c>
      <c r="F617">
        <f>COUNTIF($E$2:E617,1)</f>
        <v>31</v>
      </c>
      <c r="G617" t="str">
        <f t="shared" si="47"/>
        <v>ops.services.ieft</v>
      </c>
      <c r="H617" t="str">
        <f t="shared" si="48"/>
        <v>OPSops.services.ieftParent</v>
      </c>
      <c r="I617" t="str">
        <f t="shared" si="49"/>
        <v>OPSops.services.ieftcps.chc.secret.key</v>
      </c>
      <c r="J617">
        <f>IF(I617="",0,COUNTIF($I$2:I617,I617))</f>
        <v>1</v>
      </c>
      <c r="K617">
        <f>COUNTIF($J$2:J617,1)</f>
        <v>98</v>
      </c>
      <c r="N617">
        <v>12</v>
      </c>
      <c r="O617" t="s">
        <v>15</v>
      </c>
      <c r="P617" t="s">
        <v>210</v>
      </c>
      <c r="Q617" t="s">
        <v>211</v>
      </c>
      <c r="R617" t="s">
        <v>232</v>
      </c>
      <c r="S617" t="s">
        <v>233</v>
      </c>
      <c r="T617" t="s">
        <v>233</v>
      </c>
      <c r="U617" t="s">
        <v>234</v>
      </c>
      <c r="V617" t="s">
        <v>220</v>
      </c>
      <c r="W617" t="s">
        <v>21</v>
      </c>
      <c r="X617" t="s">
        <v>21</v>
      </c>
      <c r="Y617" t="s">
        <v>221</v>
      </c>
      <c r="Z617">
        <v>4941</v>
      </c>
    </row>
    <row r="618" spans="1:26" hidden="1" x14ac:dyDescent="0.25">
      <c r="A618">
        <f>COUNTIF($P$2:P618,P618)</f>
        <v>29</v>
      </c>
      <c r="B618">
        <f>COUNTIF($A$2:A618,1)</f>
        <v>19</v>
      </c>
      <c r="C618" t="str">
        <f t="shared" si="45"/>
        <v>OPS</v>
      </c>
      <c r="D618" t="str">
        <f t="shared" si="46"/>
        <v>OPSWeb Service</v>
      </c>
      <c r="E618">
        <f>COUNTIF($R$2:R618,R618)</f>
        <v>8</v>
      </c>
      <c r="F618">
        <f>COUNTIF($E$2:E618,1)</f>
        <v>31</v>
      </c>
      <c r="G618" t="str">
        <f t="shared" si="47"/>
        <v>ops.services.ieft</v>
      </c>
      <c r="H618" t="str">
        <f t="shared" si="48"/>
        <v>OPSops.services.ieftWeb Service</v>
      </c>
      <c r="I618" t="str">
        <f t="shared" si="49"/>
        <v>OPSops.services.ieftcps.chc.secret.key</v>
      </c>
      <c r="J618">
        <f>IF(I618="",0,COUNTIF($I$2:I618,I618))</f>
        <v>2</v>
      </c>
      <c r="K618">
        <f>COUNTIF($J$2:J618,1)</f>
        <v>98</v>
      </c>
      <c r="N618">
        <v>1</v>
      </c>
      <c r="O618" t="s">
        <v>81</v>
      </c>
      <c r="P618" t="s">
        <v>210</v>
      </c>
      <c r="Q618" t="s">
        <v>211</v>
      </c>
      <c r="R618" t="s">
        <v>232</v>
      </c>
      <c r="S618" t="s">
        <v>233</v>
      </c>
      <c r="T618" t="s">
        <v>233</v>
      </c>
      <c r="U618" t="s">
        <v>234</v>
      </c>
      <c r="V618" t="s">
        <v>220</v>
      </c>
      <c r="W618" t="s">
        <v>21</v>
      </c>
      <c r="X618" t="s">
        <v>21</v>
      </c>
      <c r="Y618" t="s">
        <v>221</v>
      </c>
      <c r="Z618">
        <v>4941</v>
      </c>
    </row>
    <row r="619" spans="1:26" hidden="1" x14ac:dyDescent="0.25">
      <c r="A619">
        <f>COUNTIF($P$2:P619,P619)</f>
        <v>30</v>
      </c>
      <c r="B619">
        <f>COUNTIF($A$2:A619,1)</f>
        <v>19</v>
      </c>
      <c r="C619" t="str">
        <f t="shared" si="45"/>
        <v>OPS</v>
      </c>
      <c r="D619" t="str">
        <f t="shared" si="46"/>
        <v>OPSIntegrator</v>
      </c>
      <c r="E619">
        <f>COUNTIF($R$2:R619,R619)</f>
        <v>9</v>
      </c>
      <c r="F619">
        <f>COUNTIF($E$2:E619,1)</f>
        <v>31</v>
      </c>
      <c r="G619" t="str">
        <f t="shared" si="47"/>
        <v>ops.services.ieft</v>
      </c>
      <c r="H619" t="str">
        <f t="shared" si="48"/>
        <v>OPSops.services.ieftIntegrator</v>
      </c>
      <c r="I619" t="str">
        <f t="shared" si="49"/>
        <v>OPSops.services.ieftcps.chc.secret.key</v>
      </c>
      <c r="J619">
        <f>IF(I619="",0,COUNTIF($I$2:I619,I619))</f>
        <v>3</v>
      </c>
      <c r="K619">
        <f>COUNTIF($J$2:J619,1)</f>
        <v>98</v>
      </c>
      <c r="N619">
        <v>1</v>
      </c>
      <c r="O619" t="s">
        <v>23</v>
      </c>
      <c r="P619" t="s">
        <v>210</v>
      </c>
      <c r="Q619" t="s">
        <v>211</v>
      </c>
      <c r="R619" t="s">
        <v>232</v>
      </c>
      <c r="S619" t="s">
        <v>233</v>
      </c>
      <c r="T619" t="s">
        <v>233</v>
      </c>
      <c r="U619" t="s">
        <v>234</v>
      </c>
      <c r="V619" t="s">
        <v>220</v>
      </c>
      <c r="W619" t="s">
        <v>21</v>
      </c>
      <c r="X619" t="s">
        <v>21</v>
      </c>
      <c r="Y619" t="s">
        <v>221</v>
      </c>
      <c r="Z619">
        <v>4941</v>
      </c>
    </row>
    <row r="620" spans="1:26" hidden="1" x14ac:dyDescent="0.25">
      <c r="A620">
        <f>COUNTIF($P$2:P620,P620)</f>
        <v>31</v>
      </c>
      <c r="B620">
        <f>COUNTIF($A$2:A620,1)</f>
        <v>19</v>
      </c>
      <c r="C620" t="str">
        <f t="shared" si="45"/>
        <v>OPS</v>
      </c>
      <c r="D620" t="str">
        <f t="shared" si="46"/>
        <v>OPSParent</v>
      </c>
      <c r="E620">
        <f>COUNTIF($R$2:R620,R620)</f>
        <v>10</v>
      </c>
      <c r="F620">
        <f>COUNTIF($E$2:E620,1)</f>
        <v>31</v>
      </c>
      <c r="G620" t="str">
        <f t="shared" si="47"/>
        <v>ops.services.ieft</v>
      </c>
      <c r="H620" t="str">
        <f t="shared" si="48"/>
        <v>OPSops.services.ieftParent</v>
      </c>
      <c r="I620" t="str">
        <f t="shared" si="49"/>
        <v>OPSops.services.ieftops.ieft.ozow.sitecode</v>
      </c>
      <c r="J620">
        <f>IF(I620="",0,COUNTIF($I$2:I620,I620))</f>
        <v>1</v>
      </c>
      <c r="K620">
        <f>COUNTIF($J$2:J620,1)</f>
        <v>99</v>
      </c>
      <c r="N620">
        <v>1</v>
      </c>
      <c r="O620" t="s">
        <v>15</v>
      </c>
      <c r="P620" t="s">
        <v>210</v>
      </c>
      <c r="Q620" t="s">
        <v>211</v>
      </c>
      <c r="R620" t="s">
        <v>232</v>
      </c>
      <c r="S620" t="s">
        <v>233</v>
      </c>
      <c r="T620" t="s">
        <v>233</v>
      </c>
      <c r="U620" t="s">
        <v>234</v>
      </c>
      <c r="V620" t="s">
        <v>235</v>
      </c>
      <c r="W620" t="s">
        <v>22</v>
      </c>
      <c r="X620" t="s">
        <v>22</v>
      </c>
      <c r="Y620" t="s">
        <v>236</v>
      </c>
      <c r="Z620">
        <v>1</v>
      </c>
    </row>
    <row r="621" spans="1:26" hidden="1" x14ac:dyDescent="0.25">
      <c r="A621">
        <f>COUNTIF($P$2:P621,P621)</f>
        <v>32</v>
      </c>
      <c r="B621">
        <f>COUNTIF($A$2:A621,1)</f>
        <v>19</v>
      </c>
      <c r="C621" t="str">
        <f t="shared" si="45"/>
        <v>OPS</v>
      </c>
      <c r="D621" t="str">
        <f t="shared" si="46"/>
        <v>OPSParent</v>
      </c>
      <c r="E621">
        <f>COUNTIF($R$2:R621,R621)</f>
        <v>11</v>
      </c>
      <c r="F621">
        <f>COUNTIF($E$2:E621,1)</f>
        <v>31</v>
      </c>
      <c r="G621" t="str">
        <f t="shared" si="47"/>
        <v>ops.services.ieft</v>
      </c>
      <c r="H621" t="str">
        <f t="shared" si="48"/>
        <v>OPSops.services.ieftParent</v>
      </c>
      <c r="I621" t="str">
        <f t="shared" si="49"/>
        <v>OPSops.services.ieftops.ieft.sms.footer</v>
      </c>
      <c r="J621">
        <f>IF(I621="",0,COUNTIF($I$2:I621,I621))</f>
        <v>1</v>
      </c>
      <c r="K621">
        <f>COUNTIF($J$2:J621,1)</f>
        <v>100</v>
      </c>
      <c r="N621">
        <v>1</v>
      </c>
      <c r="O621" t="s">
        <v>15</v>
      </c>
      <c r="P621" t="s">
        <v>210</v>
      </c>
      <c r="Q621" t="s">
        <v>211</v>
      </c>
      <c r="R621" t="s">
        <v>232</v>
      </c>
      <c r="S621" t="s">
        <v>233</v>
      </c>
      <c r="T621" t="s">
        <v>233</v>
      </c>
      <c r="U621" t="s">
        <v>234</v>
      </c>
      <c r="V621" t="s">
        <v>237</v>
      </c>
      <c r="W621" t="s">
        <v>22</v>
      </c>
      <c r="X621" t="s">
        <v>22</v>
      </c>
      <c r="Y621" t="s">
        <v>238</v>
      </c>
      <c r="Z621">
        <v>35</v>
      </c>
    </row>
    <row r="622" spans="1:26" hidden="1" x14ac:dyDescent="0.25">
      <c r="A622">
        <f>COUNTIF($P$2:P622,P622)</f>
        <v>33</v>
      </c>
      <c r="B622">
        <f>COUNTIF($A$2:A622,1)</f>
        <v>19</v>
      </c>
      <c r="C622" t="str">
        <f t="shared" si="45"/>
        <v>OPS</v>
      </c>
      <c r="D622" t="str">
        <f t="shared" si="46"/>
        <v>OPSParent</v>
      </c>
      <c r="E622">
        <f>COUNTIF($R$2:R622,R622)</f>
        <v>12</v>
      </c>
      <c r="F622">
        <f>COUNTIF($E$2:E622,1)</f>
        <v>31</v>
      </c>
      <c r="G622" t="str">
        <f t="shared" si="47"/>
        <v>ops.services.ieft</v>
      </c>
      <c r="H622" t="str">
        <f t="shared" si="48"/>
        <v>OPSops.services.ieftParent</v>
      </c>
      <c r="I622" t="str">
        <f t="shared" si="49"/>
        <v>OPSops.services.ieftops.ieft.sms.header</v>
      </c>
      <c r="J622">
        <f>IF(I622="",0,COUNTIF($I$2:I622,I622))</f>
        <v>1</v>
      </c>
      <c r="K622">
        <f>COUNTIF($J$2:J622,1)</f>
        <v>101</v>
      </c>
      <c r="N622">
        <v>1</v>
      </c>
      <c r="O622" t="s">
        <v>15</v>
      </c>
      <c r="P622" t="s">
        <v>210</v>
      </c>
      <c r="Q622" t="s">
        <v>211</v>
      </c>
      <c r="R622" t="s">
        <v>232</v>
      </c>
      <c r="S622" t="s">
        <v>233</v>
      </c>
      <c r="T622" t="s">
        <v>233</v>
      </c>
      <c r="U622" t="s">
        <v>234</v>
      </c>
      <c r="V622" t="s">
        <v>239</v>
      </c>
      <c r="W622" t="s">
        <v>22</v>
      </c>
      <c r="X622" t="s">
        <v>22</v>
      </c>
      <c r="Y622" t="s">
        <v>240</v>
      </c>
      <c r="Z622">
        <v>34</v>
      </c>
    </row>
    <row r="623" spans="1:26" hidden="1" x14ac:dyDescent="0.25">
      <c r="A623">
        <f>COUNTIF($P$2:P623,P623)</f>
        <v>34</v>
      </c>
      <c r="B623">
        <f>COUNTIF($A$2:A623,1)</f>
        <v>19</v>
      </c>
      <c r="C623" t="str">
        <f t="shared" si="45"/>
        <v>OPS</v>
      </c>
      <c r="D623" t="str">
        <f t="shared" si="46"/>
        <v>OPSWeb Service</v>
      </c>
      <c r="E623">
        <f>COUNTIF($R$2:R623,R623)</f>
        <v>13</v>
      </c>
      <c r="F623">
        <f>COUNTIF($E$2:E623,1)</f>
        <v>31</v>
      </c>
      <c r="G623" t="str">
        <f t="shared" si="47"/>
        <v>ops.services.ieft</v>
      </c>
      <c r="H623" t="str">
        <f t="shared" si="48"/>
        <v>OPSops.services.ieftWeb Service</v>
      </c>
      <c r="I623" t="str">
        <f t="shared" si="49"/>
        <v>OPSops.services.ieftops.logo</v>
      </c>
      <c r="J623">
        <f>IF(I623="",0,COUNTIF($I$2:I623,I623))</f>
        <v>1</v>
      </c>
      <c r="K623">
        <f>COUNTIF($J$2:J623,1)</f>
        <v>102</v>
      </c>
      <c r="N623">
        <v>1</v>
      </c>
      <c r="O623" t="s">
        <v>81</v>
      </c>
      <c r="P623" t="s">
        <v>210</v>
      </c>
      <c r="Q623" t="s">
        <v>211</v>
      </c>
      <c r="R623" t="s">
        <v>232</v>
      </c>
      <c r="S623" t="s">
        <v>233</v>
      </c>
      <c r="T623" t="s">
        <v>233</v>
      </c>
      <c r="U623" t="s">
        <v>234</v>
      </c>
      <c r="V623" t="s">
        <v>222</v>
      </c>
      <c r="W623" t="s">
        <v>21</v>
      </c>
      <c r="X623" t="s">
        <v>21</v>
      </c>
      <c r="Y623" t="s">
        <v>231</v>
      </c>
      <c r="Z623">
        <v>2536</v>
      </c>
    </row>
    <row r="624" spans="1:26" hidden="1" x14ac:dyDescent="0.25">
      <c r="A624">
        <f>COUNTIF($P$2:P624,P624)</f>
        <v>35</v>
      </c>
      <c r="B624">
        <f>COUNTIF($A$2:A624,1)</f>
        <v>19</v>
      </c>
      <c r="C624" t="str">
        <f t="shared" si="45"/>
        <v>OPS</v>
      </c>
      <c r="D624" t="str">
        <f t="shared" si="46"/>
        <v>OPSIntegrator</v>
      </c>
      <c r="E624">
        <f>COUNTIF($R$2:R624,R624)</f>
        <v>14</v>
      </c>
      <c r="F624">
        <f>COUNTIF($E$2:E624,1)</f>
        <v>31</v>
      </c>
      <c r="G624" t="str">
        <f t="shared" si="47"/>
        <v>ops.services.ieft</v>
      </c>
      <c r="H624" t="str">
        <f t="shared" si="48"/>
        <v>OPSops.services.ieftIntegrator</v>
      </c>
      <c r="I624" t="str">
        <f t="shared" si="49"/>
        <v/>
      </c>
      <c r="J624">
        <f>IF(I624="",0,COUNTIF($I$2:I624,I624))</f>
        <v>0</v>
      </c>
      <c r="K624">
        <f>COUNTIF($J$2:J624,1)</f>
        <v>102</v>
      </c>
      <c r="N624">
        <v>8</v>
      </c>
      <c r="O624" t="s">
        <v>23</v>
      </c>
      <c r="P624" t="s">
        <v>210</v>
      </c>
      <c r="Q624" t="s">
        <v>211</v>
      </c>
      <c r="R624" t="s">
        <v>232</v>
      </c>
      <c r="S624" t="s">
        <v>233</v>
      </c>
      <c r="T624" t="s">
        <v>233</v>
      </c>
      <c r="U624" t="s">
        <v>234</v>
      </c>
      <c r="W624" t="s">
        <v>22</v>
      </c>
    </row>
    <row r="625" spans="1:26" hidden="1" x14ac:dyDescent="0.25">
      <c r="A625">
        <f>COUNTIF($P$2:P625,P625)</f>
        <v>36</v>
      </c>
      <c r="B625">
        <f>COUNTIF($A$2:A625,1)</f>
        <v>19</v>
      </c>
      <c r="C625" t="str">
        <f t="shared" si="45"/>
        <v>OPS</v>
      </c>
      <c r="D625" t="str">
        <f t="shared" si="46"/>
        <v>OPSIntegrator</v>
      </c>
      <c r="E625">
        <f>COUNTIF($R$2:R625,R625)</f>
        <v>15</v>
      </c>
      <c r="F625">
        <f>COUNTIF($E$2:E625,1)</f>
        <v>31</v>
      </c>
      <c r="G625" t="str">
        <f t="shared" si="47"/>
        <v>ops.services.ieft</v>
      </c>
      <c r="H625" t="str">
        <f t="shared" si="48"/>
        <v>OPSops.services.ieftIntegrator</v>
      </c>
      <c r="I625" t="str">
        <f t="shared" si="49"/>
        <v/>
      </c>
      <c r="J625">
        <f>IF(I625="",0,COUNTIF($I$2:I625,I625))</f>
        <v>0</v>
      </c>
      <c r="K625">
        <f>COUNTIF($J$2:J625,1)</f>
        <v>102</v>
      </c>
      <c r="N625">
        <v>10</v>
      </c>
      <c r="O625" t="s">
        <v>23</v>
      </c>
      <c r="P625" t="s">
        <v>210</v>
      </c>
      <c r="Q625" t="s">
        <v>211</v>
      </c>
      <c r="R625" t="s">
        <v>232</v>
      </c>
      <c r="S625" t="s">
        <v>233</v>
      </c>
      <c r="T625" t="s">
        <v>233</v>
      </c>
      <c r="U625" t="s">
        <v>234</v>
      </c>
      <c r="W625" t="s">
        <v>21</v>
      </c>
    </row>
    <row r="626" spans="1:26" hidden="1" x14ac:dyDescent="0.25">
      <c r="A626">
        <f>COUNTIF($P$2:P626,P626)</f>
        <v>37</v>
      </c>
      <c r="B626">
        <f>COUNTIF($A$2:A626,1)</f>
        <v>19</v>
      </c>
      <c r="C626" t="str">
        <f t="shared" si="45"/>
        <v>OPS</v>
      </c>
      <c r="D626" t="str">
        <f t="shared" si="46"/>
        <v>OPSParent</v>
      </c>
      <c r="E626">
        <f>COUNTIF($R$2:R626,R626)</f>
        <v>16</v>
      </c>
      <c r="F626">
        <f>COUNTIF($E$2:E626,1)</f>
        <v>31</v>
      </c>
      <c r="G626" t="str">
        <f t="shared" si="47"/>
        <v>ops.services.ieft</v>
      </c>
      <c r="H626" t="str">
        <f t="shared" si="48"/>
        <v>OPSops.services.ieftParent</v>
      </c>
      <c r="I626" t="str">
        <f t="shared" si="49"/>
        <v/>
      </c>
      <c r="J626">
        <f>IF(I626="",0,COUNTIF($I$2:I626,I626))</f>
        <v>0</v>
      </c>
      <c r="K626">
        <f>COUNTIF($J$2:J626,1)</f>
        <v>102</v>
      </c>
      <c r="N626">
        <v>10</v>
      </c>
      <c r="O626" t="s">
        <v>15</v>
      </c>
      <c r="P626" t="s">
        <v>210</v>
      </c>
      <c r="Q626" t="s">
        <v>211</v>
      </c>
      <c r="R626" t="s">
        <v>232</v>
      </c>
      <c r="S626" t="s">
        <v>233</v>
      </c>
      <c r="T626" t="s">
        <v>233</v>
      </c>
      <c r="U626" t="s">
        <v>234</v>
      </c>
      <c r="W626" t="s">
        <v>21</v>
      </c>
    </row>
    <row r="627" spans="1:26" hidden="1" x14ac:dyDescent="0.25">
      <c r="A627">
        <f>COUNTIF($P$2:P627,P627)</f>
        <v>38</v>
      </c>
      <c r="B627">
        <f>COUNTIF($A$2:A627,1)</f>
        <v>19</v>
      </c>
      <c r="C627" t="str">
        <f t="shared" si="45"/>
        <v>OPS</v>
      </c>
      <c r="D627" t="str">
        <f t="shared" si="46"/>
        <v>OPSParent</v>
      </c>
      <c r="E627">
        <f>COUNTIF($R$2:R627,R627)</f>
        <v>17</v>
      </c>
      <c r="F627">
        <f>COUNTIF($E$2:E627,1)</f>
        <v>31</v>
      </c>
      <c r="G627" t="str">
        <f t="shared" si="47"/>
        <v>ops.services.ieft</v>
      </c>
      <c r="H627" t="str">
        <f t="shared" si="48"/>
        <v>OPSops.services.ieftParent</v>
      </c>
      <c r="I627" t="str">
        <f t="shared" si="49"/>
        <v/>
      </c>
      <c r="J627">
        <f>IF(I627="",0,COUNTIF($I$2:I627,I627))</f>
        <v>0</v>
      </c>
      <c r="K627">
        <f>COUNTIF($J$2:J627,1)</f>
        <v>102</v>
      </c>
      <c r="N627">
        <v>8</v>
      </c>
      <c r="O627" t="s">
        <v>15</v>
      </c>
      <c r="P627" t="s">
        <v>210</v>
      </c>
      <c r="Q627" t="s">
        <v>211</v>
      </c>
      <c r="R627" t="s">
        <v>232</v>
      </c>
      <c r="S627" t="s">
        <v>233</v>
      </c>
      <c r="T627" t="s">
        <v>233</v>
      </c>
      <c r="U627" t="s">
        <v>234</v>
      </c>
      <c r="W627" t="s">
        <v>22</v>
      </c>
    </row>
    <row r="628" spans="1:26" hidden="1" x14ac:dyDescent="0.25">
      <c r="A628">
        <f>COUNTIF($P$2:P628,P628)</f>
        <v>39</v>
      </c>
      <c r="B628">
        <f>COUNTIF($A$2:A628,1)</f>
        <v>19</v>
      </c>
      <c r="C628" t="str">
        <f t="shared" si="45"/>
        <v>OPS</v>
      </c>
      <c r="D628" t="str">
        <f t="shared" si="46"/>
        <v>OPSDevice</v>
      </c>
      <c r="E628">
        <f>COUNTIF($R$2:R628,R628)</f>
        <v>18</v>
      </c>
      <c r="F628">
        <f>COUNTIF($E$2:E628,1)</f>
        <v>31</v>
      </c>
      <c r="G628" t="str">
        <f t="shared" si="47"/>
        <v>ops.services.ieft</v>
      </c>
      <c r="H628" t="str">
        <f t="shared" si="48"/>
        <v>OPSops.services.ieftDevice</v>
      </c>
      <c r="I628" t="str">
        <f t="shared" si="49"/>
        <v/>
      </c>
      <c r="J628">
        <f>IF(I628="",0,COUNTIF($I$2:I628,I628))</f>
        <v>0</v>
      </c>
      <c r="K628">
        <f>COUNTIF($J$2:J628,1)</f>
        <v>102</v>
      </c>
      <c r="N628">
        <v>1</v>
      </c>
      <c r="O628" t="s">
        <v>31</v>
      </c>
      <c r="P628" t="s">
        <v>210</v>
      </c>
      <c r="Q628" t="s">
        <v>211</v>
      </c>
      <c r="R628" t="s">
        <v>232</v>
      </c>
      <c r="S628" t="s">
        <v>233</v>
      </c>
      <c r="T628" t="s">
        <v>233</v>
      </c>
      <c r="U628" t="s">
        <v>234</v>
      </c>
      <c r="W628" t="s">
        <v>21</v>
      </c>
    </row>
    <row r="629" spans="1:26" hidden="1" x14ac:dyDescent="0.25">
      <c r="A629">
        <f>COUNTIF($P$2:P629,P629)</f>
        <v>1</v>
      </c>
      <c r="B629">
        <f>COUNTIF($A$2:A629,1)</f>
        <v>20</v>
      </c>
      <c r="C629" t="str">
        <f t="shared" si="45"/>
        <v>PUI</v>
      </c>
      <c r="D629" t="str">
        <f t="shared" si="46"/>
        <v>PUIParent</v>
      </c>
      <c r="E629">
        <f>COUNTIF($R$2:R629,R629)</f>
        <v>1</v>
      </c>
      <c r="F629">
        <f>COUNTIF($E$2:E629,1)</f>
        <v>32</v>
      </c>
      <c r="G629" t="str">
        <f t="shared" si="47"/>
        <v>pui.services.entity</v>
      </c>
      <c r="H629" t="str">
        <f t="shared" si="48"/>
        <v>PUIpui.services.entityParent</v>
      </c>
      <c r="I629" t="str">
        <f t="shared" si="49"/>
        <v>PUIpui.services.entitypui.logo</v>
      </c>
      <c r="J629">
        <f>IF(I629="",0,COUNTIF($I$2:I629,I629))</f>
        <v>1</v>
      </c>
      <c r="K629">
        <f>COUNTIF($J$2:J629,1)</f>
        <v>103</v>
      </c>
      <c r="N629">
        <v>8</v>
      </c>
      <c r="O629" t="s">
        <v>15</v>
      </c>
      <c r="P629" t="s">
        <v>241</v>
      </c>
      <c r="Q629" t="s">
        <v>242</v>
      </c>
      <c r="R629" t="s">
        <v>243</v>
      </c>
      <c r="S629" t="s">
        <v>244</v>
      </c>
      <c r="T629" t="s">
        <v>245</v>
      </c>
      <c r="U629" t="s">
        <v>246</v>
      </c>
      <c r="V629" t="s">
        <v>247</v>
      </c>
      <c r="W629" t="s">
        <v>22</v>
      </c>
      <c r="X629" t="s">
        <v>22</v>
      </c>
      <c r="Y629" t="s">
        <v>248</v>
      </c>
      <c r="Z629">
        <v>1751</v>
      </c>
    </row>
    <row r="630" spans="1:26" hidden="1" x14ac:dyDescent="0.25">
      <c r="A630">
        <f>COUNTIF($P$2:P630,P630)</f>
        <v>2</v>
      </c>
      <c r="B630">
        <f>COUNTIF($A$2:A630,1)</f>
        <v>20</v>
      </c>
      <c r="C630" t="str">
        <f t="shared" si="45"/>
        <v>PUI</v>
      </c>
      <c r="D630" t="str">
        <f t="shared" si="46"/>
        <v>PUIIntegrator</v>
      </c>
      <c r="E630">
        <f>COUNTIF($R$2:R630,R630)</f>
        <v>2</v>
      </c>
      <c r="F630">
        <f>COUNTIF($E$2:E630,1)</f>
        <v>32</v>
      </c>
      <c r="G630" t="str">
        <f t="shared" si="47"/>
        <v>pui.services.entity</v>
      </c>
      <c r="H630" t="str">
        <f t="shared" si="48"/>
        <v>PUIpui.services.entityIntegrator</v>
      </c>
      <c r="I630" t="str">
        <f t="shared" si="49"/>
        <v>PUIpui.services.entitypui.logo</v>
      </c>
      <c r="J630">
        <f>IF(I630="",0,COUNTIF($I$2:I630,I630))</f>
        <v>2</v>
      </c>
      <c r="K630">
        <f>COUNTIF($J$2:J630,1)</f>
        <v>103</v>
      </c>
      <c r="N630">
        <v>1</v>
      </c>
      <c r="O630" t="s">
        <v>23</v>
      </c>
      <c r="P630" t="s">
        <v>241</v>
      </c>
      <c r="Q630" t="s">
        <v>242</v>
      </c>
      <c r="R630" t="s">
        <v>243</v>
      </c>
      <c r="S630" t="s">
        <v>244</v>
      </c>
      <c r="T630" t="s">
        <v>245</v>
      </c>
      <c r="U630" t="s">
        <v>246</v>
      </c>
      <c r="V630" t="s">
        <v>247</v>
      </c>
      <c r="W630" t="s">
        <v>22</v>
      </c>
      <c r="X630" t="s">
        <v>22</v>
      </c>
      <c r="Y630" t="s">
        <v>248</v>
      </c>
      <c r="Z630">
        <v>1751</v>
      </c>
    </row>
    <row r="631" spans="1:26" hidden="1" x14ac:dyDescent="0.25">
      <c r="A631">
        <f>COUNTIF($P$2:P631,P631)</f>
        <v>3</v>
      </c>
      <c r="B631">
        <f>COUNTIF($A$2:A631,1)</f>
        <v>20</v>
      </c>
      <c r="C631" t="str">
        <f t="shared" si="45"/>
        <v>PUI</v>
      </c>
      <c r="D631" t="str">
        <f t="shared" si="46"/>
        <v>PUIDevice</v>
      </c>
      <c r="E631">
        <f>COUNTIF($R$2:R631,R631)</f>
        <v>3</v>
      </c>
      <c r="F631">
        <f>COUNTIF($E$2:E631,1)</f>
        <v>32</v>
      </c>
      <c r="G631" t="str">
        <f t="shared" si="47"/>
        <v>pui.services.entity</v>
      </c>
      <c r="H631" t="str">
        <f t="shared" si="48"/>
        <v>PUIpui.services.entityDevice</v>
      </c>
      <c r="I631" t="str">
        <f t="shared" si="49"/>
        <v>PUIpui.services.entitypui.logo</v>
      </c>
      <c r="J631">
        <f>IF(I631="",0,COUNTIF($I$2:I631,I631))</f>
        <v>3</v>
      </c>
      <c r="K631">
        <f>COUNTIF($J$2:J631,1)</f>
        <v>103</v>
      </c>
      <c r="N631">
        <v>6</v>
      </c>
      <c r="O631" t="s">
        <v>31</v>
      </c>
      <c r="P631" t="s">
        <v>241</v>
      </c>
      <c r="Q631" t="s">
        <v>242</v>
      </c>
      <c r="R631" t="s">
        <v>243</v>
      </c>
      <c r="S631" t="s">
        <v>244</v>
      </c>
      <c r="T631" t="s">
        <v>245</v>
      </c>
      <c r="U631" t="s">
        <v>246</v>
      </c>
      <c r="V631" t="s">
        <v>247</v>
      </c>
      <c r="W631" t="s">
        <v>22</v>
      </c>
      <c r="X631" t="s">
        <v>22</v>
      </c>
      <c r="Y631" t="s">
        <v>248</v>
      </c>
      <c r="Z631">
        <v>1751</v>
      </c>
    </row>
    <row r="632" spans="1:26" hidden="1" x14ac:dyDescent="0.25">
      <c r="A632">
        <f>COUNTIF($P$2:P632,P632)</f>
        <v>4</v>
      </c>
      <c r="B632">
        <f>COUNTIF($A$2:A632,1)</f>
        <v>20</v>
      </c>
      <c r="C632" t="str">
        <f t="shared" si="45"/>
        <v>PUI</v>
      </c>
      <c r="D632" t="str">
        <f t="shared" si="46"/>
        <v>PUIDevice</v>
      </c>
      <c r="E632">
        <f>COUNTIF($R$2:R632,R632)</f>
        <v>4</v>
      </c>
      <c r="F632">
        <f>COUNTIF($E$2:E632,1)</f>
        <v>32</v>
      </c>
      <c r="G632" t="str">
        <f t="shared" si="47"/>
        <v>pui.services.entity</v>
      </c>
      <c r="H632" t="str">
        <f t="shared" si="48"/>
        <v>PUIpui.services.entityDevice</v>
      </c>
      <c r="I632" t="str">
        <f t="shared" si="49"/>
        <v>PUIpui.services.entitypui.track.request</v>
      </c>
      <c r="J632">
        <f>IF(I632="",0,COUNTIF($I$2:I632,I632))</f>
        <v>1</v>
      </c>
      <c r="K632">
        <f>COUNTIF($J$2:J632,1)</f>
        <v>104</v>
      </c>
      <c r="N632">
        <v>34</v>
      </c>
      <c r="O632" t="s">
        <v>31</v>
      </c>
      <c r="P632" t="s">
        <v>241</v>
      </c>
      <c r="Q632" t="s">
        <v>242</v>
      </c>
      <c r="R632" t="s">
        <v>243</v>
      </c>
      <c r="S632" t="s">
        <v>244</v>
      </c>
      <c r="T632" t="s">
        <v>245</v>
      </c>
      <c r="U632" t="s">
        <v>246</v>
      </c>
      <c r="V632" t="s">
        <v>249</v>
      </c>
      <c r="W632" t="s">
        <v>21</v>
      </c>
      <c r="X632" t="s">
        <v>21</v>
      </c>
      <c r="Y632" t="b">
        <v>1</v>
      </c>
      <c r="Z632">
        <v>5044</v>
      </c>
    </row>
    <row r="633" spans="1:26" hidden="1" x14ac:dyDescent="0.25">
      <c r="A633">
        <f>COUNTIF($P$2:P633,P633)</f>
        <v>5</v>
      </c>
      <c r="B633">
        <f>COUNTIF($A$2:A633,1)</f>
        <v>20</v>
      </c>
      <c r="C633" t="str">
        <f t="shared" si="45"/>
        <v>PUI</v>
      </c>
      <c r="D633" t="str">
        <f t="shared" si="46"/>
        <v>PUIDevice</v>
      </c>
      <c r="E633">
        <f>COUNTIF($R$2:R633,R633)</f>
        <v>5</v>
      </c>
      <c r="F633">
        <f>COUNTIF($E$2:E633,1)</f>
        <v>32</v>
      </c>
      <c r="G633" t="str">
        <f t="shared" si="47"/>
        <v>pui.services.entity</v>
      </c>
      <c r="H633" t="str">
        <f t="shared" si="48"/>
        <v>PUIpui.services.entityDevice</v>
      </c>
      <c r="I633" t="str">
        <f t="shared" si="49"/>
        <v/>
      </c>
      <c r="J633">
        <f>IF(I633="",0,COUNTIF($I$2:I633,I633))</f>
        <v>0</v>
      </c>
      <c r="K633">
        <f>COUNTIF($J$2:J633,1)</f>
        <v>104</v>
      </c>
      <c r="N633">
        <v>13</v>
      </c>
      <c r="O633" t="s">
        <v>31</v>
      </c>
      <c r="P633" t="s">
        <v>241</v>
      </c>
      <c r="Q633" t="s">
        <v>242</v>
      </c>
      <c r="R633" t="s">
        <v>243</v>
      </c>
      <c r="S633" t="s">
        <v>244</v>
      </c>
      <c r="T633" t="s">
        <v>245</v>
      </c>
      <c r="U633" t="s">
        <v>246</v>
      </c>
      <c r="W633" t="s">
        <v>21</v>
      </c>
    </row>
    <row r="634" spans="1:26" hidden="1" x14ac:dyDescent="0.25">
      <c r="A634">
        <f>COUNTIF($P$2:P634,P634)</f>
        <v>6</v>
      </c>
      <c r="B634">
        <f>COUNTIF($A$2:A634,1)</f>
        <v>20</v>
      </c>
      <c r="C634" t="str">
        <f t="shared" si="45"/>
        <v>PUI</v>
      </c>
      <c r="D634" t="str">
        <f t="shared" si="46"/>
        <v>PUIDevice</v>
      </c>
      <c r="E634">
        <f>COUNTIF($R$2:R634,R634)</f>
        <v>6</v>
      </c>
      <c r="F634">
        <f>COUNTIF($E$2:E634,1)</f>
        <v>32</v>
      </c>
      <c r="G634" t="str">
        <f t="shared" si="47"/>
        <v>pui.services.entity</v>
      </c>
      <c r="H634" t="str">
        <f t="shared" si="48"/>
        <v>PUIpui.services.entityDevice</v>
      </c>
      <c r="I634" t="str">
        <f t="shared" si="49"/>
        <v/>
      </c>
      <c r="J634">
        <f>IF(I634="",0,COUNTIF($I$2:I634,I634))</f>
        <v>0</v>
      </c>
      <c r="K634">
        <f>COUNTIF($J$2:J634,1)</f>
        <v>104</v>
      </c>
      <c r="N634">
        <v>31</v>
      </c>
      <c r="O634" t="s">
        <v>31</v>
      </c>
      <c r="P634" t="s">
        <v>241</v>
      </c>
      <c r="Q634" t="s">
        <v>242</v>
      </c>
      <c r="R634" t="s">
        <v>243</v>
      </c>
      <c r="S634" t="s">
        <v>244</v>
      </c>
      <c r="T634" t="s">
        <v>245</v>
      </c>
      <c r="U634" t="s">
        <v>246</v>
      </c>
      <c r="W634" t="s">
        <v>22</v>
      </c>
    </row>
    <row r="635" spans="1:26" hidden="1" x14ac:dyDescent="0.25">
      <c r="A635">
        <f>COUNTIF($P$2:P635,P635)</f>
        <v>7</v>
      </c>
      <c r="B635">
        <f>COUNTIF($A$2:A635,1)</f>
        <v>20</v>
      </c>
      <c r="C635" t="str">
        <f t="shared" si="45"/>
        <v>PUI</v>
      </c>
      <c r="D635" t="str">
        <f t="shared" si="46"/>
        <v>PUIParent</v>
      </c>
      <c r="E635">
        <f>COUNTIF($R$2:R635,R635)</f>
        <v>7</v>
      </c>
      <c r="F635">
        <f>COUNTIF($E$2:E635,1)</f>
        <v>32</v>
      </c>
      <c r="G635" t="str">
        <f t="shared" si="47"/>
        <v>pui.services.entity</v>
      </c>
      <c r="H635" t="str">
        <f t="shared" si="48"/>
        <v>PUIpui.services.entityParent</v>
      </c>
      <c r="I635" t="str">
        <f t="shared" si="49"/>
        <v/>
      </c>
      <c r="J635">
        <f>IF(I635="",0,COUNTIF($I$2:I635,I635))</f>
        <v>0</v>
      </c>
      <c r="K635">
        <f>COUNTIF($J$2:J635,1)</f>
        <v>104</v>
      </c>
      <c r="N635">
        <v>8</v>
      </c>
      <c r="O635" t="s">
        <v>15</v>
      </c>
      <c r="P635" t="s">
        <v>241</v>
      </c>
      <c r="Q635" t="s">
        <v>242</v>
      </c>
      <c r="R635" t="s">
        <v>243</v>
      </c>
      <c r="S635" t="s">
        <v>244</v>
      </c>
      <c r="T635" t="s">
        <v>245</v>
      </c>
      <c r="U635" t="s">
        <v>246</v>
      </c>
      <c r="W635" t="s">
        <v>22</v>
      </c>
    </row>
    <row r="636" spans="1:26" hidden="1" x14ac:dyDescent="0.25">
      <c r="A636">
        <f>COUNTIF($P$2:P636,P636)</f>
        <v>8</v>
      </c>
      <c r="B636">
        <f>COUNTIF($A$2:A636,1)</f>
        <v>20</v>
      </c>
      <c r="C636" t="str">
        <f t="shared" si="45"/>
        <v>PUI</v>
      </c>
      <c r="D636" t="str">
        <f t="shared" si="46"/>
        <v>PUIIntegrator</v>
      </c>
      <c r="E636">
        <f>COUNTIF($R$2:R636,R636)</f>
        <v>8</v>
      </c>
      <c r="F636">
        <f>COUNTIF($E$2:E636,1)</f>
        <v>32</v>
      </c>
      <c r="G636" t="str">
        <f t="shared" si="47"/>
        <v>pui.services.entity</v>
      </c>
      <c r="H636" t="str">
        <f t="shared" si="48"/>
        <v>PUIpui.services.entityIntegrator</v>
      </c>
      <c r="I636" t="str">
        <f t="shared" si="49"/>
        <v/>
      </c>
      <c r="J636">
        <f>IF(I636="",0,COUNTIF($I$2:I636,I636))</f>
        <v>0</v>
      </c>
      <c r="K636">
        <f>COUNTIF($J$2:J636,1)</f>
        <v>104</v>
      </c>
      <c r="N636">
        <v>8</v>
      </c>
      <c r="O636" t="s">
        <v>23</v>
      </c>
      <c r="P636" t="s">
        <v>241</v>
      </c>
      <c r="Q636" t="s">
        <v>242</v>
      </c>
      <c r="R636" t="s">
        <v>243</v>
      </c>
      <c r="S636" t="s">
        <v>244</v>
      </c>
      <c r="T636" t="s">
        <v>245</v>
      </c>
      <c r="U636" t="s">
        <v>246</v>
      </c>
      <c r="W636" t="s">
        <v>22</v>
      </c>
    </row>
    <row r="637" spans="1:26" hidden="1" x14ac:dyDescent="0.25">
      <c r="A637">
        <f>COUNTIF($P$2:P637,P637)</f>
        <v>9</v>
      </c>
      <c r="B637">
        <f>COUNTIF($A$2:A637,1)</f>
        <v>20</v>
      </c>
      <c r="C637" t="str">
        <f t="shared" si="45"/>
        <v>PUI</v>
      </c>
      <c r="D637" t="str">
        <f t="shared" si="46"/>
        <v>PUIIntegrator</v>
      </c>
      <c r="E637">
        <f>COUNTIF($R$2:R637,R637)</f>
        <v>9</v>
      </c>
      <c r="F637">
        <f>COUNTIF($E$2:E637,1)</f>
        <v>32</v>
      </c>
      <c r="G637" t="str">
        <f t="shared" si="47"/>
        <v>pui.services.entity</v>
      </c>
      <c r="H637" t="str">
        <f t="shared" si="48"/>
        <v>PUIpui.services.entityIntegrator</v>
      </c>
      <c r="I637" t="str">
        <f t="shared" si="49"/>
        <v/>
      </c>
      <c r="J637">
        <f>IF(I637="",0,COUNTIF($I$2:I637,I637))</f>
        <v>0</v>
      </c>
      <c r="K637">
        <f>COUNTIF($J$2:J637,1)</f>
        <v>104</v>
      </c>
      <c r="N637">
        <v>9</v>
      </c>
      <c r="O637" t="s">
        <v>23</v>
      </c>
      <c r="P637" t="s">
        <v>241</v>
      </c>
      <c r="Q637" t="s">
        <v>242</v>
      </c>
      <c r="R637" t="s">
        <v>243</v>
      </c>
      <c r="S637" t="s">
        <v>244</v>
      </c>
      <c r="T637" t="s">
        <v>245</v>
      </c>
      <c r="U637" t="s">
        <v>246</v>
      </c>
      <c r="W637" t="s">
        <v>21</v>
      </c>
    </row>
    <row r="638" spans="1:26" hidden="1" x14ac:dyDescent="0.25">
      <c r="A638">
        <f>COUNTIF($P$2:P638,P638)</f>
        <v>10</v>
      </c>
      <c r="B638">
        <f>COUNTIF($A$2:A638,1)</f>
        <v>20</v>
      </c>
      <c r="C638" t="str">
        <f t="shared" si="45"/>
        <v>PUI</v>
      </c>
      <c r="D638" t="str">
        <f t="shared" si="46"/>
        <v>PUIParent</v>
      </c>
      <c r="E638">
        <f>COUNTIF($R$2:R638,R638)</f>
        <v>10</v>
      </c>
      <c r="F638">
        <f>COUNTIF($E$2:E638,1)</f>
        <v>32</v>
      </c>
      <c r="G638" t="str">
        <f t="shared" si="47"/>
        <v>pui.services.entity</v>
      </c>
      <c r="H638" t="str">
        <f t="shared" si="48"/>
        <v>PUIpui.services.entityParent</v>
      </c>
      <c r="I638" t="str">
        <f t="shared" si="49"/>
        <v/>
      </c>
      <c r="J638">
        <f>IF(I638="",0,COUNTIF($I$2:I638,I638))</f>
        <v>0</v>
      </c>
      <c r="K638">
        <f>COUNTIF($J$2:J638,1)</f>
        <v>104</v>
      </c>
      <c r="N638">
        <v>16</v>
      </c>
      <c r="O638" t="s">
        <v>15</v>
      </c>
      <c r="P638" t="s">
        <v>241</v>
      </c>
      <c r="Q638" t="s">
        <v>242</v>
      </c>
      <c r="R638" t="s">
        <v>243</v>
      </c>
      <c r="S638" t="s">
        <v>244</v>
      </c>
      <c r="T638" t="s">
        <v>245</v>
      </c>
      <c r="U638" t="s">
        <v>246</v>
      </c>
      <c r="W638" t="s">
        <v>21</v>
      </c>
    </row>
    <row r="639" spans="1:26" hidden="1" x14ac:dyDescent="0.25">
      <c r="A639">
        <f>COUNTIF($P$2:P639,P639)</f>
        <v>1</v>
      </c>
      <c r="B639">
        <f>COUNTIF($A$2:A639,1)</f>
        <v>21</v>
      </c>
      <c r="C639" t="str">
        <f t="shared" si="45"/>
        <v>PVS</v>
      </c>
      <c r="D639" t="str">
        <f t="shared" si="46"/>
        <v>PVSDevice</v>
      </c>
      <c r="E639">
        <f>COUNTIF($R$2:R639,R639)</f>
        <v>1</v>
      </c>
      <c r="F639">
        <f>COUNTIF($E$2:E639,1)</f>
        <v>33</v>
      </c>
      <c r="G639" t="str">
        <f t="shared" si="47"/>
        <v>pvs.services.pvs</v>
      </c>
      <c r="H639" t="str">
        <f t="shared" si="48"/>
        <v>PVSpvs.services.pvsDevice</v>
      </c>
      <c r="I639" t="str">
        <f t="shared" si="49"/>
        <v/>
      </c>
      <c r="J639">
        <f>IF(I639="",0,COUNTIF($I$2:I639,I639))</f>
        <v>0</v>
      </c>
      <c r="K639">
        <f>COUNTIF($J$2:J639,1)</f>
        <v>104</v>
      </c>
      <c r="N639">
        <v>1</v>
      </c>
      <c r="O639" t="s">
        <v>31</v>
      </c>
      <c r="P639" t="s">
        <v>250</v>
      </c>
      <c r="Q639" t="s">
        <v>251</v>
      </c>
      <c r="R639" t="s">
        <v>252</v>
      </c>
      <c r="S639" t="s">
        <v>251</v>
      </c>
      <c r="T639" t="s">
        <v>251</v>
      </c>
      <c r="U639" t="s">
        <v>20</v>
      </c>
      <c r="W639" t="s">
        <v>22</v>
      </c>
    </row>
    <row r="640" spans="1:26" hidden="1" x14ac:dyDescent="0.25">
      <c r="A640">
        <f>COUNTIF($P$2:P640,P640)</f>
        <v>2</v>
      </c>
      <c r="B640">
        <f>COUNTIF($A$2:A640,1)</f>
        <v>21</v>
      </c>
      <c r="C640" t="str">
        <f t="shared" si="45"/>
        <v>PVS</v>
      </c>
      <c r="D640" t="str">
        <f t="shared" si="46"/>
        <v>PVSParent</v>
      </c>
      <c r="E640">
        <f>COUNTIF($R$2:R640,R640)</f>
        <v>2</v>
      </c>
      <c r="F640">
        <f>COUNTIF($E$2:E640,1)</f>
        <v>33</v>
      </c>
      <c r="G640" t="str">
        <f t="shared" si="47"/>
        <v>pvs.services.pvs</v>
      </c>
      <c r="H640" t="str">
        <f t="shared" si="48"/>
        <v>PVSpvs.services.pvsParent</v>
      </c>
      <c r="I640" t="str">
        <f t="shared" si="49"/>
        <v/>
      </c>
      <c r="J640">
        <f>IF(I640="",0,COUNTIF($I$2:I640,I640))</f>
        <v>0</v>
      </c>
      <c r="K640">
        <f>COUNTIF($J$2:J640,1)</f>
        <v>104</v>
      </c>
      <c r="N640">
        <v>4</v>
      </c>
      <c r="O640" t="s">
        <v>15</v>
      </c>
      <c r="P640" t="s">
        <v>250</v>
      </c>
      <c r="Q640" t="s">
        <v>251</v>
      </c>
      <c r="R640" t="s">
        <v>252</v>
      </c>
      <c r="S640" t="s">
        <v>251</v>
      </c>
      <c r="T640" t="s">
        <v>251</v>
      </c>
      <c r="U640" t="s">
        <v>20</v>
      </c>
      <c r="W640" t="s">
        <v>21</v>
      </c>
    </row>
    <row r="641" spans="1:26" hidden="1" x14ac:dyDescent="0.25">
      <c r="A641">
        <f>COUNTIF($P$2:P641,P641)</f>
        <v>3</v>
      </c>
      <c r="B641">
        <f>COUNTIF($A$2:A641,1)</f>
        <v>21</v>
      </c>
      <c r="C641" t="str">
        <f t="shared" si="45"/>
        <v>PVS</v>
      </c>
      <c r="D641" t="str">
        <f t="shared" si="46"/>
        <v>PVSParent</v>
      </c>
      <c r="E641">
        <f>COUNTIF($R$2:R641,R641)</f>
        <v>3</v>
      </c>
      <c r="F641">
        <f>COUNTIF($E$2:E641,1)</f>
        <v>33</v>
      </c>
      <c r="G641" t="str">
        <f t="shared" si="47"/>
        <v>pvs.services.pvs</v>
      </c>
      <c r="H641" t="str">
        <f t="shared" si="48"/>
        <v>PVSpvs.services.pvsParent</v>
      </c>
      <c r="I641" t="str">
        <f t="shared" si="49"/>
        <v/>
      </c>
      <c r="J641">
        <f>IF(I641="",0,COUNTIF($I$2:I641,I641))</f>
        <v>0</v>
      </c>
      <c r="K641">
        <f>COUNTIF($J$2:J641,1)</f>
        <v>104</v>
      </c>
      <c r="N641">
        <v>2</v>
      </c>
      <c r="O641" t="s">
        <v>15</v>
      </c>
      <c r="P641" t="s">
        <v>250</v>
      </c>
      <c r="Q641" t="s">
        <v>251</v>
      </c>
      <c r="R641" t="s">
        <v>252</v>
      </c>
      <c r="S641" t="s">
        <v>251</v>
      </c>
      <c r="T641" t="s">
        <v>251</v>
      </c>
      <c r="U641" t="s">
        <v>20</v>
      </c>
      <c r="W641" t="s">
        <v>22</v>
      </c>
    </row>
    <row r="642" spans="1:26" hidden="1" x14ac:dyDescent="0.25">
      <c r="A642">
        <f>COUNTIF($P$2:P642,P642)</f>
        <v>4</v>
      </c>
      <c r="B642">
        <f>COUNTIF($A$2:A642,1)</f>
        <v>21</v>
      </c>
      <c r="C642" t="str">
        <f t="shared" si="45"/>
        <v>PVS</v>
      </c>
      <c r="D642" t="str">
        <f t="shared" si="46"/>
        <v>PVSIntegrator</v>
      </c>
      <c r="E642">
        <f>COUNTIF($R$2:R642,R642)</f>
        <v>4</v>
      </c>
      <c r="F642">
        <f>COUNTIF($E$2:E642,1)</f>
        <v>33</v>
      </c>
      <c r="G642" t="str">
        <f t="shared" si="47"/>
        <v>pvs.services.pvs</v>
      </c>
      <c r="H642" t="str">
        <f t="shared" si="48"/>
        <v>PVSpvs.services.pvsIntegrator</v>
      </c>
      <c r="I642" t="str">
        <f t="shared" si="49"/>
        <v/>
      </c>
      <c r="J642">
        <f>IF(I642="",0,COUNTIF($I$2:I642,I642))</f>
        <v>0</v>
      </c>
      <c r="K642">
        <f>COUNTIF($J$2:J642,1)</f>
        <v>104</v>
      </c>
      <c r="N642">
        <v>2</v>
      </c>
      <c r="O642" t="s">
        <v>23</v>
      </c>
      <c r="P642" t="s">
        <v>250</v>
      </c>
      <c r="Q642" t="s">
        <v>251</v>
      </c>
      <c r="R642" t="s">
        <v>252</v>
      </c>
      <c r="S642" t="s">
        <v>251</v>
      </c>
      <c r="T642" t="s">
        <v>251</v>
      </c>
      <c r="U642" t="s">
        <v>20</v>
      </c>
      <c r="W642" t="s">
        <v>22</v>
      </c>
    </row>
    <row r="643" spans="1:26" hidden="1" x14ac:dyDescent="0.25">
      <c r="A643">
        <f>COUNTIF($P$2:P643,P643)</f>
        <v>5</v>
      </c>
      <c r="B643">
        <f>COUNTIF($A$2:A643,1)</f>
        <v>21</v>
      </c>
      <c r="C643" t="str">
        <f t="shared" ref="C643:C706" si="50">IF(A643=1,P643,C642)</f>
        <v>PVS</v>
      </c>
      <c r="D643" t="str">
        <f t="shared" ref="D643:D706" si="51">C643&amp;O643</f>
        <v>PVSDevice</v>
      </c>
      <c r="E643">
        <f>COUNTIF($R$2:R643,R643)</f>
        <v>5</v>
      </c>
      <c r="F643">
        <f>COUNTIF($E$2:E643,1)</f>
        <v>33</v>
      </c>
      <c r="G643" t="str">
        <f t="shared" ref="G643:G706" si="52">IF(E643=1,R643,G642)</f>
        <v>pvs.services.pvs</v>
      </c>
      <c r="H643" t="str">
        <f t="shared" ref="H643:H706" si="53">C643&amp;G643&amp;O643</f>
        <v>PVSpvs.services.pvsDevice</v>
      </c>
      <c r="I643" t="str">
        <f t="shared" ref="I643:I706" si="54">IF(V643="","",P643&amp;R643&amp;V643)</f>
        <v/>
      </c>
      <c r="J643">
        <f>IF(I643="",0,COUNTIF($I$2:I643,I643))</f>
        <v>0</v>
      </c>
      <c r="K643">
        <f>COUNTIF($J$2:J643,1)</f>
        <v>104</v>
      </c>
      <c r="N643">
        <v>1</v>
      </c>
      <c r="O643" t="s">
        <v>31</v>
      </c>
      <c r="P643" t="s">
        <v>250</v>
      </c>
      <c r="Q643" t="s">
        <v>251</v>
      </c>
      <c r="R643" t="s">
        <v>252</v>
      </c>
      <c r="S643" t="s">
        <v>251</v>
      </c>
      <c r="T643" t="s">
        <v>251</v>
      </c>
      <c r="U643" t="s">
        <v>20</v>
      </c>
      <c r="W643" t="s">
        <v>22</v>
      </c>
    </row>
    <row r="644" spans="1:26" hidden="1" x14ac:dyDescent="0.25">
      <c r="A644">
        <f>COUNTIF($P$2:P644,P644)</f>
        <v>6</v>
      </c>
      <c r="B644">
        <f>COUNTIF($A$2:A644,1)</f>
        <v>21</v>
      </c>
      <c r="C644" t="str">
        <f t="shared" si="50"/>
        <v>PVS</v>
      </c>
      <c r="D644" t="str">
        <f t="shared" si="51"/>
        <v>PVSIntegrator</v>
      </c>
      <c r="E644">
        <f>COUNTIF($R$2:R644,R644)</f>
        <v>6</v>
      </c>
      <c r="F644">
        <f>COUNTIF($E$2:E644,1)</f>
        <v>33</v>
      </c>
      <c r="G644" t="str">
        <f t="shared" si="52"/>
        <v>pvs.services.pvs</v>
      </c>
      <c r="H644" t="str">
        <f t="shared" si="53"/>
        <v>PVSpvs.services.pvsIntegrator</v>
      </c>
      <c r="I644" t="str">
        <f t="shared" si="54"/>
        <v/>
      </c>
      <c r="J644">
        <f>IF(I644="",0,COUNTIF($I$2:I644,I644))</f>
        <v>0</v>
      </c>
      <c r="K644">
        <f>COUNTIF($J$2:J644,1)</f>
        <v>104</v>
      </c>
      <c r="N644">
        <v>2</v>
      </c>
      <c r="O644" t="s">
        <v>23</v>
      </c>
      <c r="P644" t="s">
        <v>250</v>
      </c>
      <c r="Q644" t="s">
        <v>251</v>
      </c>
      <c r="R644" t="s">
        <v>252</v>
      </c>
      <c r="S644" t="s">
        <v>251</v>
      </c>
      <c r="T644" t="s">
        <v>251</v>
      </c>
      <c r="U644" t="s">
        <v>20</v>
      </c>
      <c r="W644" t="s">
        <v>21</v>
      </c>
    </row>
    <row r="645" spans="1:26" hidden="1" x14ac:dyDescent="0.25">
      <c r="A645">
        <f>COUNTIF($P$2:P645,P645)</f>
        <v>7</v>
      </c>
      <c r="B645">
        <f>COUNTIF($A$2:A645,1)</f>
        <v>21</v>
      </c>
      <c r="C645" t="str">
        <f t="shared" si="50"/>
        <v>PVS</v>
      </c>
      <c r="D645" t="str">
        <f t="shared" si="51"/>
        <v>PVSDevice</v>
      </c>
      <c r="E645">
        <f>COUNTIF($R$2:R645,R645)</f>
        <v>7</v>
      </c>
      <c r="F645">
        <f>COUNTIF($E$2:E645,1)</f>
        <v>33</v>
      </c>
      <c r="G645" t="str">
        <f t="shared" si="52"/>
        <v>pvs.services.pvs</v>
      </c>
      <c r="H645" t="str">
        <f t="shared" si="53"/>
        <v>PVSpvs.services.pvsDevice</v>
      </c>
      <c r="I645" t="str">
        <f t="shared" si="54"/>
        <v/>
      </c>
      <c r="J645">
        <f>IF(I645="",0,COUNTIF($I$2:I645,I645))</f>
        <v>0</v>
      </c>
      <c r="K645">
        <f>COUNTIF($J$2:J645,1)</f>
        <v>104</v>
      </c>
      <c r="N645">
        <v>1</v>
      </c>
      <c r="O645" t="s">
        <v>31</v>
      </c>
      <c r="P645" t="s">
        <v>250</v>
      </c>
      <c r="Q645" t="s">
        <v>251</v>
      </c>
      <c r="R645" t="s">
        <v>252</v>
      </c>
      <c r="S645" t="s">
        <v>251</v>
      </c>
      <c r="T645" t="s">
        <v>251</v>
      </c>
      <c r="U645" t="s">
        <v>20</v>
      </c>
      <c r="W645" t="s">
        <v>21</v>
      </c>
    </row>
    <row r="646" spans="1:26" hidden="1" x14ac:dyDescent="0.25">
      <c r="A646">
        <f>COUNTIF($P$2:P646,P646)</f>
        <v>8</v>
      </c>
      <c r="B646">
        <f>COUNTIF($A$2:A646,1)</f>
        <v>21</v>
      </c>
      <c r="C646" t="str">
        <f t="shared" si="50"/>
        <v>PVS</v>
      </c>
      <c r="D646" t="str">
        <f t="shared" si="51"/>
        <v>PVSDevice</v>
      </c>
      <c r="E646">
        <f>COUNTIF($R$2:R646,R646)</f>
        <v>8</v>
      </c>
      <c r="F646">
        <f>COUNTIF($E$2:E646,1)</f>
        <v>33</v>
      </c>
      <c r="G646" t="str">
        <f t="shared" si="52"/>
        <v>pvs.services.pvs</v>
      </c>
      <c r="H646" t="str">
        <f t="shared" si="53"/>
        <v>PVSpvs.services.pvsDevice</v>
      </c>
      <c r="I646" t="str">
        <f t="shared" si="54"/>
        <v/>
      </c>
      <c r="J646">
        <f>IF(I646="",0,COUNTIF($I$2:I646,I646))</f>
        <v>0</v>
      </c>
      <c r="K646">
        <f>COUNTIF($J$2:J646,1)</f>
        <v>104</v>
      </c>
      <c r="N646">
        <v>1</v>
      </c>
      <c r="O646" t="s">
        <v>31</v>
      </c>
      <c r="P646" t="s">
        <v>250</v>
      </c>
      <c r="Q646" t="s">
        <v>251</v>
      </c>
      <c r="R646" t="s">
        <v>252</v>
      </c>
      <c r="S646" t="s">
        <v>251</v>
      </c>
      <c r="T646" t="s">
        <v>251</v>
      </c>
      <c r="U646" t="s">
        <v>20</v>
      </c>
      <c r="W646" t="s">
        <v>21</v>
      </c>
    </row>
    <row r="647" spans="1:26" hidden="1" x14ac:dyDescent="0.25">
      <c r="A647">
        <f>COUNTIF($P$2:P647,P647)</f>
        <v>1</v>
      </c>
      <c r="B647">
        <f>COUNTIF($A$2:A647,1)</f>
        <v>22</v>
      </c>
      <c r="C647" t="str">
        <f t="shared" si="50"/>
        <v>SDS</v>
      </c>
      <c r="D647" t="str">
        <f t="shared" si="51"/>
        <v>SDSDevice</v>
      </c>
      <c r="E647">
        <f>COUNTIF($R$2:R647,R647)</f>
        <v>1</v>
      </c>
      <c r="F647">
        <f>COUNTIF($E$2:E647,1)</f>
        <v>34</v>
      </c>
      <c r="G647" t="str">
        <f t="shared" si="52"/>
        <v>sds.services.sds</v>
      </c>
      <c r="H647" t="str">
        <f t="shared" si="53"/>
        <v>SDSsds.services.sdsDevice</v>
      </c>
      <c r="I647" t="str">
        <f t="shared" si="54"/>
        <v>SDSsds.services.sdssds.track.request</v>
      </c>
      <c r="J647">
        <f>IF(I647="",0,COUNTIF($I$2:I647,I647))</f>
        <v>1</v>
      </c>
      <c r="K647">
        <f>COUNTIF($J$2:J647,1)</f>
        <v>105</v>
      </c>
      <c r="N647">
        <v>96</v>
      </c>
      <c r="O647" t="s">
        <v>31</v>
      </c>
      <c r="P647" t="s">
        <v>253</v>
      </c>
      <c r="Q647" t="s">
        <v>254</v>
      </c>
      <c r="R647" t="s">
        <v>255</v>
      </c>
      <c r="S647" t="s">
        <v>256</v>
      </c>
      <c r="T647" t="s">
        <v>257</v>
      </c>
      <c r="U647" t="s">
        <v>20</v>
      </c>
      <c r="V647" t="s">
        <v>258</v>
      </c>
      <c r="W647" t="s">
        <v>21</v>
      </c>
      <c r="X647" t="s">
        <v>21</v>
      </c>
      <c r="Y647" t="b">
        <v>1</v>
      </c>
      <c r="Z647">
        <v>5027</v>
      </c>
    </row>
    <row r="648" spans="1:26" hidden="1" x14ac:dyDescent="0.25">
      <c r="A648">
        <f>COUNTIF($P$2:P648,P648)</f>
        <v>2</v>
      </c>
      <c r="B648">
        <f>COUNTIF($A$2:A648,1)</f>
        <v>22</v>
      </c>
      <c r="C648" t="str">
        <f t="shared" si="50"/>
        <v>SDS</v>
      </c>
      <c r="D648" t="str">
        <f t="shared" si="51"/>
        <v>SDSParent</v>
      </c>
      <c r="E648">
        <f>COUNTIF($R$2:R648,R648)</f>
        <v>2</v>
      </c>
      <c r="F648">
        <f>COUNTIF($E$2:E648,1)</f>
        <v>34</v>
      </c>
      <c r="G648" t="str">
        <f t="shared" si="52"/>
        <v>sds.services.sds</v>
      </c>
      <c r="H648" t="str">
        <f t="shared" si="53"/>
        <v>SDSsds.services.sdsParent</v>
      </c>
      <c r="I648" t="str">
        <f t="shared" si="54"/>
        <v/>
      </c>
      <c r="J648">
        <f>IF(I648="",0,COUNTIF($I$2:I648,I648))</f>
        <v>0</v>
      </c>
      <c r="K648">
        <f>COUNTIF($J$2:J648,1)</f>
        <v>105</v>
      </c>
      <c r="N648">
        <v>1</v>
      </c>
      <c r="O648" t="s">
        <v>15</v>
      </c>
      <c r="P648" t="s">
        <v>253</v>
      </c>
      <c r="Q648" t="s">
        <v>254</v>
      </c>
      <c r="R648" t="s">
        <v>255</v>
      </c>
      <c r="S648" t="s">
        <v>256</v>
      </c>
      <c r="T648" t="s">
        <v>257</v>
      </c>
      <c r="U648" t="s">
        <v>20</v>
      </c>
      <c r="W648" t="s">
        <v>22</v>
      </c>
    </row>
    <row r="649" spans="1:26" hidden="1" x14ac:dyDescent="0.25">
      <c r="A649">
        <f>COUNTIF($P$2:P649,P649)</f>
        <v>3</v>
      </c>
      <c r="B649">
        <f>COUNTIF($A$2:A649,1)</f>
        <v>22</v>
      </c>
      <c r="C649" t="str">
        <f t="shared" si="50"/>
        <v>SDS</v>
      </c>
      <c r="D649" t="str">
        <f t="shared" si="51"/>
        <v>SDSParent</v>
      </c>
      <c r="E649">
        <f>COUNTIF($R$2:R649,R649)</f>
        <v>3</v>
      </c>
      <c r="F649">
        <f>COUNTIF($E$2:E649,1)</f>
        <v>34</v>
      </c>
      <c r="G649" t="str">
        <f t="shared" si="52"/>
        <v>sds.services.sds</v>
      </c>
      <c r="H649" t="str">
        <f t="shared" si="53"/>
        <v>SDSsds.services.sdsParent</v>
      </c>
      <c r="I649" t="str">
        <f t="shared" si="54"/>
        <v/>
      </c>
      <c r="J649">
        <f>IF(I649="",0,COUNTIF($I$2:I649,I649))</f>
        <v>0</v>
      </c>
      <c r="K649">
        <f>COUNTIF($J$2:J649,1)</f>
        <v>105</v>
      </c>
      <c r="N649">
        <v>130</v>
      </c>
      <c r="O649" t="s">
        <v>15</v>
      </c>
      <c r="P649" t="s">
        <v>253</v>
      </c>
      <c r="Q649" t="s">
        <v>254</v>
      </c>
      <c r="R649" t="s">
        <v>255</v>
      </c>
      <c r="S649" t="s">
        <v>256</v>
      </c>
      <c r="T649" t="s">
        <v>257</v>
      </c>
      <c r="U649" t="s">
        <v>20</v>
      </c>
      <c r="W649" t="s">
        <v>22</v>
      </c>
    </row>
    <row r="650" spans="1:26" hidden="1" x14ac:dyDescent="0.25">
      <c r="A650">
        <f>COUNTIF($P$2:P650,P650)</f>
        <v>4</v>
      </c>
      <c r="B650">
        <f>COUNTIF($A$2:A650,1)</f>
        <v>22</v>
      </c>
      <c r="C650" t="str">
        <f t="shared" si="50"/>
        <v>SDS</v>
      </c>
      <c r="D650" t="str">
        <f t="shared" si="51"/>
        <v>SDSDevice</v>
      </c>
      <c r="E650">
        <f>COUNTIF($R$2:R650,R650)</f>
        <v>4</v>
      </c>
      <c r="F650">
        <f>COUNTIF($E$2:E650,1)</f>
        <v>34</v>
      </c>
      <c r="G650" t="str">
        <f t="shared" si="52"/>
        <v>sds.services.sds</v>
      </c>
      <c r="H650" t="str">
        <f t="shared" si="53"/>
        <v>SDSsds.services.sdsDevice</v>
      </c>
      <c r="I650" t="str">
        <f t="shared" si="54"/>
        <v/>
      </c>
      <c r="J650">
        <f>IF(I650="",0,COUNTIF($I$2:I650,I650))</f>
        <v>0</v>
      </c>
      <c r="K650">
        <f>COUNTIF($J$2:J650,1)</f>
        <v>105</v>
      </c>
      <c r="N650">
        <v>8</v>
      </c>
      <c r="O650" t="s">
        <v>31</v>
      </c>
      <c r="P650" t="s">
        <v>253</v>
      </c>
      <c r="Q650" t="s">
        <v>254</v>
      </c>
      <c r="R650" t="s">
        <v>255</v>
      </c>
      <c r="S650" t="s">
        <v>256</v>
      </c>
      <c r="T650" t="s">
        <v>257</v>
      </c>
      <c r="U650" t="s">
        <v>20</v>
      </c>
      <c r="W650" t="s">
        <v>22</v>
      </c>
    </row>
    <row r="651" spans="1:26" hidden="1" x14ac:dyDescent="0.25">
      <c r="A651">
        <f>COUNTIF($P$2:P651,P651)</f>
        <v>5</v>
      </c>
      <c r="B651">
        <f>COUNTIF($A$2:A651,1)</f>
        <v>22</v>
      </c>
      <c r="C651" t="str">
        <f t="shared" si="50"/>
        <v>SDS</v>
      </c>
      <c r="D651" t="str">
        <f t="shared" si="51"/>
        <v>SDSIntegrator</v>
      </c>
      <c r="E651">
        <f>COUNTIF($R$2:R651,R651)</f>
        <v>5</v>
      </c>
      <c r="F651">
        <f>COUNTIF($E$2:E651,1)</f>
        <v>34</v>
      </c>
      <c r="G651" t="str">
        <f t="shared" si="52"/>
        <v>sds.services.sds</v>
      </c>
      <c r="H651" t="str">
        <f t="shared" si="53"/>
        <v>SDSsds.services.sdsIntegrator</v>
      </c>
      <c r="I651" t="str">
        <f t="shared" si="54"/>
        <v/>
      </c>
      <c r="J651">
        <f>IF(I651="",0,COUNTIF($I$2:I651,I651))</f>
        <v>0</v>
      </c>
      <c r="K651">
        <f>COUNTIF($J$2:J651,1)</f>
        <v>105</v>
      </c>
      <c r="N651">
        <v>132</v>
      </c>
      <c r="O651" t="s">
        <v>23</v>
      </c>
      <c r="P651" t="s">
        <v>253</v>
      </c>
      <c r="Q651" t="s">
        <v>254</v>
      </c>
      <c r="R651" t="s">
        <v>255</v>
      </c>
      <c r="S651" t="s">
        <v>256</v>
      </c>
      <c r="T651" t="s">
        <v>257</v>
      </c>
      <c r="U651" t="s">
        <v>20</v>
      </c>
      <c r="W651" t="s">
        <v>22</v>
      </c>
    </row>
    <row r="652" spans="1:26" hidden="1" x14ac:dyDescent="0.25">
      <c r="A652">
        <f>COUNTIF($P$2:P652,P652)</f>
        <v>6</v>
      </c>
      <c r="B652">
        <f>COUNTIF($A$2:A652,1)</f>
        <v>22</v>
      </c>
      <c r="C652" t="str">
        <f t="shared" si="50"/>
        <v>SDS</v>
      </c>
      <c r="D652" t="str">
        <f t="shared" si="51"/>
        <v>SDSDevice</v>
      </c>
      <c r="E652">
        <f>COUNTIF($R$2:R652,R652)</f>
        <v>6</v>
      </c>
      <c r="F652">
        <f>COUNTIF($E$2:E652,1)</f>
        <v>34</v>
      </c>
      <c r="G652" t="str">
        <f t="shared" si="52"/>
        <v>sds.services.sds</v>
      </c>
      <c r="H652" t="str">
        <f t="shared" si="53"/>
        <v>SDSsds.services.sdsDevice</v>
      </c>
      <c r="I652" t="str">
        <f t="shared" si="54"/>
        <v/>
      </c>
      <c r="J652">
        <f>IF(I652="",0,COUNTIF($I$2:I652,I652))</f>
        <v>0</v>
      </c>
      <c r="K652">
        <f>COUNTIF($J$2:J652,1)</f>
        <v>105</v>
      </c>
      <c r="N652">
        <v>78</v>
      </c>
      <c r="O652" t="s">
        <v>31</v>
      </c>
      <c r="P652" t="s">
        <v>253</v>
      </c>
      <c r="Q652" t="s">
        <v>254</v>
      </c>
      <c r="R652" t="s">
        <v>255</v>
      </c>
      <c r="S652" t="s">
        <v>256</v>
      </c>
      <c r="T652" t="s">
        <v>257</v>
      </c>
      <c r="U652" t="s">
        <v>20</v>
      </c>
      <c r="W652" t="s">
        <v>22</v>
      </c>
    </row>
    <row r="653" spans="1:26" hidden="1" x14ac:dyDescent="0.25">
      <c r="A653">
        <f>COUNTIF($P$2:P653,P653)</f>
        <v>7</v>
      </c>
      <c r="B653">
        <f>COUNTIF($A$2:A653,1)</f>
        <v>22</v>
      </c>
      <c r="C653" t="str">
        <f t="shared" si="50"/>
        <v>SDS</v>
      </c>
      <c r="D653" t="str">
        <f t="shared" si="51"/>
        <v>SDSParent</v>
      </c>
      <c r="E653">
        <f>COUNTIF($R$2:R653,R653)</f>
        <v>7</v>
      </c>
      <c r="F653">
        <f>COUNTIF($E$2:E653,1)</f>
        <v>34</v>
      </c>
      <c r="G653" t="str">
        <f t="shared" si="52"/>
        <v>sds.services.sds</v>
      </c>
      <c r="H653" t="str">
        <f t="shared" si="53"/>
        <v>SDSsds.services.sdsParent</v>
      </c>
      <c r="I653" t="str">
        <f t="shared" si="54"/>
        <v/>
      </c>
      <c r="J653">
        <f>IF(I653="",0,COUNTIF($I$2:I653,I653))</f>
        <v>0</v>
      </c>
      <c r="K653">
        <f>COUNTIF($J$2:J653,1)</f>
        <v>105</v>
      </c>
      <c r="N653">
        <v>2</v>
      </c>
      <c r="O653" t="s">
        <v>15</v>
      </c>
      <c r="P653" t="s">
        <v>253</v>
      </c>
      <c r="Q653" t="s">
        <v>254</v>
      </c>
      <c r="R653" t="s">
        <v>255</v>
      </c>
      <c r="S653" t="s">
        <v>256</v>
      </c>
      <c r="T653" t="s">
        <v>257</v>
      </c>
      <c r="U653" t="s">
        <v>20</v>
      </c>
      <c r="W653" t="s">
        <v>22</v>
      </c>
    </row>
    <row r="654" spans="1:26" hidden="1" x14ac:dyDescent="0.25">
      <c r="A654">
        <f>COUNTIF($P$2:P654,P654)</f>
        <v>8</v>
      </c>
      <c r="B654">
        <f>COUNTIF($A$2:A654,1)</f>
        <v>22</v>
      </c>
      <c r="C654" t="str">
        <f t="shared" si="50"/>
        <v>SDS</v>
      </c>
      <c r="D654" t="str">
        <f t="shared" si="51"/>
        <v>SDSWeb Service</v>
      </c>
      <c r="E654">
        <f>COUNTIF($R$2:R654,R654)</f>
        <v>8</v>
      </c>
      <c r="F654">
        <f>COUNTIF($E$2:E654,1)</f>
        <v>34</v>
      </c>
      <c r="G654" t="str">
        <f t="shared" si="52"/>
        <v>sds.services.sds</v>
      </c>
      <c r="H654" t="str">
        <f t="shared" si="53"/>
        <v>SDSsds.services.sdsWeb Service</v>
      </c>
      <c r="I654" t="str">
        <f t="shared" si="54"/>
        <v/>
      </c>
      <c r="J654">
        <f>IF(I654="",0,COUNTIF($I$2:I654,I654))</f>
        <v>0</v>
      </c>
      <c r="K654">
        <f>COUNTIF($J$2:J654,1)</f>
        <v>105</v>
      </c>
      <c r="N654">
        <v>1</v>
      </c>
      <c r="O654" t="s">
        <v>81</v>
      </c>
      <c r="P654" t="s">
        <v>253</v>
      </c>
      <c r="Q654" t="s">
        <v>254</v>
      </c>
      <c r="R654" t="s">
        <v>255</v>
      </c>
      <c r="S654" t="s">
        <v>256</v>
      </c>
      <c r="T654" t="s">
        <v>257</v>
      </c>
      <c r="U654" t="s">
        <v>20</v>
      </c>
      <c r="W654" t="s">
        <v>22</v>
      </c>
    </row>
    <row r="655" spans="1:26" hidden="1" x14ac:dyDescent="0.25">
      <c r="A655">
        <f>COUNTIF($P$2:P655,P655)</f>
        <v>9</v>
      </c>
      <c r="B655">
        <f>COUNTIF($A$2:A655,1)</f>
        <v>22</v>
      </c>
      <c r="C655" t="str">
        <f t="shared" si="50"/>
        <v>SDS</v>
      </c>
      <c r="D655" t="str">
        <f t="shared" si="51"/>
        <v>SDSParent</v>
      </c>
      <c r="E655">
        <f>COUNTIF($R$2:R655,R655)</f>
        <v>9</v>
      </c>
      <c r="F655">
        <f>COUNTIF($E$2:E655,1)</f>
        <v>34</v>
      </c>
      <c r="G655" t="str">
        <f t="shared" si="52"/>
        <v>sds.services.sds</v>
      </c>
      <c r="H655" t="str">
        <f t="shared" si="53"/>
        <v>SDSsds.services.sdsParent</v>
      </c>
      <c r="I655" t="str">
        <f t="shared" si="54"/>
        <v/>
      </c>
      <c r="J655">
        <f>IF(I655="",0,COUNTIF($I$2:I655,I655))</f>
        <v>0</v>
      </c>
      <c r="K655">
        <f>COUNTIF($J$2:J655,1)</f>
        <v>105</v>
      </c>
      <c r="N655">
        <v>134</v>
      </c>
      <c r="O655" t="s">
        <v>15</v>
      </c>
      <c r="P655" t="s">
        <v>253</v>
      </c>
      <c r="Q655" t="s">
        <v>254</v>
      </c>
      <c r="R655" t="s">
        <v>255</v>
      </c>
      <c r="S655" t="s">
        <v>256</v>
      </c>
      <c r="T655" t="s">
        <v>257</v>
      </c>
      <c r="U655" t="s">
        <v>20</v>
      </c>
      <c r="W655" t="s">
        <v>21</v>
      </c>
    </row>
    <row r="656" spans="1:26" hidden="1" x14ac:dyDescent="0.25">
      <c r="A656">
        <f>COUNTIF($P$2:P656,P656)</f>
        <v>10</v>
      </c>
      <c r="B656">
        <f>COUNTIF($A$2:A656,1)</f>
        <v>22</v>
      </c>
      <c r="C656" t="str">
        <f t="shared" si="50"/>
        <v>SDS</v>
      </c>
      <c r="D656" t="str">
        <f t="shared" si="51"/>
        <v>SDSDevice</v>
      </c>
      <c r="E656">
        <f>COUNTIF($R$2:R656,R656)</f>
        <v>10</v>
      </c>
      <c r="F656">
        <f>COUNTIF($E$2:E656,1)</f>
        <v>34</v>
      </c>
      <c r="G656" t="str">
        <f t="shared" si="52"/>
        <v>sds.services.sds</v>
      </c>
      <c r="H656" t="str">
        <f t="shared" si="53"/>
        <v>SDSsds.services.sdsDevice</v>
      </c>
      <c r="I656" t="str">
        <f t="shared" si="54"/>
        <v/>
      </c>
      <c r="J656">
        <f>IF(I656="",0,COUNTIF($I$2:I656,I656))</f>
        <v>0</v>
      </c>
      <c r="K656">
        <f>COUNTIF($J$2:J656,1)</f>
        <v>105</v>
      </c>
      <c r="N656">
        <v>8</v>
      </c>
      <c r="O656" t="s">
        <v>31</v>
      </c>
      <c r="P656" t="s">
        <v>253</v>
      </c>
      <c r="Q656" t="s">
        <v>254</v>
      </c>
      <c r="R656" t="s">
        <v>255</v>
      </c>
      <c r="S656" t="s">
        <v>256</v>
      </c>
      <c r="T656" t="s">
        <v>257</v>
      </c>
      <c r="U656" t="s">
        <v>20</v>
      </c>
      <c r="W656" t="s">
        <v>21</v>
      </c>
    </row>
    <row r="657" spans="1:26" hidden="1" x14ac:dyDescent="0.25">
      <c r="A657">
        <f>COUNTIF($P$2:P657,P657)</f>
        <v>11</v>
      </c>
      <c r="B657">
        <f>COUNTIF($A$2:A657,1)</f>
        <v>22</v>
      </c>
      <c r="C657" t="str">
        <f t="shared" si="50"/>
        <v>SDS</v>
      </c>
      <c r="D657" t="str">
        <f t="shared" si="51"/>
        <v>SDSIntegrator</v>
      </c>
      <c r="E657">
        <f>COUNTIF($R$2:R657,R657)</f>
        <v>11</v>
      </c>
      <c r="F657">
        <f>COUNTIF($E$2:E657,1)</f>
        <v>34</v>
      </c>
      <c r="G657" t="str">
        <f t="shared" si="52"/>
        <v>sds.services.sds</v>
      </c>
      <c r="H657" t="str">
        <f t="shared" si="53"/>
        <v>SDSsds.services.sdsIntegrator</v>
      </c>
      <c r="I657" t="str">
        <f t="shared" si="54"/>
        <v/>
      </c>
      <c r="J657">
        <f>IF(I657="",0,COUNTIF($I$2:I657,I657))</f>
        <v>0</v>
      </c>
      <c r="K657">
        <f>COUNTIF($J$2:J657,1)</f>
        <v>105</v>
      </c>
      <c r="N657">
        <v>135</v>
      </c>
      <c r="O657" t="s">
        <v>23</v>
      </c>
      <c r="P657" t="s">
        <v>253</v>
      </c>
      <c r="Q657" t="s">
        <v>254</v>
      </c>
      <c r="R657" t="s">
        <v>255</v>
      </c>
      <c r="S657" t="s">
        <v>256</v>
      </c>
      <c r="T657" t="s">
        <v>257</v>
      </c>
      <c r="U657" t="s">
        <v>20</v>
      </c>
      <c r="W657" t="s">
        <v>21</v>
      </c>
    </row>
    <row r="658" spans="1:26" hidden="1" x14ac:dyDescent="0.25">
      <c r="A658">
        <f>COUNTIF($P$2:P658,P658)</f>
        <v>12</v>
      </c>
      <c r="B658">
        <f>COUNTIF($A$2:A658,1)</f>
        <v>22</v>
      </c>
      <c r="C658" t="str">
        <f t="shared" si="50"/>
        <v>SDS</v>
      </c>
      <c r="D658" t="str">
        <f t="shared" si="51"/>
        <v>SDSParent</v>
      </c>
      <c r="E658">
        <f>COUNTIF($R$2:R658,R658)</f>
        <v>12</v>
      </c>
      <c r="F658">
        <f>COUNTIF($E$2:E658,1)</f>
        <v>34</v>
      </c>
      <c r="G658" t="str">
        <f t="shared" si="52"/>
        <v>sds.services.sds</v>
      </c>
      <c r="H658" t="str">
        <f t="shared" si="53"/>
        <v>SDSsds.services.sdsParent</v>
      </c>
      <c r="I658" t="str">
        <f t="shared" si="54"/>
        <v/>
      </c>
      <c r="J658">
        <f>IF(I658="",0,COUNTIF($I$2:I658,I658))</f>
        <v>0</v>
      </c>
      <c r="K658">
        <f>COUNTIF($J$2:J658,1)</f>
        <v>105</v>
      </c>
      <c r="N658">
        <v>1</v>
      </c>
      <c r="O658" t="s">
        <v>15</v>
      </c>
      <c r="P658" t="s">
        <v>253</v>
      </c>
      <c r="Q658" t="s">
        <v>254</v>
      </c>
      <c r="R658" t="s">
        <v>255</v>
      </c>
      <c r="S658" t="s">
        <v>256</v>
      </c>
      <c r="T658" t="s">
        <v>257</v>
      </c>
      <c r="U658" t="s">
        <v>20</v>
      </c>
      <c r="W658" t="s">
        <v>21</v>
      </c>
    </row>
    <row r="659" spans="1:26" hidden="1" x14ac:dyDescent="0.25">
      <c r="A659">
        <f>COUNTIF($P$2:P659,P659)</f>
        <v>13</v>
      </c>
      <c r="B659">
        <f>COUNTIF($A$2:A659,1)</f>
        <v>22</v>
      </c>
      <c r="C659" t="str">
        <f t="shared" si="50"/>
        <v>SDS</v>
      </c>
      <c r="D659" t="str">
        <f t="shared" si="51"/>
        <v>SDSDevice</v>
      </c>
      <c r="E659">
        <f>COUNTIF($R$2:R659,R659)</f>
        <v>13</v>
      </c>
      <c r="F659">
        <f>COUNTIF($E$2:E659,1)</f>
        <v>34</v>
      </c>
      <c r="G659" t="str">
        <f t="shared" si="52"/>
        <v>sds.services.sds</v>
      </c>
      <c r="H659" t="str">
        <f t="shared" si="53"/>
        <v>SDSsds.services.sdsDevice</v>
      </c>
      <c r="I659" t="str">
        <f t="shared" si="54"/>
        <v/>
      </c>
      <c r="J659">
        <f>IF(I659="",0,COUNTIF($I$2:I659,I659))</f>
        <v>0</v>
      </c>
      <c r="K659">
        <f>COUNTIF($J$2:J659,1)</f>
        <v>105</v>
      </c>
      <c r="N659">
        <v>3</v>
      </c>
      <c r="O659" t="s">
        <v>31</v>
      </c>
      <c r="P659" t="s">
        <v>253</v>
      </c>
      <c r="Q659" t="s">
        <v>254</v>
      </c>
      <c r="R659" t="s">
        <v>255</v>
      </c>
      <c r="S659" t="s">
        <v>256</v>
      </c>
      <c r="T659" t="s">
        <v>257</v>
      </c>
      <c r="U659" t="s">
        <v>20</v>
      </c>
      <c r="W659" t="s">
        <v>21</v>
      </c>
    </row>
    <row r="660" spans="1:26" hidden="1" x14ac:dyDescent="0.25">
      <c r="A660">
        <f>COUNTIF($P$2:P660,P660)</f>
        <v>14</v>
      </c>
      <c r="B660">
        <f>COUNTIF($A$2:A660,1)</f>
        <v>22</v>
      </c>
      <c r="C660" t="str">
        <f t="shared" si="50"/>
        <v>SDS</v>
      </c>
      <c r="D660" t="str">
        <f t="shared" si="51"/>
        <v>SDSParent</v>
      </c>
      <c r="E660">
        <f>COUNTIF($R$2:R660,R660)</f>
        <v>14</v>
      </c>
      <c r="F660">
        <f>COUNTIF($E$2:E660,1)</f>
        <v>34</v>
      </c>
      <c r="G660" t="str">
        <f t="shared" si="52"/>
        <v>sds.services.sds</v>
      </c>
      <c r="H660" t="str">
        <f t="shared" si="53"/>
        <v>SDSsds.services.sdsParent</v>
      </c>
      <c r="I660" t="str">
        <f t="shared" si="54"/>
        <v/>
      </c>
      <c r="J660">
        <f>IF(I660="",0,COUNTIF($I$2:I660,I660))</f>
        <v>0</v>
      </c>
      <c r="K660">
        <f>COUNTIF($J$2:J660,1)</f>
        <v>105</v>
      </c>
      <c r="N660">
        <v>1</v>
      </c>
      <c r="O660" t="s">
        <v>15</v>
      </c>
      <c r="P660" t="s">
        <v>253</v>
      </c>
      <c r="Q660" t="s">
        <v>254</v>
      </c>
      <c r="R660" t="s">
        <v>255</v>
      </c>
      <c r="S660" t="s">
        <v>256</v>
      </c>
      <c r="T660" t="s">
        <v>257</v>
      </c>
      <c r="U660" t="s">
        <v>20</v>
      </c>
      <c r="W660" t="s">
        <v>21</v>
      </c>
    </row>
    <row r="661" spans="1:26" hidden="1" x14ac:dyDescent="0.25">
      <c r="A661">
        <f>COUNTIF($P$2:P661,P661)</f>
        <v>15</v>
      </c>
      <c r="B661">
        <f>COUNTIF($A$2:A661,1)</f>
        <v>22</v>
      </c>
      <c r="C661" t="str">
        <f t="shared" si="50"/>
        <v>SDS</v>
      </c>
      <c r="D661" t="str">
        <f t="shared" si="51"/>
        <v>SDSWeb Service</v>
      </c>
      <c r="E661">
        <f>COUNTIF($R$2:R661,R661)</f>
        <v>15</v>
      </c>
      <c r="F661">
        <f>COUNTIF($E$2:E661,1)</f>
        <v>34</v>
      </c>
      <c r="G661" t="str">
        <f t="shared" si="52"/>
        <v>sds.services.sds</v>
      </c>
      <c r="H661" t="str">
        <f t="shared" si="53"/>
        <v>SDSsds.services.sdsWeb Service</v>
      </c>
      <c r="I661" t="str">
        <f t="shared" si="54"/>
        <v/>
      </c>
      <c r="J661">
        <f>IF(I661="",0,COUNTIF($I$2:I661,I661))</f>
        <v>0</v>
      </c>
      <c r="K661">
        <f>COUNTIF($J$2:J661,1)</f>
        <v>105</v>
      </c>
      <c r="N661">
        <v>1</v>
      </c>
      <c r="O661" t="s">
        <v>81</v>
      </c>
      <c r="P661" t="s">
        <v>253</v>
      </c>
      <c r="Q661" t="s">
        <v>254</v>
      </c>
      <c r="R661" t="s">
        <v>255</v>
      </c>
      <c r="S661" t="s">
        <v>256</v>
      </c>
      <c r="T661" t="s">
        <v>257</v>
      </c>
      <c r="U661" t="s">
        <v>20</v>
      </c>
      <c r="W661" t="s">
        <v>21</v>
      </c>
    </row>
    <row r="662" spans="1:26" hidden="1" x14ac:dyDescent="0.25">
      <c r="A662">
        <f>COUNTIF($P$2:P662,P662)</f>
        <v>1</v>
      </c>
      <c r="B662">
        <f>COUNTIF($A$2:A662,1)</f>
        <v>23</v>
      </c>
      <c r="C662" t="str">
        <f t="shared" si="50"/>
        <v>SSV</v>
      </c>
      <c r="D662" t="str">
        <f t="shared" si="51"/>
        <v>SSVParent</v>
      </c>
      <c r="E662">
        <f>COUNTIF($R$2:R662,R662)</f>
        <v>1</v>
      </c>
      <c r="F662">
        <f>COUNTIF($E$2:E662,1)</f>
        <v>35</v>
      </c>
      <c r="G662" t="str">
        <f t="shared" si="52"/>
        <v>ssv.services.ssv</v>
      </c>
      <c r="H662" t="str">
        <f t="shared" si="53"/>
        <v>SSVssv.services.ssvParent</v>
      </c>
      <c r="I662" t="str">
        <f t="shared" si="54"/>
        <v>SSVssv.services.ssvssv.track.request</v>
      </c>
      <c r="J662">
        <f>IF(I662="",0,COUNTIF($I$2:I662,I662))</f>
        <v>1</v>
      </c>
      <c r="K662">
        <f>COUNTIF($J$2:J662,1)</f>
        <v>106</v>
      </c>
      <c r="N662">
        <v>1</v>
      </c>
      <c r="O662" t="s">
        <v>15</v>
      </c>
      <c r="P662" t="s">
        <v>259</v>
      </c>
      <c r="Q662" t="s">
        <v>260</v>
      </c>
      <c r="R662" t="s">
        <v>261</v>
      </c>
      <c r="S662" t="s">
        <v>260</v>
      </c>
      <c r="T662" t="s">
        <v>262</v>
      </c>
      <c r="U662" t="s">
        <v>20</v>
      </c>
      <c r="V662" t="s">
        <v>263</v>
      </c>
      <c r="W662" t="s">
        <v>21</v>
      </c>
      <c r="X662" t="s">
        <v>21</v>
      </c>
      <c r="Y662" t="b">
        <v>1</v>
      </c>
      <c r="Z662">
        <v>1203</v>
      </c>
    </row>
    <row r="663" spans="1:26" hidden="1" x14ac:dyDescent="0.25">
      <c r="A663">
        <f>COUNTIF($P$2:P663,P663)</f>
        <v>2</v>
      </c>
      <c r="B663">
        <f>COUNTIF($A$2:A663,1)</f>
        <v>23</v>
      </c>
      <c r="C663" t="str">
        <f t="shared" si="50"/>
        <v>SSV</v>
      </c>
      <c r="D663" t="str">
        <f t="shared" si="51"/>
        <v>SSVWeb Service</v>
      </c>
      <c r="E663">
        <f>COUNTIF($R$2:R663,R663)</f>
        <v>2</v>
      </c>
      <c r="F663">
        <f>COUNTIF($E$2:E663,1)</f>
        <v>35</v>
      </c>
      <c r="G663" t="str">
        <f t="shared" si="52"/>
        <v>ssv.services.ssv</v>
      </c>
      <c r="H663" t="str">
        <f t="shared" si="53"/>
        <v>SSVssv.services.ssvWeb Service</v>
      </c>
      <c r="I663" t="str">
        <f t="shared" si="54"/>
        <v>SSVssv.services.ssvssv.track.request</v>
      </c>
      <c r="J663">
        <f>IF(I663="",0,COUNTIF($I$2:I663,I663))</f>
        <v>2</v>
      </c>
      <c r="K663">
        <f>COUNTIF($J$2:J663,1)</f>
        <v>106</v>
      </c>
      <c r="N663">
        <v>1</v>
      </c>
      <c r="O663" t="s">
        <v>81</v>
      </c>
      <c r="P663" t="s">
        <v>259</v>
      </c>
      <c r="Q663" t="s">
        <v>260</v>
      </c>
      <c r="R663" t="s">
        <v>261</v>
      </c>
      <c r="S663" t="s">
        <v>260</v>
      </c>
      <c r="T663" t="s">
        <v>262</v>
      </c>
      <c r="U663" t="s">
        <v>20</v>
      </c>
      <c r="V663" t="s">
        <v>263</v>
      </c>
      <c r="W663" t="s">
        <v>21</v>
      </c>
      <c r="X663" t="s">
        <v>21</v>
      </c>
      <c r="Y663" t="b">
        <v>1</v>
      </c>
      <c r="Z663">
        <v>1203</v>
      </c>
    </row>
    <row r="664" spans="1:26" hidden="1" x14ac:dyDescent="0.25">
      <c r="A664">
        <f>COUNTIF($P$2:P664,P664)</f>
        <v>3</v>
      </c>
      <c r="B664">
        <f>COUNTIF($A$2:A664,1)</f>
        <v>23</v>
      </c>
      <c r="C664" t="str">
        <f t="shared" si="50"/>
        <v>SSV</v>
      </c>
      <c r="D664" t="str">
        <f t="shared" si="51"/>
        <v>SSVDevice</v>
      </c>
      <c r="E664">
        <f>COUNTIF($R$2:R664,R664)</f>
        <v>3</v>
      </c>
      <c r="F664">
        <f>COUNTIF($E$2:E664,1)</f>
        <v>35</v>
      </c>
      <c r="G664" t="str">
        <f t="shared" si="52"/>
        <v>ssv.services.ssv</v>
      </c>
      <c r="H664" t="str">
        <f t="shared" si="53"/>
        <v>SSVssv.services.ssvDevice</v>
      </c>
      <c r="I664" t="str">
        <f t="shared" si="54"/>
        <v/>
      </c>
      <c r="J664">
        <f>IF(I664="",0,COUNTIF($I$2:I664,I664))</f>
        <v>0</v>
      </c>
      <c r="K664">
        <f>COUNTIF($J$2:J664,1)</f>
        <v>106</v>
      </c>
      <c r="N664">
        <v>1</v>
      </c>
      <c r="O664" t="s">
        <v>31</v>
      </c>
      <c r="P664" t="s">
        <v>259</v>
      </c>
      <c r="Q664" t="s">
        <v>260</v>
      </c>
      <c r="R664" t="s">
        <v>261</v>
      </c>
      <c r="S664" t="s">
        <v>260</v>
      </c>
      <c r="T664" t="s">
        <v>262</v>
      </c>
      <c r="U664" t="s">
        <v>20</v>
      </c>
      <c r="W664" t="s">
        <v>22</v>
      </c>
    </row>
    <row r="665" spans="1:26" hidden="1" x14ac:dyDescent="0.25">
      <c r="A665">
        <f>COUNTIF($P$2:P665,P665)</f>
        <v>4</v>
      </c>
      <c r="B665">
        <f>COUNTIF($A$2:A665,1)</f>
        <v>23</v>
      </c>
      <c r="C665" t="str">
        <f t="shared" si="50"/>
        <v>SSV</v>
      </c>
      <c r="D665" t="str">
        <f t="shared" si="51"/>
        <v>SSVPerson</v>
      </c>
      <c r="E665">
        <f>COUNTIF($R$2:R665,R665)</f>
        <v>4</v>
      </c>
      <c r="F665">
        <f>COUNTIF($E$2:E665,1)</f>
        <v>35</v>
      </c>
      <c r="G665" t="str">
        <f t="shared" si="52"/>
        <v>ssv.services.ssv</v>
      </c>
      <c r="H665" t="str">
        <f t="shared" si="53"/>
        <v>SSVssv.services.ssvPerson</v>
      </c>
      <c r="I665" t="str">
        <f t="shared" si="54"/>
        <v/>
      </c>
      <c r="J665">
        <f>IF(I665="",0,COUNTIF($I$2:I665,I665))</f>
        <v>0</v>
      </c>
      <c r="K665">
        <f>COUNTIF($J$2:J665,1)</f>
        <v>106</v>
      </c>
      <c r="N665">
        <v>2</v>
      </c>
      <c r="O665" t="s">
        <v>24</v>
      </c>
      <c r="P665" t="s">
        <v>259</v>
      </c>
      <c r="Q665" t="s">
        <v>260</v>
      </c>
      <c r="R665" t="s">
        <v>261</v>
      </c>
      <c r="S665" t="s">
        <v>260</v>
      </c>
      <c r="T665" t="s">
        <v>262</v>
      </c>
      <c r="U665" t="s">
        <v>20</v>
      </c>
      <c r="W665" t="s">
        <v>22</v>
      </c>
    </row>
    <row r="666" spans="1:26" hidden="1" x14ac:dyDescent="0.25">
      <c r="A666">
        <f>COUNTIF($P$2:P666,P666)</f>
        <v>5</v>
      </c>
      <c r="B666">
        <f>COUNTIF($A$2:A666,1)</f>
        <v>23</v>
      </c>
      <c r="C666" t="str">
        <f t="shared" si="50"/>
        <v>SSV</v>
      </c>
      <c r="D666" t="str">
        <f t="shared" si="51"/>
        <v>SSVPerson</v>
      </c>
      <c r="E666">
        <f>COUNTIF($R$2:R666,R666)</f>
        <v>5</v>
      </c>
      <c r="F666">
        <f>COUNTIF($E$2:E666,1)</f>
        <v>35</v>
      </c>
      <c r="G666" t="str">
        <f t="shared" si="52"/>
        <v>ssv.services.ssv</v>
      </c>
      <c r="H666" t="str">
        <f t="shared" si="53"/>
        <v>SSVssv.services.ssvPerson</v>
      </c>
      <c r="I666" t="str">
        <f t="shared" si="54"/>
        <v/>
      </c>
      <c r="J666">
        <f>IF(I666="",0,COUNTIF($I$2:I666,I666))</f>
        <v>0</v>
      </c>
      <c r="K666">
        <f>COUNTIF($J$2:J666,1)</f>
        <v>106</v>
      </c>
      <c r="N666">
        <v>2</v>
      </c>
      <c r="O666" t="s">
        <v>24</v>
      </c>
      <c r="P666" t="s">
        <v>259</v>
      </c>
      <c r="Q666" t="s">
        <v>260</v>
      </c>
      <c r="R666" t="s">
        <v>261</v>
      </c>
      <c r="S666" t="s">
        <v>260</v>
      </c>
      <c r="T666" t="s">
        <v>262</v>
      </c>
      <c r="U666" t="s">
        <v>20</v>
      </c>
      <c r="W666" t="s">
        <v>21</v>
      </c>
    </row>
    <row r="667" spans="1:26" hidden="1" x14ac:dyDescent="0.25">
      <c r="A667">
        <f>COUNTIF($P$2:P667,P667)</f>
        <v>6</v>
      </c>
      <c r="B667">
        <f>COUNTIF($A$2:A667,1)</f>
        <v>23</v>
      </c>
      <c r="C667" t="str">
        <f t="shared" si="50"/>
        <v>SSV</v>
      </c>
      <c r="D667" t="str">
        <f t="shared" si="51"/>
        <v>SSVIntegrator</v>
      </c>
      <c r="E667">
        <f>COUNTIF($R$2:R667,R667)</f>
        <v>6</v>
      </c>
      <c r="F667">
        <f>COUNTIF($E$2:E667,1)</f>
        <v>35</v>
      </c>
      <c r="G667" t="str">
        <f t="shared" si="52"/>
        <v>ssv.services.ssv</v>
      </c>
      <c r="H667" t="str">
        <f t="shared" si="53"/>
        <v>SSVssv.services.ssvIntegrator</v>
      </c>
      <c r="I667" t="str">
        <f t="shared" si="54"/>
        <v/>
      </c>
      <c r="J667">
        <f>IF(I667="",0,COUNTIF($I$2:I667,I667))</f>
        <v>0</v>
      </c>
      <c r="K667">
        <f>COUNTIF($J$2:J667,1)</f>
        <v>106</v>
      </c>
      <c r="N667">
        <v>90</v>
      </c>
      <c r="O667" t="s">
        <v>23</v>
      </c>
      <c r="P667" t="s">
        <v>259</v>
      </c>
      <c r="Q667" t="s">
        <v>260</v>
      </c>
      <c r="R667" t="s">
        <v>261</v>
      </c>
      <c r="S667" t="s">
        <v>260</v>
      </c>
      <c r="T667" t="s">
        <v>262</v>
      </c>
      <c r="U667" t="s">
        <v>20</v>
      </c>
      <c r="W667" t="s">
        <v>21</v>
      </c>
    </row>
    <row r="668" spans="1:26" hidden="1" x14ac:dyDescent="0.25">
      <c r="A668">
        <f>COUNTIF($P$2:P668,P668)</f>
        <v>7</v>
      </c>
      <c r="B668">
        <f>COUNTIF($A$2:A668,1)</f>
        <v>23</v>
      </c>
      <c r="C668" t="str">
        <f t="shared" si="50"/>
        <v>SSV</v>
      </c>
      <c r="D668" t="str">
        <f t="shared" si="51"/>
        <v>SSVDevice</v>
      </c>
      <c r="E668">
        <f>COUNTIF($R$2:R668,R668)</f>
        <v>7</v>
      </c>
      <c r="F668">
        <f>COUNTIF($E$2:E668,1)</f>
        <v>35</v>
      </c>
      <c r="G668" t="str">
        <f t="shared" si="52"/>
        <v>ssv.services.ssv</v>
      </c>
      <c r="H668" t="str">
        <f t="shared" si="53"/>
        <v>SSVssv.services.ssvDevice</v>
      </c>
      <c r="I668" t="str">
        <f t="shared" si="54"/>
        <v/>
      </c>
      <c r="J668">
        <f>IF(I668="",0,COUNTIF($I$2:I668,I668))</f>
        <v>0</v>
      </c>
      <c r="K668">
        <f>COUNTIF($J$2:J668,1)</f>
        <v>106</v>
      </c>
      <c r="N668">
        <v>8</v>
      </c>
      <c r="O668" t="s">
        <v>31</v>
      </c>
      <c r="P668" t="s">
        <v>259</v>
      </c>
      <c r="Q668" t="s">
        <v>260</v>
      </c>
      <c r="R668" t="s">
        <v>261</v>
      </c>
      <c r="S668" t="s">
        <v>260</v>
      </c>
      <c r="T668" t="s">
        <v>262</v>
      </c>
      <c r="U668" t="s">
        <v>20</v>
      </c>
      <c r="W668" t="s">
        <v>21</v>
      </c>
    </row>
    <row r="669" spans="1:26" hidden="1" x14ac:dyDescent="0.25">
      <c r="A669">
        <f>COUNTIF($P$2:P669,P669)</f>
        <v>8</v>
      </c>
      <c r="B669">
        <f>COUNTIF($A$2:A669,1)</f>
        <v>23</v>
      </c>
      <c r="C669" t="str">
        <f t="shared" si="50"/>
        <v>SSV</v>
      </c>
      <c r="D669" t="str">
        <f t="shared" si="51"/>
        <v>SSVParent</v>
      </c>
      <c r="E669">
        <f>COUNTIF($R$2:R669,R669)</f>
        <v>8</v>
      </c>
      <c r="F669">
        <f>COUNTIF($E$2:E669,1)</f>
        <v>35</v>
      </c>
      <c r="G669" t="str">
        <f t="shared" si="52"/>
        <v>ssv.services.ssv</v>
      </c>
      <c r="H669" t="str">
        <f t="shared" si="53"/>
        <v>SSVssv.services.ssvParent</v>
      </c>
      <c r="I669" t="str">
        <f t="shared" si="54"/>
        <v/>
      </c>
      <c r="J669">
        <f>IF(I669="",0,COUNTIF($I$2:I669,I669))</f>
        <v>0</v>
      </c>
      <c r="K669">
        <f>COUNTIF($J$2:J669,1)</f>
        <v>106</v>
      </c>
      <c r="N669">
        <v>93</v>
      </c>
      <c r="O669" t="s">
        <v>15</v>
      </c>
      <c r="P669" t="s">
        <v>259</v>
      </c>
      <c r="Q669" t="s">
        <v>260</v>
      </c>
      <c r="R669" t="s">
        <v>261</v>
      </c>
      <c r="S669" t="s">
        <v>260</v>
      </c>
      <c r="T669" t="s">
        <v>262</v>
      </c>
      <c r="U669" t="s">
        <v>20</v>
      </c>
      <c r="W669" t="s">
        <v>21</v>
      </c>
    </row>
    <row r="670" spans="1:26" hidden="1" x14ac:dyDescent="0.25">
      <c r="A670">
        <f>COUNTIF($P$2:P670,P670)</f>
        <v>9</v>
      </c>
      <c r="B670">
        <f>COUNTIF($A$2:A670,1)</f>
        <v>23</v>
      </c>
      <c r="C670" t="str">
        <f t="shared" si="50"/>
        <v>SSV</v>
      </c>
      <c r="D670" t="str">
        <f t="shared" si="51"/>
        <v>SSVWeb Service</v>
      </c>
      <c r="E670">
        <f>COUNTIF($R$2:R670,R670)</f>
        <v>9</v>
      </c>
      <c r="F670">
        <f>COUNTIF($E$2:E670,1)</f>
        <v>35</v>
      </c>
      <c r="G670" t="str">
        <f t="shared" si="52"/>
        <v>ssv.services.ssv</v>
      </c>
      <c r="H670" t="str">
        <f t="shared" si="53"/>
        <v>SSVssv.services.ssvWeb Service</v>
      </c>
      <c r="I670" t="str">
        <f t="shared" si="54"/>
        <v/>
      </c>
      <c r="J670">
        <f>IF(I670="",0,COUNTIF($I$2:I670,I670))</f>
        <v>0</v>
      </c>
      <c r="K670">
        <f>COUNTIF($J$2:J670,1)</f>
        <v>106</v>
      </c>
      <c r="N670">
        <v>1</v>
      </c>
      <c r="O670" t="s">
        <v>81</v>
      </c>
      <c r="P670" t="s">
        <v>259</v>
      </c>
      <c r="Q670" t="s">
        <v>260</v>
      </c>
      <c r="R670" t="s">
        <v>261</v>
      </c>
      <c r="S670" t="s">
        <v>260</v>
      </c>
      <c r="T670" t="s">
        <v>262</v>
      </c>
      <c r="U670" t="s">
        <v>20</v>
      </c>
      <c r="W670" t="s">
        <v>22</v>
      </c>
    </row>
    <row r="671" spans="1:26" hidden="1" x14ac:dyDescent="0.25">
      <c r="A671">
        <f>COUNTIF($P$2:P671,P671)</f>
        <v>10</v>
      </c>
      <c r="B671">
        <f>COUNTIF($A$2:A671,1)</f>
        <v>23</v>
      </c>
      <c r="C671" t="str">
        <f t="shared" si="50"/>
        <v>SSV</v>
      </c>
      <c r="D671" t="str">
        <f t="shared" si="51"/>
        <v>SSVParent</v>
      </c>
      <c r="E671">
        <f>COUNTIF($R$2:R671,R671)</f>
        <v>10</v>
      </c>
      <c r="F671">
        <f>COUNTIF($E$2:E671,1)</f>
        <v>35</v>
      </c>
      <c r="G671" t="str">
        <f t="shared" si="52"/>
        <v>ssv.services.ssv</v>
      </c>
      <c r="H671" t="str">
        <f t="shared" si="53"/>
        <v>SSVssv.services.ssvParent</v>
      </c>
      <c r="I671" t="str">
        <f t="shared" si="54"/>
        <v/>
      </c>
      <c r="J671">
        <f>IF(I671="",0,COUNTIF($I$2:I671,I671))</f>
        <v>0</v>
      </c>
      <c r="K671">
        <f>COUNTIF($J$2:J671,1)</f>
        <v>106</v>
      </c>
      <c r="N671">
        <v>1</v>
      </c>
      <c r="O671" t="s">
        <v>15</v>
      </c>
      <c r="P671" t="s">
        <v>259</v>
      </c>
      <c r="Q671" t="s">
        <v>260</v>
      </c>
      <c r="R671" t="s">
        <v>261</v>
      </c>
      <c r="S671" t="s">
        <v>260</v>
      </c>
      <c r="T671" t="s">
        <v>262</v>
      </c>
      <c r="U671" t="s">
        <v>20</v>
      </c>
      <c r="W671" t="s">
        <v>22</v>
      </c>
    </row>
    <row r="672" spans="1:26" hidden="1" x14ac:dyDescent="0.25">
      <c r="A672">
        <f>COUNTIF($P$2:P672,P672)</f>
        <v>11</v>
      </c>
      <c r="B672">
        <f>COUNTIF($A$2:A672,1)</f>
        <v>23</v>
      </c>
      <c r="C672" t="str">
        <f t="shared" si="50"/>
        <v>SSV</v>
      </c>
      <c r="D672" t="str">
        <f t="shared" si="51"/>
        <v>SSVParent</v>
      </c>
      <c r="E672">
        <f>COUNTIF($R$2:R672,R672)</f>
        <v>11</v>
      </c>
      <c r="F672">
        <f>COUNTIF($E$2:E672,1)</f>
        <v>35</v>
      </c>
      <c r="G672" t="str">
        <f t="shared" si="52"/>
        <v>ssv.services.ssv</v>
      </c>
      <c r="H672" t="str">
        <f t="shared" si="53"/>
        <v>SSVssv.services.ssvParent</v>
      </c>
      <c r="I672" t="str">
        <f t="shared" si="54"/>
        <v/>
      </c>
      <c r="J672">
        <f>IF(I672="",0,COUNTIF($I$2:I672,I672))</f>
        <v>0</v>
      </c>
      <c r="K672">
        <f>COUNTIF($J$2:J672,1)</f>
        <v>106</v>
      </c>
      <c r="N672">
        <v>1</v>
      </c>
      <c r="O672" t="s">
        <v>15</v>
      </c>
      <c r="P672" t="s">
        <v>259</v>
      </c>
      <c r="Q672" t="s">
        <v>260</v>
      </c>
      <c r="R672" t="s">
        <v>261</v>
      </c>
      <c r="S672" t="s">
        <v>260</v>
      </c>
      <c r="T672" t="s">
        <v>262</v>
      </c>
      <c r="U672" t="s">
        <v>20</v>
      </c>
      <c r="W672" t="s">
        <v>21</v>
      </c>
    </row>
    <row r="673" spans="1:26" hidden="1" x14ac:dyDescent="0.25">
      <c r="A673">
        <f>COUNTIF($P$2:P673,P673)</f>
        <v>12</v>
      </c>
      <c r="B673">
        <f>COUNTIF($A$2:A673,1)</f>
        <v>23</v>
      </c>
      <c r="C673" t="str">
        <f t="shared" si="50"/>
        <v>SSV</v>
      </c>
      <c r="D673" t="str">
        <f t="shared" si="51"/>
        <v>SSVDevice</v>
      </c>
      <c r="E673">
        <f>COUNTIF($R$2:R673,R673)</f>
        <v>12</v>
      </c>
      <c r="F673">
        <f>COUNTIF($E$2:E673,1)</f>
        <v>35</v>
      </c>
      <c r="G673" t="str">
        <f t="shared" si="52"/>
        <v>ssv.services.ssv</v>
      </c>
      <c r="H673" t="str">
        <f t="shared" si="53"/>
        <v>SSVssv.services.ssvDevice</v>
      </c>
      <c r="I673" t="str">
        <f t="shared" si="54"/>
        <v/>
      </c>
      <c r="J673">
        <f>IF(I673="",0,COUNTIF($I$2:I673,I673))</f>
        <v>0</v>
      </c>
      <c r="K673">
        <f>COUNTIF($J$2:J673,1)</f>
        <v>106</v>
      </c>
      <c r="N673">
        <v>1</v>
      </c>
      <c r="O673" t="s">
        <v>31</v>
      </c>
      <c r="P673" t="s">
        <v>259</v>
      </c>
      <c r="Q673" t="s">
        <v>260</v>
      </c>
      <c r="R673" t="s">
        <v>261</v>
      </c>
      <c r="S673" t="s">
        <v>260</v>
      </c>
      <c r="T673" t="s">
        <v>262</v>
      </c>
      <c r="U673" t="s">
        <v>20</v>
      </c>
      <c r="W673" t="s">
        <v>21</v>
      </c>
    </row>
    <row r="674" spans="1:26" hidden="1" x14ac:dyDescent="0.25">
      <c r="A674">
        <f>COUNTIF($P$2:P674,P674)</f>
        <v>13</v>
      </c>
      <c r="B674">
        <f>COUNTIF($A$2:A674,1)</f>
        <v>23</v>
      </c>
      <c r="C674" t="str">
        <f t="shared" si="50"/>
        <v>SSV</v>
      </c>
      <c r="D674" t="str">
        <f t="shared" si="51"/>
        <v>SSVIntegrator</v>
      </c>
      <c r="E674">
        <f>COUNTIF($R$2:R674,R674)</f>
        <v>13</v>
      </c>
      <c r="F674">
        <f>COUNTIF($E$2:E674,1)</f>
        <v>35</v>
      </c>
      <c r="G674" t="str">
        <f t="shared" si="52"/>
        <v>ssv.services.ssv</v>
      </c>
      <c r="H674" t="str">
        <f t="shared" si="53"/>
        <v>SSVssv.services.ssvIntegrator</v>
      </c>
      <c r="I674" t="str">
        <f t="shared" si="54"/>
        <v/>
      </c>
      <c r="J674">
        <f>IF(I674="",0,COUNTIF($I$2:I674,I674))</f>
        <v>0</v>
      </c>
      <c r="K674">
        <f>COUNTIF($J$2:J674,1)</f>
        <v>106</v>
      </c>
      <c r="N674">
        <v>88</v>
      </c>
      <c r="O674" t="s">
        <v>23</v>
      </c>
      <c r="P674" t="s">
        <v>259</v>
      </c>
      <c r="Q674" t="s">
        <v>260</v>
      </c>
      <c r="R674" t="s">
        <v>261</v>
      </c>
      <c r="S674" t="s">
        <v>260</v>
      </c>
      <c r="T674" t="s">
        <v>262</v>
      </c>
      <c r="U674" t="s">
        <v>20</v>
      </c>
      <c r="W674" t="s">
        <v>22</v>
      </c>
    </row>
    <row r="675" spans="1:26" hidden="1" x14ac:dyDescent="0.25">
      <c r="A675">
        <f>COUNTIF($P$2:P675,P675)</f>
        <v>14</v>
      </c>
      <c r="B675">
        <f>COUNTIF($A$2:A675,1)</f>
        <v>23</v>
      </c>
      <c r="C675" t="str">
        <f t="shared" si="50"/>
        <v>SSV</v>
      </c>
      <c r="D675" t="str">
        <f t="shared" si="51"/>
        <v>SSVDevice</v>
      </c>
      <c r="E675">
        <f>COUNTIF($R$2:R675,R675)</f>
        <v>14</v>
      </c>
      <c r="F675">
        <f>COUNTIF($E$2:E675,1)</f>
        <v>35</v>
      </c>
      <c r="G675" t="str">
        <f t="shared" si="52"/>
        <v>ssv.services.ssv</v>
      </c>
      <c r="H675" t="str">
        <f t="shared" si="53"/>
        <v>SSVssv.services.ssvDevice</v>
      </c>
      <c r="I675" t="str">
        <f t="shared" si="54"/>
        <v/>
      </c>
      <c r="J675">
        <f>IF(I675="",0,COUNTIF($I$2:I675,I675))</f>
        <v>0</v>
      </c>
      <c r="K675">
        <f>COUNTIF($J$2:J675,1)</f>
        <v>106</v>
      </c>
      <c r="N675">
        <v>8</v>
      </c>
      <c r="O675" t="s">
        <v>31</v>
      </c>
      <c r="P675" t="s">
        <v>259</v>
      </c>
      <c r="Q675" t="s">
        <v>260</v>
      </c>
      <c r="R675" t="s">
        <v>261</v>
      </c>
      <c r="S675" t="s">
        <v>260</v>
      </c>
      <c r="T675" t="s">
        <v>262</v>
      </c>
      <c r="U675" t="s">
        <v>20</v>
      </c>
      <c r="W675" t="s">
        <v>22</v>
      </c>
    </row>
    <row r="676" spans="1:26" hidden="1" x14ac:dyDescent="0.25">
      <c r="A676">
        <f>COUNTIF($P$2:P676,P676)</f>
        <v>15</v>
      </c>
      <c r="B676">
        <f>COUNTIF($A$2:A676,1)</f>
        <v>23</v>
      </c>
      <c r="C676" t="str">
        <f t="shared" si="50"/>
        <v>SSV</v>
      </c>
      <c r="D676" t="str">
        <f t="shared" si="51"/>
        <v>SSVParent</v>
      </c>
      <c r="E676">
        <f>COUNTIF($R$2:R676,R676)</f>
        <v>15</v>
      </c>
      <c r="F676">
        <f>COUNTIF($E$2:E676,1)</f>
        <v>35</v>
      </c>
      <c r="G676" t="str">
        <f t="shared" si="52"/>
        <v>ssv.services.ssv</v>
      </c>
      <c r="H676" t="str">
        <f t="shared" si="53"/>
        <v>SSVssv.services.ssvParent</v>
      </c>
      <c r="I676" t="str">
        <f t="shared" si="54"/>
        <v/>
      </c>
      <c r="J676">
        <f>IF(I676="",0,COUNTIF($I$2:I676,I676))</f>
        <v>0</v>
      </c>
      <c r="K676">
        <f>COUNTIF($J$2:J676,1)</f>
        <v>106</v>
      </c>
      <c r="N676">
        <v>91</v>
      </c>
      <c r="O676" t="s">
        <v>15</v>
      </c>
      <c r="P676" t="s">
        <v>259</v>
      </c>
      <c r="Q676" t="s">
        <v>260</v>
      </c>
      <c r="R676" t="s">
        <v>261</v>
      </c>
      <c r="S676" t="s">
        <v>260</v>
      </c>
      <c r="T676" t="s">
        <v>262</v>
      </c>
      <c r="U676" t="s">
        <v>20</v>
      </c>
      <c r="W676" t="s">
        <v>22</v>
      </c>
    </row>
    <row r="677" spans="1:26" hidden="1" x14ac:dyDescent="0.25">
      <c r="A677">
        <f>COUNTIF($P$2:P677,P677)</f>
        <v>1</v>
      </c>
      <c r="B677">
        <f>COUNTIF($A$2:A677,1)</f>
        <v>24</v>
      </c>
      <c r="C677" t="str">
        <f t="shared" si="50"/>
        <v>TCA</v>
      </c>
      <c r="D677" t="str">
        <f t="shared" si="51"/>
        <v>TCADevice</v>
      </c>
      <c r="E677">
        <f>COUNTIF($R$2:R677,R677)</f>
        <v>1</v>
      </c>
      <c r="F677">
        <f>COUNTIF($E$2:E677,1)</f>
        <v>36</v>
      </c>
      <c r="G677" t="str">
        <f t="shared" si="52"/>
        <v>tca.services.mca</v>
      </c>
      <c r="H677" t="str">
        <f t="shared" si="53"/>
        <v>TCAtca.services.mcaDevice</v>
      </c>
      <c r="I677" t="str">
        <f t="shared" si="54"/>
        <v>TCAtca.services.mcaapp.mandate.authentication.enabled</v>
      </c>
      <c r="J677">
        <f>IF(I677="",0,COUNTIF($I$2:I677,I677))</f>
        <v>1</v>
      </c>
      <c r="K677">
        <f>COUNTIF($J$2:J677,1)</f>
        <v>107</v>
      </c>
      <c r="N677">
        <v>1</v>
      </c>
      <c r="O677" t="s">
        <v>31</v>
      </c>
      <c r="P677" t="s">
        <v>264</v>
      </c>
      <c r="Q677" t="s">
        <v>265</v>
      </c>
      <c r="R677" t="s">
        <v>266</v>
      </c>
      <c r="S677" t="s">
        <v>267</v>
      </c>
      <c r="T677" t="s">
        <v>267</v>
      </c>
      <c r="U677" t="s">
        <v>207</v>
      </c>
      <c r="V677" t="s">
        <v>268</v>
      </c>
      <c r="W677" t="s">
        <v>21</v>
      </c>
      <c r="X677" t="s">
        <v>21</v>
      </c>
      <c r="Y677" t="b">
        <v>1</v>
      </c>
      <c r="Z677">
        <v>5022</v>
      </c>
    </row>
    <row r="678" spans="1:26" hidden="1" x14ac:dyDescent="0.25">
      <c r="A678">
        <f>COUNTIF($P$2:P678,P678)</f>
        <v>2</v>
      </c>
      <c r="B678">
        <f>COUNTIF($A$2:A678,1)</f>
        <v>24</v>
      </c>
      <c r="C678" t="str">
        <f t="shared" si="50"/>
        <v>TCA</v>
      </c>
      <c r="D678" t="str">
        <f t="shared" si="51"/>
        <v>TCAParent</v>
      </c>
      <c r="E678">
        <f>COUNTIF($R$2:R678,R678)</f>
        <v>2</v>
      </c>
      <c r="F678">
        <f>COUNTIF($E$2:E678,1)</f>
        <v>36</v>
      </c>
      <c r="G678" t="str">
        <f t="shared" si="52"/>
        <v>tca.services.mca</v>
      </c>
      <c r="H678" t="str">
        <f t="shared" si="53"/>
        <v>TCAtca.services.mcaParent</v>
      </c>
      <c r="I678" t="str">
        <f t="shared" si="54"/>
        <v>TCAtca.services.mcaapp.mandate.authentication.enabled</v>
      </c>
      <c r="J678">
        <f>IF(I678="",0,COUNTIF($I$2:I678,I678))</f>
        <v>2</v>
      </c>
      <c r="K678">
        <f>COUNTIF($J$2:J678,1)</f>
        <v>107</v>
      </c>
      <c r="N678">
        <v>6</v>
      </c>
      <c r="O678" t="s">
        <v>15</v>
      </c>
      <c r="P678" t="s">
        <v>264</v>
      </c>
      <c r="Q678" t="s">
        <v>265</v>
      </c>
      <c r="R678" t="s">
        <v>266</v>
      </c>
      <c r="S678" t="s">
        <v>267</v>
      </c>
      <c r="T678" t="s">
        <v>267</v>
      </c>
      <c r="U678" t="s">
        <v>207</v>
      </c>
      <c r="V678" t="s">
        <v>268</v>
      </c>
      <c r="W678" t="s">
        <v>21</v>
      </c>
      <c r="X678" t="s">
        <v>21</v>
      </c>
      <c r="Y678" t="b">
        <v>1</v>
      </c>
      <c r="Z678">
        <v>5022</v>
      </c>
    </row>
    <row r="679" spans="1:26" hidden="1" x14ac:dyDescent="0.25">
      <c r="A679">
        <f>COUNTIF($P$2:P679,P679)</f>
        <v>3</v>
      </c>
      <c r="B679">
        <f>COUNTIF($A$2:A679,1)</f>
        <v>24</v>
      </c>
      <c r="C679" t="str">
        <f t="shared" si="50"/>
        <v>TCA</v>
      </c>
      <c r="D679" t="str">
        <f t="shared" si="51"/>
        <v>TCADevice</v>
      </c>
      <c r="E679">
        <f>COUNTIF($R$2:R679,R679)</f>
        <v>3</v>
      </c>
      <c r="F679">
        <f>COUNTIF($E$2:E679,1)</f>
        <v>36</v>
      </c>
      <c r="G679" t="str">
        <f t="shared" si="52"/>
        <v>tca.services.mca</v>
      </c>
      <c r="H679" t="str">
        <f t="shared" si="53"/>
        <v>TCAtca.services.mcaDevice</v>
      </c>
      <c r="I679" t="str">
        <f t="shared" si="54"/>
        <v>TCAtca.services.mcaapp.mandate.authentication.enabled</v>
      </c>
      <c r="J679">
        <f>IF(I679="",0,COUNTIF($I$2:I679,I679))</f>
        <v>3</v>
      </c>
      <c r="K679">
        <f>COUNTIF($J$2:J679,1)</f>
        <v>107</v>
      </c>
      <c r="N679">
        <v>1</v>
      </c>
      <c r="O679" t="s">
        <v>31</v>
      </c>
      <c r="P679" t="s">
        <v>264</v>
      </c>
      <c r="Q679" t="s">
        <v>265</v>
      </c>
      <c r="R679" t="s">
        <v>266</v>
      </c>
      <c r="S679" t="s">
        <v>267</v>
      </c>
      <c r="T679" t="s">
        <v>267</v>
      </c>
      <c r="U679" t="s">
        <v>207</v>
      </c>
      <c r="V679" t="s">
        <v>268</v>
      </c>
      <c r="W679" t="s">
        <v>21</v>
      </c>
      <c r="X679" t="s">
        <v>21</v>
      </c>
      <c r="Y679" t="b">
        <v>1</v>
      </c>
      <c r="Z679">
        <v>5022</v>
      </c>
    </row>
    <row r="680" spans="1:26" hidden="1" x14ac:dyDescent="0.25">
      <c r="A680">
        <f>COUNTIF($P$2:P680,P680)</f>
        <v>4</v>
      </c>
      <c r="B680">
        <f>COUNTIF($A$2:A680,1)</f>
        <v>24</v>
      </c>
      <c r="C680" t="str">
        <f t="shared" si="50"/>
        <v>TCA</v>
      </c>
      <c r="D680" t="str">
        <f t="shared" si="51"/>
        <v>TCAParent</v>
      </c>
      <c r="E680">
        <f>COUNTIF($R$2:R680,R680)</f>
        <v>4</v>
      </c>
      <c r="F680">
        <f>COUNTIF($E$2:E680,1)</f>
        <v>36</v>
      </c>
      <c r="G680" t="str">
        <f t="shared" si="52"/>
        <v>tca.services.mca</v>
      </c>
      <c r="H680" t="str">
        <f t="shared" si="53"/>
        <v>TCAtca.services.mcaParent</v>
      </c>
      <c r="I680" t="str">
        <f t="shared" si="54"/>
        <v>TCAtca.services.mcaapp.mandate.authentication.enabled</v>
      </c>
      <c r="J680">
        <f>IF(I680="",0,COUNTIF($I$2:I680,I680))</f>
        <v>4</v>
      </c>
      <c r="K680">
        <f>COUNTIF($J$2:J680,1)</f>
        <v>107</v>
      </c>
      <c r="N680">
        <v>279</v>
      </c>
      <c r="O680" t="s">
        <v>15</v>
      </c>
      <c r="P680" t="s">
        <v>264</v>
      </c>
      <c r="Q680" t="s">
        <v>265</v>
      </c>
      <c r="R680" t="s">
        <v>266</v>
      </c>
      <c r="S680" t="s">
        <v>267</v>
      </c>
      <c r="T680" t="s">
        <v>267</v>
      </c>
      <c r="U680" t="s">
        <v>207</v>
      </c>
      <c r="V680" t="s">
        <v>268</v>
      </c>
      <c r="W680" t="s">
        <v>21</v>
      </c>
      <c r="X680" t="s">
        <v>21</v>
      </c>
      <c r="Y680" t="b">
        <v>1</v>
      </c>
      <c r="Z680">
        <v>5022</v>
      </c>
    </row>
    <row r="681" spans="1:26" hidden="1" x14ac:dyDescent="0.25">
      <c r="A681">
        <f>COUNTIF($P$2:P681,P681)</f>
        <v>5</v>
      </c>
      <c r="B681">
        <f>COUNTIF($A$2:A681,1)</f>
        <v>24</v>
      </c>
      <c r="C681" t="str">
        <f t="shared" si="50"/>
        <v>TCA</v>
      </c>
      <c r="D681" t="str">
        <f t="shared" si="51"/>
        <v>TCADevice</v>
      </c>
      <c r="E681">
        <f>COUNTIF($R$2:R681,R681)</f>
        <v>5</v>
      </c>
      <c r="F681">
        <f>COUNTIF($E$2:E681,1)</f>
        <v>36</v>
      </c>
      <c r="G681" t="str">
        <f t="shared" si="52"/>
        <v>tca.services.mca</v>
      </c>
      <c r="H681" t="str">
        <f t="shared" si="53"/>
        <v>TCAtca.services.mcaDevice</v>
      </c>
      <c r="I681" t="str">
        <f t="shared" si="54"/>
        <v>TCAtca.services.mcaapp.mandate.authentication.enabled</v>
      </c>
      <c r="J681">
        <f>IF(I681="",0,COUNTIF($I$2:I681,I681))</f>
        <v>5</v>
      </c>
      <c r="K681">
        <f>COUNTIF($J$2:J681,1)</f>
        <v>107</v>
      </c>
      <c r="N681">
        <v>85</v>
      </c>
      <c r="O681" t="s">
        <v>31</v>
      </c>
      <c r="P681" t="s">
        <v>264</v>
      </c>
      <c r="Q681" t="s">
        <v>265</v>
      </c>
      <c r="R681" t="s">
        <v>266</v>
      </c>
      <c r="S681" t="s">
        <v>267</v>
      </c>
      <c r="T681" t="s">
        <v>267</v>
      </c>
      <c r="U681" t="s">
        <v>207</v>
      </c>
      <c r="V681" t="s">
        <v>268</v>
      </c>
      <c r="W681" t="s">
        <v>21</v>
      </c>
      <c r="X681" t="s">
        <v>21</v>
      </c>
      <c r="Y681" t="b">
        <v>1</v>
      </c>
      <c r="Z681">
        <v>5022</v>
      </c>
    </row>
    <row r="682" spans="1:26" hidden="1" x14ac:dyDescent="0.25">
      <c r="A682">
        <f>COUNTIF($P$2:P682,P682)</f>
        <v>6</v>
      </c>
      <c r="B682">
        <f>COUNTIF($A$2:A682,1)</f>
        <v>24</v>
      </c>
      <c r="C682" t="str">
        <f t="shared" si="50"/>
        <v>TCA</v>
      </c>
      <c r="D682" t="str">
        <f t="shared" si="51"/>
        <v>TCAParent</v>
      </c>
      <c r="E682">
        <f>COUNTIF($R$2:R682,R682)</f>
        <v>6</v>
      </c>
      <c r="F682">
        <f>COUNTIF($E$2:E682,1)</f>
        <v>36</v>
      </c>
      <c r="G682" t="str">
        <f t="shared" si="52"/>
        <v>tca.services.mca</v>
      </c>
      <c r="H682" t="str">
        <f t="shared" si="53"/>
        <v>TCAtca.services.mcaParent</v>
      </c>
      <c r="I682" t="str">
        <f t="shared" si="54"/>
        <v>TCAtca.services.mcaapp.mandate.authentication.enabled</v>
      </c>
      <c r="J682">
        <f>IF(I682="",0,COUNTIF($I$2:I682,I682))</f>
        <v>6</v>
      </c>
      <c r="K682">
        <f>COUNTIF($J$2:J682,1)</f>
        <v>107</v>
      </c>
      <c r="N682">
        <v>1</v>
      </c>
      <c r="O682" t="s">
        <v>15</v>
      </c>
      <c r="P682" t="s">
        <v>264</v>
      </c>
      <c r="Q682" t="s">
        <v>265</v>
      </c>
      <c r="R682" t="s">
        <v>266</v>
      </c>
      <c r="S682" t="s">
        <v>267</v>
      </c>
      <c r="T682" t="s">
        <v>267</v>
      </c>
      <c r="U682" t="s">
        <v>207</v>
      </c>
      <c r="V682" t="s">
        <v>268</v>
      </c>
      <c r="W682" t="s">
        <v>21</v>
      </c>
      <c r="X682" t="s">
        <v>21</v>
      </c>
      <c r="Y682" t="b">
        <v>1</v>
      </c>
      <c r="Z682">
        <v>5022</v>
      </c>
    </row>
    <row r="683" spans="1:26" hidden="1" x14ac:dyDescent="0.25">
      <c r="A683">
        <f>COUNTIF($P$2:P683,P683)</f>
        <v>7</v>
      </c>
      <c r="B683">
        <f>COUNTIF($A$2:A683,1)</f>
        <v>24</v>
      </c>
      <c r="C683" t="str">
        <f t="shared" si="50"/>
        <v>TCA</v>
      </c>
      <c r="D683" t="str">
        <f t="shared" si="51"/>
        <v>TCADevice</v>
      </c>
      <c r="E683">
        <f>COUNTIF($R$2:R683,R683)</f>
        <v>7</v>
      </c>
      <c r="F683">
        <f>COUNTIF($E$2:E683,1)</f>
        <v>36</v>
      </c>
      <c r="G683" t="str">
        <f t="shared" si="52"/>
        <v>tca.services.mca</v>
      </c>
      <c r="H683" t="str">
        <f t="shared" si="53"/>
        <v>TCAtca.services.mcaDevice</v>
      </c>
      <c r="I683" t="str">
        <f t="shared" si="54"/>
        <v>TCAtca.services.mcaapp.mandate.authentication.enabled</v>
      </c>
      <c r="J683">
        <f>IF(I683="",0,COUNTIF($I$2:I683,I683))</f>
        <v>7</v>
      </c>
      <c r="K683">
        <f>COUNTIF($J$2:J683,1)</f>
        <v>107</v>
      </c>
      <c r="N683">
        <v>45</v>
      </c>
      <c r="O683" t="s">
        <v>31</v>
      </c>
      <c r="P683" t="s">
        <v>264</v>
      </c>
      <c r="Q683" t="s">
        <v>265</v>
      </c>
      <c r="R683" t="s">
        <v>266</v>
      </c>
      <c r="S683" t="s">
        <v>267</v>
      </c>
      <c r="T683" t="s">
        <v>267</v>
      </c>
      <c r="U683" t="s">
        <v>207</v>
      </c>
      <c r="V683" t="s">
        <v>268</v>
      </c>
      <c r="W683" t="s">
        <v>21</v>
      </c>
      <c r="X683" t="s">
        <v>21</v>
      </c>
      <c r="Y683" t="b">
        <v>1</v>
      </c>
      <c r="Z683">
        <v>5022</v>
      </c>
    </row>
    <row r="684" spans="1:26" hidden="1" x14ac:dyDescent="0.25">
      <c r="A684">
        <f>COUNTIF($P$2:P684,P684)</f>
        <v>8</v>
      </c>
      <c r="B684">
        <f>COUNTIF($A$2:A684,1)</f>
        <v>24</v>
      </c>
      <c r="C684" t="str">
        <f t="shared" si="50"/>
        <v>TCA</v>
      </c>
      <c r="D684" t="str">
        <f t="shared" si="51"/>
        <v>TCADevice</v>
      </c>
      <c r="E684">
        <f>COUNTIF($R$2:R684,R684)</f>
        <v>8</v>
      </c>
      <c r="F684">
        <f>COUNTIF($E$2:E684,1)</f>
        <v>36</v>
      </c>
      <c r="G684" t="str">
        <f t="shared" si="52"/>
        <v>tca.services.mca</v>
      </c>
      <c r="H684" t="str">
        <f t="shared" si="53"/>
        <v>TCAtca.services.mcaDevice</v>
      </c>
      <c r="I684" t="str">
        <f t="shared" si="54"/>
        <v>TCAtca.services.mcaapp.mandate.creation.enabled</v>
      </c>
      <c r="J684">
        <f>IF(I684="",0,COUNTIF($I$2:I684,I684))</f>
        <v>1</v>
      </c>
      <c r="K684">
        <f>COUNTIF($J$2:J684,1)</f>
        <v>108</v>
      </c>
      <c r="N684">
        <v>12</v>
      </c>
      <c r="O684" t="s">
        <v>31</v>
      </c>
      <c r="P684" t="s">
        <v>264</v>
      </c>
      <c r="Q684" t="s">
        <v>265</v>
      </c>
      <c r="R684" t="s">
        <v>266</v>
      </c>
      <c r="S684" t="s">
        <v>267</v>
      </c>
      <c r="T684" t="s">
        <v>267</v>
      </c>
      <c r="U684" t="s">
        <v>207</v>
      </c>
      <c r="V684" t="s">
        <v>177</v>
      </c>
      <c r="W684" t="s">
        <v>21</v>
      </c>
      <c r="X684" t="s">
        <v>21</v>
      </c>
      <c r="Y684" t="b">
        <v>1</v>
      </c>
      <c r="Z684">
        <v>4990</v>
      </c>
    </row>
    <row r="685" spans="1:26" hidden="1" x14ac:dyDescent="0.25">
      <c r="A685">
        <f>COUNTIF($P$2:P685,P685)</f>
        <v>9</v>
      </c>
      <c r="B685">
        <f>COUNTIF($A$2:A685,1)</f>
        <v>24</v>
      </c>
      <c r="C685" t="str">
        <f t="shared" si="50"/>
        <v>TCA</v>
      </c>
      <c r="D685" t="str">
        <f t="shared" si="51"/>
        <v>TCADevice</v>
      </c>
      <c r="E685">
        <f>COUNTIF($R$2:R685,R685)</f>
        <v>9</v>
      </c>
      <c r="F685">
        <f>COUNTIF($E$2:E685,1)</f>
        <v>36</v>
      </c>
      <c r="G685" t="str">
        <f t="shared" si="52"/>
        <v>tca.services.mca</v>
      </c>
      <c r="H685" t="str">
        <f t="shared" si="53"/>
        <v>TCAtca.services.mcaDevice</v>
      </c>
      <c r="I685" t="str">
        <f t="shared" si="54"/>
        <v>TCAtca.services.mcaapp.mandate.creation.fields</v>
      </c>
      <c r="J685">
        <f>IF(I685="",0,COUNTIF($I$2:I685,I685))</f>
        <v>1</v>
      </c>
      <c r="K685">
        <f>COUNTIF($J$2:J685,1)</f>
        <v>109</v>
      </c>
      <c r="N685">
        <v>12</v>
      </c>
      <c r="O685" t="s">
        <v>31</v>
      </c>
      <c r="P685" t="s">
        <v>264</v>
      </c>
      <c r="Q685" t="s">
        <v>265</v>
      </c>
      <c r="R685" t="s">
        <v>266</v>
      </c>
      <c r="S685" t="s">
        <v>267</v>
      </c>
      <c r="T685" t="s">
        <v>267</v>
      </c>
      <c r="U685" t="s">
        <v>207</v>
      </c>
      <c r="V685" t="s">
        <v>269</v>
      </c>
      <c r="W685" t="s">
        <v>21</v>
      </c>
      <c r="X685" t="s">
        <v>21</v>
      </c>
      <c r="Y685" t="s">
        <v>270</v>
      </c>
      <c r="Z685">
        <v>4998</v>
      </c>
    </row>
    <row r="686" spans="1:26" hidden="1" x14ac:dyDescent="0.25">
      <c r="A686">
        <f>COUNTIF($P$2:P686,P686)</f>
        <v>10</v>
      </c>
      <c r="B686">
        <f>COUNTIF($A$2:A686,1)</f>
        <v>24</v>
      </c>
      <c r="C686" t="str">
        <f t="shared" si="50"/>
        <v>TCA</v>
      </c>
      <c r="D686" t="str">
        <f t="shared" si="51"/>
        <v>TCAParent</v>
      </c>
      <c r="E686">
        <f>COUNTIF($R$2:R686,R686)</f>
        <v>10</v>
      </c>
      <c r="F686">
        <f>COUNTIF($E$2:E686,1)</f>
        <v>36</v>
      </c>
      <c r="G686" t="str">
        <f t="shared" si="52"/>
        <v>tca.services.mca</v>
      </c>
      <c r="H686" t="str">
        <f t="shared" si="53"/>
        <v>TCAtca.services.mcaParent</v>
      </c>
      <c r="I686" t="str">
        <f t="shared" si="54"/>
        <v>TCAtca.services.mcaapp.manual.payments.enabled</v>
      </c>
      <c r="J686">
        <f>IF(I686="",0,COUNTIF($I$2:I686,I686))</f>
        <v>1</v>
      </c>
      <c r="K686">
        <f>COUNTIF($J$2:J686,1)</f>
        <v>110</v>
      </c>
      <c r="N686">
        <v>273</v>
      </c>
      <c r="O686" t="s">
        <v>15</v>
      </c>
      <c r="P686" t="s">
        <v>264</v>
      </c>
      <c r="Q686" t="s">
        <v>265</v>
      </c>
      <c r="R686" t="s">
        <v>266</v>
      </c>
      <c r="S686" t="s">
        <v>267</v>
      </c>
      <c r="T686" t="s">
        <v>267</v>
      </c>
      <c r="U686" t="s">
        <v>207</v>
      </c>
      <c r="V686" t="s">
        <v>271</v>
      </c>
      <c r="W686" t="s">
        <v>21</v>
      </c>
      <c r="X686" t="s">
        <v>21</v>
      </c>
      <c r="Y686" t="b">
        <v>1</v>
      </c>
      <c r="Z686">
        <v>5024</v>
      </c>
    </row>
    <row r="687" spans="1:26" hidden="1" x14ac:dyDescent="0.25">
      <c r="A687">
        <f>COUNTIF($P$2:P687,P687)</f>
        <v>11</v>
      </c>
      <c r="B687">
        <f>COUNTIF($A$2:A687,1)</f>
        <v>24</v>
      </c>
      <c r="C687" t="str">
        <f t="shared" si="50"/>
        <v>TCA</v>
      </c>
      <c r="D687" t="str">
        <f t="shared" si="51"/>
        <v>TCADevice</v>
      </c>
      <c r="E687">
        <f>COUNTIF($R$2:R687,R687)</f>
        <v>11</v>
      </c>
      <c r="F687">
        <f>COUNTIF($E$2:E687,1)</f>
        <v>36</v>
      </c>
      <c r="G687" t="str">
        <f t="shared" si="52"/>
        <v>tca.services.mca</v>
      </c>
      <c r="H687" t="str">
        <f t="shared" si="53"/>
        <v>TCAtca.services.mcaDevice</v>
      </c>
      <c r="I687" t="str">
        <f t="shared" si="54"/>
        <v>TCAtca.services.mcaapp.manual.payments.enabled</v>
      </c>
      <c r="J687">
        <f>IF(I687="",0,COUNTIF($I$2:I687,I687))</f>
        <v>2</v>
      </c>
      <c r="K687">
        <f>COUNTIF($J$2:J687,1)</f>
        <v>110</v>
      </c>
      <c r="N687">
        <v>32</v>
      </c>
      <c r="O687" t="s">
        <v>31</v>
      </c>
      <c r="P687" t="s">
        <v>264</v>
      </c>
      <c r="Q687" t="s">
        <v>265</v>
      </c>
      <c r="R687" t="s">
        <v>266</v>
      </c>
      <c r="S687" t="s">
        <v>267</v>
      </c>
      <c r="T687" t="s">
        <v>267</v>
      </c>
      <c r="U687" t="s">
        <v>207</v>
      </c>
      <c r="V687" t="s">
        <v>271</v>
      </c>
      <c r="W687" t="s">
        <v>21</v>
      </c>
      <c r="X687" t="s">
        <v>21</v>
      </c>
      <c r="Y687" t="b">
        <v>1</v>
      </c>
      <c r="Z687">
        <v>5024</v>
      </c>
    </row>
    <row r="688" spans="1:26" hidden="1" x14ac:dyDescent="0.25">
      <c r="A688">
        <f>COUNTIF($P$2:P688,P688)</f>
        <v>12</v>
      </c>
      <c r="B688">
        <f>COUNTIF($A$2:A688,1)</f>
        <v>24</v>
      </c>
      <c r="C688" t="str">
        <f t="shared" si="50"/>
        <v>TCA</v>
      </c>
      <c r="D688" t="str">
        <f t="shared" si="51"/>
        <v>TCADevice</v>
      </c>
      <c r="E688">
        <f>COUNTIF($R$2:R688,R688)</f>
        <v>12</v>
      </c>
      <c r="F688">
        <f>COUNTIF($E$2:E688,1)</f>
        <v>36</v>
      </c>
      <c r="G688" t="str">
        <f t="shared" si="52"/>
        <v>tca.services.mca</v>
      </c>
      <c r="H688" t="str">
        <f t="shared" si="53"/>
        <v>TCAtca.services.mcaDevice</v>
      </c>
      <c r="I688" t="str">
        <f t="shared" si="54"/>
        <v>TCAtca.services.mcaapp.manual.payments.enabled</v>
      </c>
      <c r="J688">
        <f>IF(I688="",0,COUNTIF($I$2:I688,I688))</f>
        <v>3</v>
      </c>
      <c r="K688">
        <f>COUNTIF($J$2:J688,1)</f>
        <v>110</v>
      </c>
      <c r="N688">
        <v>1</v>
      </c>
      <c r="O688" t="s">
        <v>31</v>
      </c>
      <c r="P688" t="s">
        <v>264</v>
      </c>
      <c r="Q688" t="s">
        <v>265</v>
      </c>
      <c r="R688" t="s">
        <v>266</v>
      </c>
      <c r="S688" t="s">
        <v>267</v>
      </c>
      <c r="T688" t="s">
        <v>267</v>
      </c>
      <c r="U688" t="s">
        <v>207</v>
      </c>
      <c r="V688" t="s">
        <v>271</v>
      </c>
      <c r="W688" t="s">
        <v>21</v>
      </c>
      <c r="X688" t="s">
        <v>21</v>
      </c>
      <c r="Y688" t="b">
        <v>1</v>
      </c>
      <c r="Z688">
        <v>5024</v>
      </c>
    </row>
    <row r="689" spans="1:26" hidden="1" x14ac:dyDescent="0.25">
      <c r="A689">
        <f>COUNTIF($P$2:P689,P689)</f>
        <v>13</v>
      </c>
      <c r="B689">
        <f>COUNTIF($A$2:A689,1)</f>
        <v>24</v>
      </c>
      <c r="C689" t="str">
        <f t="shared" si="50"/>
        <v>TCA</v>
      </c>
      <c r="D689" t="str">
        <f t="shared" si="51"/>
        <v>TCAParent</v>
      </c>
      <c r="E689">
        <f>COUNTIF($R$2:R689,R689)</f>
        <v>13</v>
      </c>
      <c r="F689">
        <f>COUNTIF($E$2:E689,1)</f>
        <v>36</v>
      </c>
      <c r="G689" t="str">
        <f t="shared" si="52"/>
        <v>tca.services.mca</v>
      </c>
      <c r="H689" t="str">
        <f t="shared" si="53"/>
        <v>TCAtca.services.mcaParent</v>
      </c>
      <c r="I689" t="str">
        <f t="shared" si="54"/>
        <v>TCAtca.services.mcaapp.manual.payments.enabled</v>
      </c>
      <c r="J689">
        <f>IF(I689="",0,COUNTIF($I$2:I689,I689))</f>
        <v>4</v>
      </c>
      <c r="K689">
        <f>COUNTIF($J$2:J689,1)</f>
        <v>110</v>
      </c>
      <c r="N689">
        <v>3</v>
      </c>
      <c r="O689" t="s">
        <v>15</v>
      </c>
      <c r="P689" t="s">
        <v>264</v>
      </c>
      <c r="Q689" t="s">
        <v>265</v>
      </c>
      <c r="R689" t="s">
        <v>266</v>
      </c>
      <c r="S689" t="s">
        <v>267</v>
      </c>
      <c r="T689" t="s">
        <v>267</v>
      </c>
      <c r="U689" t="s">
        <v>207</v>
      </c>
      <c r="V689" t="s">
        <v>271</v>
      </c>
      <c r="W689" t="s">
        <v>21</v>
      </c>
      <c r="X689" t="s">
        <v>21</v>
      </c>
      <c r="Y689" t="b">
        <v>1</v>
      </c>
      <c r="Z689">
        <v>5024</v>
      </c>
    </row>
    <row r="690" spans="1:26" hidden="1" x14ac:dyDescent="0.25">
      <c r="A690">
        <f>COUNTIF($P$2:P690,P690)</f>
        <v>14</v>
      </c>
      <c r="B690">
        <f>COUNTIF($A$2:A690,1)</f>
        <v>24</v>
      </c>
      <c r="C690" t="str">
        <f t="shared" si="50"/>
        <v>TCA</v>
      </c>
      <c r="D690" t="str">
        <f t="shared" si="51"/>
        <v>TCADevice</v>
      </c>
      <c r="E690">
        <f>COUNTIF($R$2:R690,R690)</f>
        <v>14</v>
      </c>
      <c r="F690">
        <f>COUNTIF($E$2:E690,1)</f>
        <v>36</v>
      </c>
      <c r="G690" t="str">
        <f t="shared" si="52"/>
        <v>tca.services.mca</v>
      </c>
      <c r="H690" t="str">
        <f t="shared" si="53"/>
        <v>TCAtca.services.mcaDevice</v>
      </c>
      <c r="I690" t="str">
        <f t="shared" si="54"/>
        <v>TCAtca.services.mcaapp.manual.payments.enabled</v>
      </c>
      <c r="J690">
        <f>IF(I690="",0,COUNTIF($I$2:I690,I690))</f>
        <v>5</v>
      </c>
      <c r="K690">
        <f>COUNTIF($J$2:J690,1)</f>
        <v>110</v>
      </c>
      <c r="N690">
        <v>44</v>
      </c>
      <c r="O690" t="s">
        <v>31</v>
      </c>
      <c r="P690" t="s">
        <v>264</v>
      </c>
      <c r="Q690" t="s">
        <v>265</v>
      </c>
      <c r="R690" t="s">
        <v>266</v>
      </c>
      <c r="S690" t="s">
        <v>267</v>
      </c>
      <c r="T690" t="s">
        <v>267</v>
      </c>
      <c r="U690" t="s">
        <v>207</v>
      </c>
      <c r="V690" t="s">
        <v>271</v>
      </c>
      <c r="W690" t="s">
        <v>21</v>
      </c>
      <c r="X690" t="s">
        <v>21</v>
      </c>
      <c r="Y690" t="b">
        <v>1</v>
      </c>
      <c r="Z690">
        <v>5024</v>
      </c>
    </row>
    <row r="691" spans="1:26" hidden="1" x14ac:dyDescent="0.25">
      <c r="A691">
        <f>COUNTIF($P$2:P691,P691)</f>
        <v>15</v>
      </c>
      <c r="B691">
        <f>COUNTIF($A$2:A691,1)</f>
        <v>24</v>
      </c>
      <c r="C691" t="str">
        <f t="shared" si="50"/>
        <v>TCA</v>
      </c>
      <c r="D691" t="str">
        <f t="shared" si="51"/>
        <v>TCAParent</v>
      </c>
      <c r="E691">
        <f>COUNTIF($R$2:R691,R691)</f>
        <v>15</v>
      </c>
      <c r="F691">
        <f>COUNTIF($E$2:E691,1)</f>
        <v>36</v>
      </c>
      <c r="G691" t="str">
        <f t="shared" si="52"/>
        <v>tca.services.mca</v>
      </c>
      <c r="H691" t="str">
        <f t="shared" si="53"/>
        <v>TCAtca.services.mcaParent</v>
      </c>
      <c r="I691" t="str">
        <f t="shared" si="54"/>
        <v>TCAtca.services.mcaapp.payments.enabled</v>
      </c>
      <c r="J691">
        <f>IF(I691="",0,COUNTIF($I$2:I691,I691))</f>
        <v>1</v>
      </c>
      <c r="K691">
        <f>COUNTIF($J$2:J691,1)</f>
        <v>111</v>
      </c>
      <c r="N691">
        <v>279</v>
      </c>
      <c r="O691" t="s">
        <v>15</v>
      </c>
      <c r="P691" t="s">
        <v>264</v>
      </c>
      <c r="Q691" t="s">
        <v>265</v>
      </c>
      <c r="R691" t="s">
        <v>266</v>
      </c>
      <c r="S691" t="s">
        <v>267</v>
      </c>
      <c r="T691" t="s">
        <v>267</v>
      </c>
      <c r="U691" t="s">
        <v>207</v>
      </c>
      <c r="V691" t="s">
        <v>272</v>
      </c>
      <c r="W691" t="s">
        <v>21</v>
      </c>
      <c r="X691" t="s">
        <v>21</v>
      </c>
      <c r="Y691" t="b">
        <v>0</v>
      </c>
      <c r="Z691">
        <v>5023</v>
      </c>
    </row>
    <row r="692" spans="1:26" hidden="1" x14ac:dyDescent="0.25">
      <c r="A692">
        <f>COUNTIF($P$2:P692,P692)</f>
        <v>16</v>
      </c>
      <c r="B692">
        <f>COUNTIF($A$2:A692,1)</f>
        <v>24</v>
      </c>
      <c r="C692" t="str">
        <f t="shared" si="50"/>
        <v>TCA</v>
      </c>
      <c r="D692" t="str">
        <f t="shared" si="51"/>
        <v>TCADevice</v>
      </c>
      <c r="E692">
        <f>COUNTIF($R$2:R692,R692)</f>
        <v>16</v>
      </c>
      <c r="F692">
        <f>COUNTIF($E$2:E692,1)</f>
        <v>36</v>
      </c>
      <c r="G692" t="str">
        <f t="shared" si="52"/>
        <v>tca.services.mca</v>
      </c>
      <c r="H692" t="str">
        <f t="shared" si="53"/>
        <v>TCAtca.services.mcaDevice</v>
      </c>
      <c r="I692" t="str">
        <f t="shared" si="54"/>
        <v>TCAtca.services.mcaapp.payments.enabled</v>
      </c>
      <c r="J692">
        <f>IF(I692="",0,COUNTIF($I$2:I692,I692))</f>
        <v>2</v>
      </c>
      <c r="K692">
        <f>COUNTIF($J$2:J692,1)</f>
        <v>111</v>
      </c>
      <c r="N692">
        <v>86</v>
      </c>
      <c r="O692" t="s">
        <v>31</v>
      </c>
      <c r="P692" t="s">
        <v>264</v>
      </c>
      <c r="Q692" t="s">
        <v>265</v>
      </c>
      <c r="R692" t="s">
        <v>266</v>
      </c>
      <c r="S692" t="s">
        <v>267</v>
      </c>
      <c r="T692" t="s">
        <v>267</v>
      </c>
      <c r="U692" t="s">
        <v>207</v>
      </c>
      <c r="V692" t="s">
        <v>272</v>
      </c>
      <c r="W692" t="s">
        <v>21</v>
      </c>
      <c r="X692" t="s">
        <v>21</v>
      </c>
      <c r="Y692" t="b">
        <v>0</v>
      </c>
      <c r="Z692">
        <v>5023</v>
      </c>
    </row>
    <row r="693" spans="1:26" hidden="1" x14ac:dyDescent="0.25">
      <c r="A693">
        <f>COUNTIF($P$2:P693,P693)</f>
        <v>17</v>
      </c>
      <c r="B693">
        <f>COUNTIF($A$2:A693,1)</f>
        <v>24</v>
      </c>
      <c r="C693" t="str">
        <f t="shared" si="50"/>
        <v>TCA</v>
      </c>
      <c r="D693" t="str">
        <f t="shared" si="51"/>
        <v>TCAParent</v>
      </c>
      <c r="E693">
        <f>COUNTIF($R$2:R693,R693)</f>
        <v>17</v>
      </c>
      <c r="F693">
        <f>COUNTIF($E$2:E693,1)</f>
        <v>36</v>
      </c>
      <c r="G693" t="str">
        <f t="shared" si="52"/>
        <v>tca.services.mca</v>
      </c>
      <c r="H693" t="str">
        <f t="shared" si="53"/>
        <v>TCAtca.services.mcaParent</v>
      </c>
      <c r="I693" t="str">
        <f t="shared" si="54"/>
        <v>TCAtca.services.mcaapp.payments.enabled</v>
      </c>
      <c r="J693">
        <f>IF(I693="",0,COUNTIF($I$2:I693,I693))</f>
        <v>3</v>
      </c>
      <c r="K693">
        <f>COUNTIF($J$2:J693,1)</f>
        <v>111</v>
      </c>
      <c r="N693">
        <v>1</v>
      </c>
      <c r="O693" t="s">
        <v>15</v>
      </c>
      <c r="P693" t="s">
        <v>264</v>
      </c>
      <c r="Q693" t="s">
        <v>265</v>
      </c>
      <c r="R693" t="s">
        <v>266</v>
      </c>
      <c r="S693" t="s">
        <v>267</v>
      </c>
      <c r="T693" t="s">
        <v>267</v>
      </c>
      <c r="U693" t="s">
        <v>207</v>
      </c>
      <c r="V693" t="s">
        <v>272</v>
      </c>
      <c r="W693" t="s">
        <v>21</v>
      </c>
      <c r="X693" t="s">
        <v>21</v>
      </c>
      <c r="Y693" t="b">
        <v>0</v>
      </c>
      <c r="Z693">
        <v>5023</v>
      </c>
    </row>
    <row r="694" spans="1:26" hidden="1" x14ac:dyDescent="0.25">
      <c r="A694">
        <f>COUNTIF($P$2:P694,P694)</f>
        <v>18</v>
      </c>
      <c r="B694">
        <f>COUNTIF($A$2:A694,1)</f>
        <v>24</v>
      </c>
      <c r="C694" t="str">
        <f t="shared" si="50"/>
        <v>TCA</v>
      </c>
      <c r="D694" t="str">
        <f t="shared" si="51"/>
        <v>TCADevice</v>
      </c>
      <c r="E694">
        <f>COUNTIF($R$2:R694,R694)</f>
        <v>18</v>
      </c>
      <c r="F694">
        <f>COUNTIF($E$2:E694,1)</f>
        <v>36</v>
      </c>
      <c r="G694" t="str">
        <f t="shared" si="52"/>
        <v>tca.services.mca</v>
      </c>
      <c r="H694" t="str">
        <f t="shared" si="53"/>
        <v>TCAtca.services.mcaDevice</v>
      </c>
      <c r="I694" t="str">
        <f t="shared" si="54"/>
        <v>TCAtca.services.mcaapp.payments.enabled</v>
      </c>
      <c r="J694">
        <f>IF(I694="",0,COUNTIF($I$2:I694,I694))</f>
        <v>4</v>
      </c>
      <c r="K694">
        <f>COUNTIF($J$2:J694,1)</f>
        <v>111</v>
      </c>
      <c r="N694">
        <v>45</v>
      </c>
      <c r="O694" t="s">
        <v>31</v>
      </c>
      <c r="P694" t="s">
        <v>264</v>
      </c>
      <c r="Q694" t="s">
        <v>265</v>
      </c>
      <c r="R694" t="s">
        <v>266</v>
      </c>
      <c r="S694" t="s">
        <v>267</v>
      </c>
      <c r="T694" t="s">
        <v>267</v>
      </c>
      <c r="U694" t="s">
        <v>207</v>
      </c>
      <c r="V694" t="s">
        <v>272</v>
      </c>
      <c r="W694" t="s">
        <v>21</v>
      </c>
      <c r="X694" t="s">
        <v>21</v>
      </c>
      <c r="Y694" t="b">
        <v>0</v>
      </c>
      <c r="Z694">
        <v>5023</v>
      </c>
    </row>
    <row r="695" spans="1:26" hidden="1" x14ac:dyDescent="0.25">
      <c r="A695">
        <f>COUNTIF($P$2:P695,P695)</f>
        <v>19</v>
      </c>
      <c r="B695">
        <f>COUNTIF($A$2:A695,1)</f>
        <v>24</v>
      </c>
      <c r="C695" t="str">
        <f t="shared" si="50"/>
        <v>TCA</v>
      </c>
      <c r="D695" t="str">
        <f t="shared" si="51"/>
        <v>TCAParent</v>
      </c>
      <c r="E695">
        <f>COUNTIF($R$2:R695,R695)</f>
        <v>19</v>
      </c>
      <c r="F695">
        <f>COUNTIF($E$2:E695,1)</f>
        <v>36</v>
      </c>
      <c r="G695" t="str">
        <f t="shared" si="52"/>
        <v>tca.services.mca</v>
      </c>
      <c r="H695" t="str">
        <f t="shared" si="53"/>
        <v>TCAtca.services.mcaParent</v>
      </c>
      <c r="I695" t="str">
        <f t="shared" si="54"/>
        <v>TCAtca.services.mcaapp.payments.enabled</v>
      </c>
      <c r="J695">
        <f>IF(I695="",0,COUNTIF($I$2:I695,I695))</f>
        <v>5</v>
      </c>
      <c r="K695">
        <f>COUNTIF($J$2:J695,1)</f>
        <v>111</v>
      </c>
      <c r="N695">
        <v>6</v>
      </c>
      <c r="O695" t="s">
        <v>15</v>
      </c>
      <c r="P695" t="s">
        <v>264</v>
      </c>
      <c r="Q695" t="s">
        <v>265</v>
      </c>
      <c r="R695" t="s">
        <v>266</v>
      </c>
      <c r="S695" t="s">
        <v>267</v>
      </c>
      <c r="T695" t="s">
        <v>267</v>
      </c>
      <c r="U695" t="s">
        <v>207</v>
      </c>
      <c r="V695" t="s">
        <v>272</v>
      </c>
      <c r="W695" t="s">
        <v>21</v>
      </c>
      <c r="X695" t="s">
        <v>21</v>
      </c>
      <c r="Y695" t="b">
        <v>0</v>
      </c>
      <c r="Z695">
        <v>5023</v>
      </c>
    </row>
    <row r="696" spans="1:26" hidden="1" x14ac:dyDescent="0.25">
      <c r="A696">
        <f>COUNTIF($P$2:P696,P696)</f>
        <v>20</v>
      </c>
      <c r="B696">
        <f>COUNTIF($A$2:A696,1)</f>
        <v>24</v>
      </c>
      <c r="C696" t="str">
        <f t="shared" si="50"/>
        <v>TCA</v>
      </c>
      <c r="D696" t="str">
        <f t="shared" si="51"/>
        <v>TCADevice</v>
      </c>
      <c r="E696">
        <f>COUNTIF($R$2:R696,R696)</f>
        <v>20</v>
      </c>
      <c r="F696">
        <f>COUNTIF($E$2:E696,1)</f>
        <v>36</v>
      </c>
      <c r="G696" t="str">
        <f t="shared" si="52"/>
        <v>tca.services.mca</v>
      </c>
      <c r="H696" t="str">
        <f t="shared" si="53"/>
        <v>TCAtca.services.mcaDevice</v>
      </c>
      <c r="I696" t="str">
        <f t="shared" si="54"/>
        <v>TCAtca.services.mcaapp.payments.enabled</v>
      </c>
      <c r="J696">
        <f>IF(I696="",0,COUNTIF($I$2:I696,I696))</f>
        <v>6</v>
      </c>
      <c r="K696">
        <f>COUNTIF($J$2:J696,1)</f>
        <v>111</v>
      </c>
      <c r="N696">
        <v>1</v>
      </c>
      <c r="O696" t="s">
        <v>31</v>
      </c>
      <c r="P696" t="s">
        <v>264</v>
      </c>
      <c r="Q696" t="s">
        <v>265</v>
      </c>
      <c r="R696" t="s">
        <v>266</v>
      </c>
      <c r="S696" t="s">
        <v>267</v>
      </c>
      <c r="T696" t="s">
        <v>267</v>
      </c>
      <c r="U696" t="s">
        <v>207</v>
      </c>
      <c r="V696" t="s">
        <v>272</v>
      </c>
      <c r="W696" t="s">
        <v>21</v>
      </c>
      <c r="X696" t="s">
        <v>21</v>
      </c>
      <c r="Y696" t="b">
        <v>0</v>
      </c>
      <c r="Z696">
        <v>5023</v>
      </c>
    </row>
    <row r="697" spans="1:26" hidden="1" x14ac:dyDescent="0.25">
      <c r="A697">
        <f>COUNTIF($P$2:P697,P697)</f>
        <v>21</v>
      </c>
      <c r="B697">
        <f>COUNTIF($A$2:A697,1)</f>
        <v>24</v>
      </c>
      <c r="C697" t="str">
        <f t="shared" si="50"/>
        <v>TCA</v>
      </c>
      <c r="D697" t="str">
        <f t="shared" si="51"/>
        <v>TCADevice</v>
      </c>
      <c r="E697">
        <f>COUNTIF($R$2:R697,R697)</f>
        <v>21</v>
      </c>
      <c r="F697">
        <f>COUNTIF($E$2:E697,1)</f>
        <v>36</v>
      </c>
      <c r="G697" t="str">
        <f t="shared" si="52"/>
        <v>tca.services.mca</v>
      </c>
      <c r="H697" t="str">
        <f t="shared" si="53"/>
        <v>TCAtca.services.mcaDevice</v>
      </c>
      <c r="I697" t="str">
        <f t="shared" si="54"/>
        <v>TCAtca.services.mcaapp.payments.enabled</v>
      </c>
      <c r="J697">
        <f>IF(I697="",0,COUNTIF($I$2:I697,I697))</f>
        <v>7</v>
      </c>
      <c r="K697">
        <f>COUNTIF($J$2:J697,1)</f>
        <v>111</v>
      </c>
      <c r="N697">
        <v>1</v>
      </c>
      <c r="O697" t="s">
        <v>31</v>
      </c>
      <c r="P697" t="s">
        <v>264</v>
      </c>
      <c r="Q697" t="s">
        <v>265</v>
      </c>
      <c r="R697" t="s">
        <v>266</v>
      </c>
      <c r="S697" t="s">
        <v>267</v>
      </c>
      <c r="T697" t="s">
        <v>267</v>
      </c>
      <c r="U697" t="s">
        <v>207</v>
      </c>
      <c r="V697" t="s">
        <v>272</v>
      </c>
      <c r="W697" t="s">
        <v>21</v>
      </c>
      <c r="X697" t="s">
        <v>21</v>
      </c>
      <c r="Y697" t="b">
        <v>0</v>
      </c>
      <c r="Z697">
        <v>5023</v>
      </c>
    </row>
    <row r="698" spans="1:26" hidden="1" x14ac:dyDescent="0.25">
      <c r="A698">
        <f>COUNTIF($P$2:P698,P698)</f>
        <v>22</v>
      </c>
      <c r="B698">
        <f>COUNTIF($A$2:A698,1)</f>
        <v>24</v>
      </c>
      <c r="C698" t="str">
        <f t="shared" si="50"/>
        <v>TCA</v>
      </c>
      <c r="D698" t="str">
        <f t="shared" si="51"/>
        <v>TCAParent</v>
      </c>
      <c r="E698">
        <f>COUNTIF($R$2:R698,R698)</f>
        <v>22</v>
      </c>
      <c r="F698">
        <f>COUNTIF($E$2:E698,1)</f>
        <v>36</v>
      </c>
      <c r="G698" t="str">
        <f t="shared" si="52"/>
        <v>tca.services.mca</v>
      </c>
      <c r="H698" t="str">
        <f t="shared" si="53"/>
        <v>TCAtca.services.mcaParent</v>
      </c>
      <c r="I698" t="str">
        <f t="shared" si="54"/>
        <v>TCAtca.services.mcaapp.transaction.history.enabled</v>
      </c>
      <c r="J698">
        <f>IF(I698="",0,COUNTIF($I$2:I698,I698))</f>
        <v>1</v>
      </c>
      <c r="K698">
        <f>COUNTIF($J$2:J698,1)</f>
        <v>112</v>
      </c>
      <c r="N698">
        <v>3</v>
      </c>
      <c r="O698" t="s">
        <v>15</v>
      </c>
      <c r="P698" t="s">
        <v>264</v>
      </c>
      <c r="Q698" t="s">
        <v>265</v>
      </c>
      <c r="R698" t="s">
        <v>266</v>
      </c>
      <c r="S698" t="s">
        <v>267</v>
      </c>
      <c r="T698" t="s">
        <v>267</v>
      </c>
      <c r="U698" t="s">
        <v>207</v>
      </c>
      <c r="V698" t="s">
        <v>178</v>
      </c>
      <c r="W698" t="s">
        <v>21</v>
      </c>
      <c r="X698" t="s">
        <v>21</v>
      </c>
      <c r="Y698" t="b">
        <v>1</v>
      </c>
      <c r="Z698">
        <v>5025</v>
      </c>
    </row>
    <row r="699" spans="1:26" hidden="1" x14ac:dyDescent="0.25">
      <c r="A699">
        <f>COUNTIF($P$2:P699,P699)</f>
        <v>23</v>
      </c>
      <c r="B699">
        <f>COUNTIF($A$2:A699,1)</f>
        <v>24</v>
      </c>
      <c r="C699" t="str">
        <f t="shared" si="50"/>
        <v>TCA</v>
      </c>
      <c r="D699" t="str">
        <f t="shared" si="51"/>
        <v>TCAParent</v>
      </c>
      <c r="E699">
        <f>COUNTIF($R$2:R699,R699)</f>
        <v>23</v>
      </c>
      <c r="F699">
        <f>COUNTIF($E$2:E699,1)</f>
        <v>36</v>
      </c>
      <c r="G699" t="str">
        <f t="shared" si="52"/>
        <v>tca.services.mca</v>
      </c>
      <c r="H699" t="str">
        <f t="shared" si="53"/>
        <v>TCAtca.services.mcaParent</v>
      </c>
      <c r="I699" t="str">
        <f t="shared" si="54"/>
        <v>TCAtca.services.mcaapp.transaction.history.enabled</v>
      </c>
      <c r="J699">
        <f>IF(I699="",0,COUNTIF($I$2:I699,I699))</f>
        <v>2</v>
      </c>
      <c r="K699">
        <f>COUNTIF($J$2:J699,1)</f>
        <v>112</v>
      </c>
      <c r="N699">
        <v>274</v>
      </c>
      <c r="O699" t="s">
        <v>15</v>
      </c>
      <c r="P699" t="s">
        <v>264</v>
      </c>
      <c r="Q699" t="s">
        <v>265</v>
      </c>
      <c r="R699" t="s">
        <v>266</v>
      </c>
      <c r="S699" t="s">
        <v>267</v>
      </c>
      <c r="T699" t="s">
        <v>267</v>
      </c>
      <c r="U699" t="s">
        <v>207</v>
      </c>
      <c r="V699" t="s">
        <v>178</v>
      </c>
      <c r="W699" t="s">
        <v>21</v>
      </c>
      <c r="X699" t="s">
        <v>21</v>
      </c>
      <c r="Y699" t="b">
        <v>1</v>
      </c>
      <c r="Z699">
        <v>5025</v>
      </c>
    </row>
    <row r="700" spans="1:26" hidden="1" x14ac:dyDescent="0.25">
      <c r="A700">
        <f>COUNTIF($P$2:P700,P700)</f>
        <v>24</v>
      </c>
      <c r="B700">
        <f>COUNTIF($A$2:A700,1)</f>
        <v>24</v>
      </c>
      <c r="C700" t="str">
        <f t="shared" si="50"/>
        <v>TCA</v>
      </c>
      <c r="D700" t="str">
        <f t="shared" si="51"/>
        <v>TCADevice</v>
      </c>
      <c r="E700">
        <f>COUNTIF($R$2:R700,R700)</f>
        <v>24</v>
      </c>
      <c r="F700">
        <f>COUNTIF($E$2:E700,1)</f>
        <v>36</v>
      </c>
      <c r="G700" t="str">
        <f t="shared" si="52"/>
        <v>tca.services.mca</v>
      </c>
      <c r="H700" t="str">
        <f t="shared" si="53"/>
        <v>TCAtca.services.mcaDevice</v>
      </c>
      <c r="I700" t="str">
        <f t="shared" si="54"/>
        <v>TCAtca.services.mcaapp.transaction.history.enabled</v>
      </c>
      <c r="J700">
        <f>IF(I700="",0,COUNTIF($I$2:I700,I700))</f>
        <v>3</v>
      </c>
      <c r="K700">
        <f>COUNTIF($J$2:J700,1)</f>
        <v>112</v>
      </c>
      <c r="N700">
        <v>31</v>
      </c>
      <c r="O700" t="s">
        <v>31</v>
      </c>
      <c r="P700" t="s">
        <v>264</v>
      </c>
      <c r="Q700" t="s">
        <v>265</v>
      </c>
      <c r="R700" t="s">
        <v>266</v>
      </c>
      <c r="S700" t="s">
        <v>267</v>
      </c>
      <c r="T700" t="s">
        <v>267</v>
      </c>
      <c r="U700" t="s">
        <v>207</v>
      </c>
      <c r="V700" t="s">
        <v>178</v>
      </c>
      <c r="W700" t="s">
        <v>21</v>
      </c>
      <c r="X700" t="s">
        <v>21</v>
      </c>
      <c r="Y700" t="b">
        <v>1</v>
      </c>
      <c r="Z700">
        <v>5025</v>
      </c>
    </row>
    <row r="701" spans="1:26" hidden="1" x14ac:dyDescent="0.25">
      <c r="A701">
        <f>COUNTIF($P$2:P701,P701)</f>
        <v>25</v>
      </c>
      <c r="B701">
        <f>COUNTIF($A$2:A701,1)</f>
        <v>24</v>
      </c>
      <c r="C701" t="str">
        <f t="shared" si="50"/>
        <v>TCA</v>
      </c>
      <c r="D701" t="str">
        <f t="shared" si="51"/>
        <v>TCADevice</v>
      </c>
      <c r="E701">
        <f>COUNTIF($R$2:R701,R701)</f>
        <v>25</v>
      </c>
      <c r="F701">
        <f>COUNTIF($E$2:E701,1)</f>
        <v>36</v>
      </c>
      <c r="G701" t="str">
        <f t="shared" si="52"/>
        <v>tca.services.mca</v>
      </c>
      <c r="H701" t="str">
        <f t="shared" si="53"/>
        <v>TCAtca.services.mcaDevice</v>
      </c>
      <c r="I701" t="str">
        <f t="shared" si="54"/>
        <v>TCAtca.services.mcaapp.transaction.history.enabled</v>
      </c>
      <c r="J701">
        <f>IF(I701="",0,COUNTIF($I$2:I701,I701))</f>
        <v>4</v>
      </c>
      <c r="K701">
        <f>COUNTIF($J$2:J701,1)</f>
        <v>112</v>
      </c>
      <c r="N701">
        <v>44</v>
      </c>
      <c r="O701" t="s">
        <v>31</v>
      </c>
      <c r="P701" t="s">
        <v>264</v>
      </c>
      <c r="Q701" t="s">
        <v>265</v>
      </c>
      <c r="R701" t="s">
        <v>266</v>
      </c>
      <c r="S701" t="s">
        <v>267</v>
      </c>
      <c r="T701" t="s">
        <v>267</v>
      </c>
      <c r="U701" t="s">
        <v>207</v>
      </c>
      <c r="V701" t="s">
        <v>178</v>
      </c>
      <c r="W701" t="s">
        <v>21</v>
      </c>
      <c r="X701" t="s">
        <v>21</v>
      </c>
      <c r="Y701" t="b">
        <v>1</v>
      </c>
      <c r="Z701">
        <v>5025</v>
      </c>
    </row>
    <row r="702" spans="1:26" hidden="1" x14ac:dyDescent="0.25">
      <c r="A702">
        <f>COUNTIF($P$2:P702,P702)</f>
        <v>26</v>
      </c>
      <c r="B702">
        <f>COUNTIF($A$2:A702,1)</f>
        <v>24</v>
      </c>
      <c r="C702" t="str">
        <f t="shared" si="50"/>
        <v>TCA</v>
      </c>
      <c r="D702" t="str">
        <f t="shared" si="51"/>
        <v>TCADevice</v>
      </c>
      <c r="E702">
        <f>COUNTIF($R$2:R702,R702)</f>
        <v>26</v>
      </c>
      <c r="F702">
        <f>COUNTIF($E$2:E702,1)</f>
        <v>36</v>
      </c>
      <c r="G702" t="str">
        <f t="shared" si="52"/>
        <v>tca.services.mca</v>
      </c>
      <c r="H702" t="str">
        <f t="shared" si="53"/>
        <v>TCAtca.services.mcaDevice</v>
      </c>
      <c r="I702" t="str">
        <f t="shared" si="54"/>
        <v>TCAtca.services.mcaapp.transaction.history.enabled</v>
      </c>
      <c r="J702">
        <f>IF(I702="",0,COUNTIF($I$2:I702,I702))</f>
        <v>5</v>
      </c>
      <c r="K702">
        <f>COUNTIF($J$2:J702,1)</f>
        <v>112</v>
      </c>
      <c r="N702">
        <v>1</v>
      </c>
      <c r="O702" t="s">
        <v>31</v>
      </c>
      <c r="P702" t="s">
        <v>264</v>
      </c>
      <c r="Q702" t="s">
        <v>265</v>
      </c>
      <c r="R702" t="s">
        <v>266</v>
      </c>
      <c r="S702" t="s">
        <v>267</v>
      </c>
      <c r="T702" t="s">
        <v>267</v>
      </c>
      <c r="U702" t="s">
        <v>207</v>
      </c>
      <c r="V702" t="s">
        <v>178</v>
      </c>
      <c r="W702" t="s">
        <v>21</v>
      </c>
      <c r="X702" t="s">
        <v>21</v>
      </c>
      <c r="Y702" t="b">
        <v>1</v>
      </c>
      <c r="Z702">
        <v>5025</v>
      </c>
    </row>
    <row r="703" spans="1:26" hidden="1" x14ac:dyDescent="0.25">
      <c r="A703">
        <f>COUNTIF($P$2:P703,P703)</f>
        <v>27</v>
      </c>
      <c r="B703">
        <f>COUNTIF($A$2:A703,1)</f>
        <v>24</v>
      </c>
      <c r="C703" t="str">
        <f t="shared" si="50"/>
        <v>TCA</v>
      </c>
      <c r="D703" t="str">
        <f t="shared" si="51"/>
        <v>TCADevice</v>
      </c>
      <c r="E703">
        <f>COUNTIF($R$2:R703,R703)</f>
        <v>27</v>
      </c>
      <c r="F703">
        <f>COUNTIF($E$2:E703,1)</f>
        <v>36</v>
      </c>
      <c r="G703" t="str">
        <f t="shared" si="52"/>
        <v>tca.services.mca</v>
      </c>
      <c r="H703" t="str">
        <f t="shared" si="53"/>
        <v>TCAtca.services.mcaDevice</v>
      </c>
      <c r="I703" t="str">
        <f t="shared" si="54"/>
        <v>TCAtca.services.mcamanual.payments.reference.config</v>
      </c>
      <c r="J703">
        <f>IF(I703="",0,COUNTIF($I$2:I703,I703))</f>
        <v>1</v>
      </c>
      <c r="K703">
        <f>COUNTIF($J$2:J703,1)</f>
        <v>113</v>
      </c>
      <c r="N703">
        <v>16</v>
      </c>
      <c r="O703" t="s">
        <v>31</v>
      </c>
      <c r="P703" t="s">
        <v>264</v>
      </c>
      <c r="Q703" t="s">
        <v>265</v>
      </c>
      <c r="R703" t="s">
        <v>266</v>
      </c>
      <c r="S703" t="s">
        <v>267</v>
      </c>
      <c r="T703" t="s">
        <v>267</v>
      </c>
      <c r="U703" t="s">
        <v>207</v>
      </c>
      <c r="V703" t="s">
        <v>273</v>
      </c>
      <c r="W703" t="s">
        <v>21</v>
      </c>
      <c r="X703" t="s">
        <v>21</v>
      </c>
      <c r="Y703" t="s">
        <v>274</v>
      </c>
      <c r="Z703">
        <v>4994</v>
      </c>
    </row>
    <row r="704" spans="1:26" hidden="1" x14ac:dyDescent="0.25">
      <c r="A704">
        <f>COUNTIF($P$2:P704,P704)</f>
        <v>28</v>
      </c>
      <c r="B704">
        <f>COUNTIF($A$2:A704,1)</f>
        <v>24</v>
      </c>
      <c r="C704" t="str">
        <f t="shared" si="50"/>
        <v>TCA</v>
      </c>
      <c r="D704" t="str">
        <f t="shared" si="51"/>
        <v>TCAIntegrator</v>
      </c>
      <c r="E704">
        <f>COUNTIF($R$2:R704,R704)</f>
        <v>28</v>
      </c>
      <c r="F704">
        <f>COUNTIF($E$2:E704,1)</f>
        <v>36</v>
      </c>
      <c r="G704" t="str">
        <f t="shared" si="52"/>
        <v>tca.services.mca</v>
      </c>
      <c r="H704" t="str">
        <f t="shared" si="53"/>
        <v>TCAtca.services.mcaIntegrator</v>
      </c>
      <c r="I704" t="str">
        <f t="shared" si="54"/>
        <v>TCAtca.services.mcaocs.ed.mandate.default.details</v>
      </c>
      <c r="J704">
        <f>IF(I704="",0,COUNTIF($I$2:I704,I704))</f>
        <v>1</v>
      </c>
      <c r="K704">
        <f>COUNTIF($J$2:J704,1)</f>
        <v>114</v>
      </c>
      <c r="N704">
        <v>9</v>
      </c>
      <c r="O704" t="s">
        <v>23</v>
      </c>
      <c r="P704" t="s">
        <v>264</v>
      </c>
      <c r="Q704" t="s">
        <v>265</v>
      </c>
      <c r="R704" t="s">
        <v>266</v>
      </c>
      <c r="S704" t="s">
        <v>267</v>
      </c>
      <c r="T704" t="s">
        <v>267</v>
      </c>
      <c r="U704" t="s">
        <v>207</v>
      </c>
      <c r="V704" t="s">
        <v>189</v>
      </c>
      <c r="W704" t="s">
        <v>21</v>
      </c>
      <c r="X704" t="s">
        <v>21</v>
      </c>
      <c r="Y704" t="s">
        <v>190</v>
      </c>
      <c r="Z704">
        <v>4988</v>
      </c>
    </row>
    <row r="705" spans="1:26" hidden="1" x14ac:dyDescent="0.25">
      <c r="A705">
        <f>COUNTIF($P$2:P705,P705)</f>
        <v>29</v>
      </c>
      <c r="B705">
        <f>COUNTIF($A$2:A705,1)</f>
        <v>24</v>
      </c>
      <c r="C705" t="str">
        <f t="shared" si="50"/>
        <v>TCA</v>
      </c>
      <c r="D705" t="str">
        <f t="shared" si="51"/>
        <v>TCADevice</v>
      </c>
      <c r="E705">
        <f>COUNTIF($R$2:R705,R705)</f>
        <v>29</v>
      </c>
      <c r="F705">
        <f>COUNTIF($E$2:E705,1)</f>
        <v>36</v>
      </c>
      <c r="G705" t="str">
        <f t="shared" si="52"/>
        <v>tca.services.mca</v>
      </c>
      <c r="H705" t="str">
        <f t="shared" si="53"/>
        <v>TCAtca.services.mcaDevice</v>
      </c>
      <c r="I705" t="str">
        <f t="shared" si="54"/>
        <v>TCAtca.services.mcatca.application.key</v>
      </c>
      <c r="J705">
        <f>IF(I705="",0,COUNTIF($I$2:I705,I705))</f>
        <v>1</v>
      </c>
      <c r="K705">
        <f>COUNTIF($J$2:J705,1)</f>
        <v>115</v>
      </c>
      <c r="N705">
        <v>85</v>
      </c>
      <c r="O705" t="s">
        <v>31</v>
      </c>
      <c r="P705" t="s">
        <v>264</v>
      </c>
      <c r="Q705" t="s">
        <v>265</v>
      </c>
      <c r="R705" t="s">
        <v>266</v>
      </c>
      <c r="S705" t="s">
        <v>267</v>
      </c>
      <c r="T705" t="s">
        <v>267</v>
      </c>
      <c r="U705" t="s">
        <v>207</v>
      </c>
      <c r="V705" t="s">
        <v>275</v>
      </c>
      <c r="W705" t="s">
        <v>21</v>
      </c>
      <c r="X705" t="s">
        <v>21</v>
      </c>
      <c r="Y705" t="s">
        <v>276</v>
      </c>
      <c r="Z705">
        <v>5019</v>
      </c>
    </row>
    <row r="706" spans="1:26" hidden="1" x14ac:dyDescent="0.25">
      <c r="A706">
        <f>COUNTIF($P$2:P706,P706)</f>
        <v>30</v>
      </c>
      <c r="B706">
        <f>COUNTIF($A$2:A706,1)</f>
        <v>24</v>
      </c>
      <c r="C706" t="str">
        <f t="shared" si="50"/>
        <v>TCA</v>
      </c>
      <c r="D706" t="str">
        <f t="shared" si="51"/>
        <v>TCAParent</v>
      </c>
      <c r="E706">
        <f>COUNTIF($R$2:R706,R706)</f>
        <v>30</v>
      </c>
      <c r="F706">
        <f>COUNTIF($E$2:E706,1)</f>
        <v>36</v>
      </c>
      <c r="G706" t="str">
        <f t="shared" si="52"/>
        <v>tca.services.mca</v>
      </c>
      <c r="H706" t="str">
        <f t="shared" si="53"/>
        <v>TCAtca.services.mcaParent</v>
      </c>
      <c r="I706" t="str">
        <f t="shared" si="54"/>
        <v>TCAtca.services.mcatca.application.key</v>
      </c>
      <c r="J706">
        <f>IF(I706="",0,COUNTIF($I$2:I706,I706))</f>
        <v>2</v>
      </c>
      <c r="K706">
        <f>COUNTIF($J$2:J706,1)</f>
        <v>115</v>
      </c>
      <c r="N706">
        <v>279</v>
      </c>
      <c r="O706" t="s">
        <v>15</v>
      </c>
      <c r="P706" t="s">
        <v>264</v>
      </c>
      <c r="Q706" t="s">
        <v>265</v>
      </c>
      <c r="R706" t="s">
        <v>266</v>
      </c>
      <c r="S706" t="s">
        <v>267</v>
      </c>
      <c r="T706" t="s">
        <v>267</v>
      </c>
      <c r="U706" t="s">
        <v>207</v>
      </c>
      <c r="V706" t="s">
        <v>275</v>
      </c>
      <c r="W706" t="s">
        <v>21</v>
      </c>
      <c r="X706" t="s">
        <v>21</v>
      </c>
      <c r="Y706" t="s">
        <v>276</v>
      </c>
      <c r="Z706">
        <v>5019</v>
      </c>
    </row>
    <row r="707" spans="1:26" hidden="1" x14ac:dyDescent="0.25">
      <c r="A707">
        <f>COUNTIF($P$2:P707,P707)</f>
        <v>31</v>
      </c>
      <c r="B707">
        <f>COUNTIF($A$2:A707,1)</f>
        <v>24</v>
      </c>
      <c r="C707" t="str">
        <f t="shared" ref="C707:C770" si="55">IF(A707=1,P707,C706)</f>
        <v>TCA</v>
      </c>
      <c r="D707" t="str">
        <f t="shared" ref="D707:D770" si="56">C707&amp;O707</f>
        <v>TCADevice</v>
      </c>
      <c r="E707">
        <f>COUNTIF($R$2:R707,R707)</f>
        <v>31</v>
      </c>
      <c r="F707">
        <f>COUNTIF($E$2:E707,1)</f>
        <v>36</v>
      </c>
      <c r="G707" t="str">
        <f t="shared" ref="G707:G770" si="57">IF(E707=1,R707,G706)</f>
        <v>tca.services.mca</v>
      </c>
      <c r="H707" t="str">
        <f t="shared" ref="H707:H770" si="58">C707&amp;G707&amp;O707</f>
        <v>TCAtca.services.mcaDevice</v>
      </c>
      <c r="I707" t="str">
        <f t="shared" ref="I707:I770" si="59">IF(V707="","",P707&amp;R707&amp;V707)</f>
        <v>TCAtca.services.mcatca.application.key</v>
      </c>
      <c r="J707">
        <f>IF(I707="",0,COUNTIF($I$2:I707,I707))</f>
        <v>3</v>
      </c>
      <c r="K707">
        <f>COUNTIF($J$2:J707,1)</f>
        <v>115</v>
      </c>
      <c r="N707">
        <v>1</v>
      </c>
      <c r="O707" t="s">
        <v>31</v>
      </c>
      <c r="P707" t="s">
        <v>264</v>
      </c>
      <c r="Q707" t="s">
        <v>265</v>
      </c>
      <c r="R707" t="s">
        <v>266</v>
      </c>
      <c r="S707" t="s">
        <v>267</v>
      </c>
      <c r="T707" t="s">
        <v>267</v>
      </c>
      <c r="U707" t="s">
        <v>207</v>
      </c>
      <c r="V707" t="s">
        <v>275</v>
      </c>
      <c r="W707" t="s">
        <v>21</v>
      </c>
      <c r="X707" t="s">
        <v>21</v>
      </c>
      <c r="Y707" t="s">
        <v>276</v>
      </c>
      <c r="Z707">
        <v>5019</v>
      </c>
    </row>
    <row r="708" spans="1:26" hidden="1" x14ac:dyDescent="0.25">
      <c r="A708">
        <f>COUNTIF($P$2:P708,P708)</f>
        <v>32</v>
      </c>
      <c r="B708">
        <f>COUNTIF($A$2:A708,1)</f>
        <v>24</v>
      </c>
      <c r="C708" t="str">
        <f t="shared" si="55"/>
        <v>TCA</v>
      </c>
      <c r="D708" t="str">
        <f t="shared" si="56"/>
        <v>TCADevice</v>
      </c>
      <c r="E708">
        <f>COUNTIF($R$2:R708,R708)</f>
        <v>32</v>
      </c>
      <c r="F708">
        <f>COUNTIF($E$2:E708,1)</f>
        <v>36</v>
      </c>
      <c r="G708" t="str">
        <f t="shared" si="57"/>
        <v>tca.services.mca</v>
      </c>
      <c r="H708" t="str">
        <f t="shared" si="58"/>
        <v>TCAtca.services.mcaDevice</v>
      </c>
      <c r="I708" t="str">
        <f t="shared" si="59"/>
        <v>TCAtca.services.mcatca.application.key</v>
      </c>
      <c r="J708">
        <f>IF(I708="",0,COUNTIF($I$2:I708,I708))</f>
        <v>4</v>
      </c>
      <c r="K708">
        <f>COUNTIF($J$2:J708,1)</f>
        <v>115</v>
      </c>
      <c r="N708">
        <v>1</v>
      </c>
      <c r="O708" t="s">
        <v>31</v>
      </c>
      <c r="P708" t="s">
        <v>264</v>
      </c>
      <c r="Q708" t="s">
        <v>265</v>
      </c>
      <c r="R708" t="s">
        <v>266</v>
      </c>
      <c r="S708" t="s">
        <v>267</v>
      </c>
      <c r="T708" t="s">
        <v>267</v>
      </c>
      <c r="U708" t="s">
        <v>207</v>
      </c>
      <c r="V708" t="s">
        <v>275</v>
      </c>
      <c r="W708" t="s">
        <v>21</v>
      </c>
      <c r="X708" t="s">
        <v>21</v>
      </c>
      <c r="Y708" t="s">
        <v>276</v>
      </c>
      <c r="Z708">
        <v>5019</v>
      </c>
    </row>
    <row r="709" spans="1:26" hidden="1" x14ac:dyDescent="0.25">
      <c r="A709">
        <f>COUNTIF($P$2:P709,P709)</f>
        <v>33</v>
      </c>
      <c r="B709">
        <f>COUNTIF($A$2:A709,1)</f>
        <v>24</v>
      </c>
      <c r="C709" t="str">
        <f t="shared" si="55"/>
        <v>TCA</v>
      </c>
      <c r="D709" t="str">
        <f t="shared" si="56"/>
        <v>TCADevice</v>
      </c>
      <c r="E709">
        <f>COUNTIF($R$2:R709,R709)</f>
        <v>33</v>
      </c>
      <c r="F709">
        <f>COUNTIF($E$2:E709,1)</f>
        <v>36</v>
      </c>
      <c r="G709" t="str">
        <f t="shared" si="57"/>
        <v>tca.services.mca</v>
      </c>
      <c r="H709" t="str">
        <f t="shared" si="58"/>
        <v>TCAtca.services.mcaDevice</v>
      </c>
      <c r="I709" t="str">
        <f t="shared" si="59"/>
        <v>TCAtca.services.mcatca.application.key</v>
      </c>
      <c r="J709">
        <f>IF(I709="",0,COUNTIF($I$2:I709,I709))</f>
        <v>5</v>
      </c>
      <c r="K709">
        <f>COUNTIF($J$2:J709,1)</f>
        <v>115</v>
      </c>
      <c r="N709">
        <v>45</v>
      </c>
      <c r="O709" t="s">
        <v>31</v>
      </c>
      <c r="P709" t="s">
        <v>264</v>
      </c>
      <c r="Q709" t="s">
        <v>265</v>
      </c>
      <c r="R709" t="s">
        <v>266</v>
      </c>
      <c r="S709" t="s">
        <v>267</v>
      </c>
      <c r="T709" t="s">
        <v>267</v>
      </c>
      <c r="U709" t="s">
        <v>207</v>
      </c>
      <c r="V709" t="s">
        <v>275</v>
      </c>
      <c r="W709" t="s">
        <v>21</v>
      </c>
      <c r="X709" t="s">
        <v>21</v>
      </c>
      <c r="Y709" t="s">
        <v>276</v>
      </c>
      <c r="Z709">
        <v>5019</v>
      </c>
    </row>
    <row r="710" spans="1:26" hidden="1" x14ac:dyDescent="0.25">
      <c r="A710">
        <f>COUNTIF($P$2:P710,P710)</f>
        <v>34</v>
      </c>
      <c r="B710">
        <f>COUNTIF($A$2:A710,1)</f>
        <v>24</v>
      </c>
      <c r="C710" t="str">
        <f t="shared" si="55"/>
        <v>TCA</v>
      </c>
      <c r="D710" t="str">
        <f t="shared" si="56"/>
        <v>TCAParent</v>
      </c>
      <c r="E710">
        <f>COUNTIF($R$2:R710,R710)</f>
        <v>34</v>
      </c>
      <c r="F710">
        <f>COUNTIF($E$2:E710,1)</f>
        <v>36</v>
      </c>
      <c r="G710" t="str">
        <f t="shared" si="57"/>
        <v>tca.services.mca</v>
      </c>
      <c r="H710" t="str">
        <f t="shared" si="58"/>
        <v>TCAtca.services.mcaParent</v>
      </c>
      <c r="I710" t="str">
        <f t="shared" si="59"/>
        <v>TCAtca.services.mcatca.application.key</v>
      </c>
      <c r="J710">
        <f>IF(I710="",0,COUNTIF($I$2:I710,I710))</f>
        <v>6</v>
      </c>
      <c r="K710">
        <f>COUNTIF($J$2:J710,1)</f>
        <v>115</v>
      </c>
      <c r="N710">
        <v>6</v>
      </c>
      <c r="O710" t="s">
        <v>15</v>
      </c>
      <c r="P710" t="s">
        <v>264</v>
      </c>
      <c r="Q710" t="s">
        <v>265</v>
      </c>
      <c r="R710" t="s">
        <v>266</v>
      </c>
      <c r="S710" t="s">
        <v>267</v>
      </c>
      <c r="T710" t="s">
        <v>267</v>
      </c>
      <c r="U710" t="s">
        <v>207</v>
      </c>
      <c r="V710" t="s">
        <v>275</v>
      </c>
      <c r="W710" t="s">
        <v>21</v>
      </c>
      <c r="X710" t="s">
        <v>21</v>
      </c>
      <c r="Y710" t="s">
        <v>276</v>
      </c>
      <c r="Z710">
        <v>5019</v>
      </c>
    </row>
    <row r="711" spans="1:26" hidden="1" x14ac:dyDescent="0.25">
      <c r="A711">
        <f>COUNTIF($P$2:P711,P711)</f>
        <v>35</v>
      </c>
      <c r="B711">
        <f>COUNTIF($A$2:A711,1)</f>
        <v>24</v>
      </c>
      <c r="C711" t="str">
        <f t="shared" si="55"/>
        <v>TCA</v>
      </c>
      <c r="D711" t="str">
        <f t="shared" si="56"/>
        <v>TCAParent</v>
      </c>
      <c r="E711">
        <f>COUNTIF($R$2:R711,R711)</f>
        <v>35</v>
      </c>
      <c r="F711">
        <f>COUNTIF($E$2:E711,1)</f>
        <v>36</v>
      </c>
      <c r="G711" t="str">
        <f t="shared" si="57"/>
        <v>tca.services.mca</v>
      </c>
      <c r="H711" t="str">
        <f t="shared" si="58"/>
        <v>TCAtca.services.mcaParent</v>
      </c>
      <c r="I711" t="str">
        <f t="shared" si="59"/>
        <v>TCAtca.services.mcatca.application.key</v>
      </c>
      <c r="J711">
        <f>IF(I711="",0,COUNTIF($I$2:I711,I711))</f>
        <v>7</v>
      </c>
      <c r="K711">
        <f>COUNTIF($J$2:J711,1)</f>
        <v>115</v>
      </c>
      <c r="N711">
        <v>1</v>
      </c>
      <c r="O711" t="s">
        <v>15</v>
      </c>
      <c r="P711" t="s">
        <v>264</v>
      </c>
      <c r="Q711" t="s">
        <v>265</v>
      </c>
      <c r="R711" t="s">
        <v>266</v>
      </c>
      <c r="S711" t="s">
        <v>267</v>
      </c>
      <c r="T711" t="s">
        <v>267</v>
      </c>
      <c r="U711" t="s">
        <v>207</v>
      </c>
      <c r="V711" t="s">
        <v>275</v>
      </c>
      <c r="W711" t="s">
        <v>21</v>
      </c>
      <c r="X711" t="s">
        <v>21</v>
      </c>
      <c r="Y711" t="s">
        <v>276</v>
      </c>
      <c r="Z711">
        <v>5019</v>
      </c>
    </row>
    <row r="712" spans="1:26" hidden="1" x14ac:dyDescent="0.25">
      <c r="A712">
        <f>COUNTIF($P$2:P712,P712)</f>
        <v>36</v>
      </c>
      <c r="B712">
        <f>COUNTIF($A$2:A712,1)</f>
        <v>24</v>
      </c>
      <c r="C712" t="str">
        <f t="shared" si="55"/>
        <v>TCA</v>
      </c>
      <c r="D712" t="str">
        <f t="shared" si="56"/>
        <v>TCAParent</v>
      </c>
      <c r="E712">
        <f>COUNTIF($R$2:R712,R712)</f>
        <v>36</v>
      </c>
      <c r="F712">
        <f>COUNTIF($E$2:E712,1)</f>
        <v>36</v>
      </c>
      <c r="G712" t="str">
        <f t="shared" si="57"/>
        <v>tca.services.mca</v>
      </c>
      <c r="H712" t="str">
        <f t="shared" si="58"/>
        <v>TCAtca.services.mcaParent</v>
      </c>
      <c r="I712" t="str">
        <f t="shared" si="59"/>
        <v>TCAtca.services.mcatca.merchant.id</v>
      </c>
      <c r="J712">
        <f>IF(I712="",0,COUNTIF($I$2:I712,I712))</f>
        <v>1</v>
      </c>
      <c r="K712">
        <f>COUNTIF($J$2:J712,1)</f>
        <v>116</v>
      </c>
      <c r="N712">
        <v>7</v>
      </c>
      <c r="O712" t="s">
        <v>15</v>
      </c>
      <c r="P712" t="s">
        <v>264</v>
      </c>
      <c r="Q712" t="s">
        <v>265</v>
      </c>
      <c r="R712" t="s">
        <v>266</v>
      </c>
      <c r="S712" t="s">
        <v>267</v>
      </c>
      <c r="T712" t="s">
        <v>267</v>
      </c>
      <c r="U712" t="s">
        <v>207</v>
      </c>
      <c r="V712" t="s">
        <v>277</v>
      </c>
      <c r="W712" t="s">
        <v>21</v>
      </c>
      <c r="X712" t="s">
        <v>21</v>
      </c>
      <c r="Y712">
        <v>3415643</v>
      </c>
      <c r="Z712">
        <v>5020</v>
      </c>
    </row>
    <row r="713" spans="1:26" hidden="1" x14ac:dyDescent="0.25">
      <c r="A713">
        <f>COUNTIF($P$2:P713,P713)</f>
        <v>37</v>
      </c>
      <c r="B713">
        <f>COUNTIF($A$2:A713,1)</f>
        <v>24</v>
      </c>
      <c r="C713" t="str">
        <f t="shared" si="55"/>
        <v>TCA</v>
      </c>
      <c r="D713" t="str">
        <f t="shared" si="56"/>
        <v>TCAParent</v>
      </c>
      <c r="E713">
        <f>COUNTIF($R$2:R713,R713)</f>
        <v>37</v>
      </c>
      <c r="F713">
        <f>COUNTIF($E$2:E713,1)</f>
        <v>36</v>
      </c>
      <c r="G713" t="str">
        <f t="shared" si="57"/>
        <v>tca.services.mca</v>
      </c>
      <c r="H713" t="str">
        <f t="shared" si="58"/>
        <v>TCAtca.services.mcaParent</v>
      </c>
      <c r="I713" t="str">
        <f t="shared" si="59"/>
        <v>TCAtca.services.mcatca.merchant.id</v>
      </c>
      <c r="J713">
        <f>IF(I713="",0,COUNTIF($I$2:I713,I713))</f>
        <v>2</v>
      </c>
      <c r="K713">
        <f>COUNTIF($J$2:J713,1)</f>
        <v>116</v>
      </c>
      <c r="N713">
        <v>279</v>
      </c>
      <c r="O713" t="s">
        <v>15</v>
      </c>
      <c r="P713" t="s">
        <v>264</v>
      </c>
      <c r="Q713" t="s">
        <v>265</v>
      </c>
      <c r="R713" t="s">
        <v>266</v>
      </c>
      <c r="S713" t="s">
        <v>267</v>
      </c>
      <c r="T713" t="s">
        <v>267</v>
      </c>
      <c r="U713" t="s">
        <v>207</v>
      </c>
      <c r="V713" t="s">
        <v>277</v>
      </c>
      <c r="W713" t="s">
        <v>21</v>
      </c>
      <c r="X713" t="s">
        <v>21</v>
      </c>
      <c r="Y713">
        <v>3415643</v>
      </c>
      <c r="Z713">
        <v>5020</v>
      </c>
    </row>
    <row r="714" spans="1:26" hidden="1" x14ac:dyDescent="0.25">
      <c r="A714">
        <f>COUNTIF($P$2:P714,P714)</f>
        <v>38</v>
      </c>
      <c r="B714">
        <f>COUNTIF($A$2:A714,1)</f>
        <v>24</v>
      </c>
      <c r="C714" t="str">
        <f t="shared" si="55"/>
        <v>TCA</v>
      </c>
      <c r="D714" t="str">
        <f t="shared" si="56"/>
        <v>TCADevice</v>
      </c>
      <c r="E714">
        <f>COUNTIF($R$2:R714,R714)</f>
        <v>38</v>
      </c>
      <c r="F714">
        <f>COUNTIF($E$2:E714,1)</f>
        <v>36</v>
      </c>
      <c r="G714" t="str">
        <f t="shared" si="57"/>
        <v>tca.services.mca</v>
      </c>
      <c r="H714" t="str">
        <f t="shared" si="58"/>
        <v>TCAtca.services.mcaDevice</v>
      </c>
      <c r="I714" t="str">
        <f t="shared" si="59"/>
        <v>TCAtca.services.mcatca.merchant.id</v>
      </c>
      <c r="J714">
        <f>IF(I714="",0,COUNTIF($I$2:I714,I714))</f>
        <v>3</v>
      </c>
      <c r="K714">
        <f>COUNTIF($J$2:J714,1)</f>
        <v>116</v>
      </c>
      <c r="N714">
        <v>85</v>
      </c>
      <c r="O714" t="s">
        <v>31</v>
      </c>
      <c r="P714" t="s">
        <v>264</v>
      </c>
      <c r="Q714" t="s">
        <v>265</v>
      </c>
      <c r="R714" t="s">
        <v>266</v>
      </c>
      <c r="S714" t="s">
        <v>267</v>
      </c>
      <c r="T714" t="s">
        <v>267</v>
      </c>
      <c r="U714" t="s">
        <v>207</v>
      </c>
      <c r="V714" t="s">
        <v>277</v>
      </c>
      <c r="W714" t="s">
        <v>21</v>
      </c>
      <c r="X714" t="s">
        <v>21</v>
      </c>
      <c r="Y714">
        <v>3415643</v>
      </c>
      <c r="Z714">
        <v>5020</v>
      </c>
    </row>
    <row r="715" spans="1:26" hidden="1" x14ac:dyDescent="0.25">
      <c r="A715">
        <f>COUNTIF($P$2:P715,P715)</f>
        <v>39</v>
      </c>
      <c r="B715">
        <f>COUNTIF($A$2:A715,1)</f>
        <v>24</v>
      </c>
      <c r="C715" t="str">
        <f t="shared" si="55"/>
        <v>TCA</v>
      </c>
      <c r="D715" t="str">
        <f t="shared" si="56"/>
        <v>TCAParent</v>
      </c>
      <c r="E715">
        <f>COUNTIF($R$2:R715,R715)</f>
        <v>39</v>
      </c>
      <c r="F715">
        <f>COUNTIF($E$2:E715,1)</f>
        <v>36</v>
      </c>
      <c r="G715" t="str">
        <f t="shared" si="57"/>
        <v>tca.services.mca</v>
      </c>
      <c r="H715" t="str">
        <f t="shared" si="58"/>
        <v>TCAtca.services.mcaParent</v>
      </c>
      <c r="I715" t="str">
        <f t="shared" si="59"/>
        <v>TCAtca.services.mcatca.merchant.id</v>
      </c>
      <c r="J715">
        <f>IF(I715="",0,COUNTIF($I$2:I715,I715))</f>
        <v>4</v>
      </c>
      <c r="K715">
        <f>COUNTIF($J$2:J715,1)</f>
        <v>116</v>
      </c>
      <c r="N715">
        <v>1</v>
      </c>
      <c r="O715" t="s">
        <v>15</v>
      </c>
      <c r="P715" t="s">
        <v>264</v>
      </c>
      <c r="Q715" t="s">
        <v>265</v>
      </c>
      <c r="R715" t="s">
        <v>266</v>
      </c>
      <c r="S715" t="s">
        <v>267</v>
      </c>
      <c r="T715" t="s">
        <v>267</v>
      </c>
      <c r="U715" t="s">
        <v>207</v>
      </c>
      <c r="V715" t="s">
        <v>277</v>
      </c>
      <c r="W715" t="s">
        <v>21</v>
      </c>
      <c r="X715" t="s">
        <v>21</v>
      </c>
      <c r="Y715">
        <v>3415643</v>
      </c>
      <c r="Z715">
        <v>5020</v>
      </c>
    </row>
    <row r="716" spans="1:26" hidden="1" x14ac:dyDescent="0.25">
      <c r="A716">
        <f>COUNTIF($P$2:P716,P716)</f>
        <v>40</v>
      </c>
      <c r="B716">
        <f>COUNTIF($A$2:A716,1)</f>
        <v>24</v>
      </c>
      <c r="C716" t="str">
        <f t="shared" si="55"/>
        <v>TCA</v>
      </c>
      <c r="D716" t="str">
        <f t="shared" si="56"/>
        <v>TCADevice</v>
      </c>
      <c r="E716">
        <f>COUNTIF($R$2:R716,R716)</f>
        <v>40</v>
      </c>
      <c r="F716">
        <f>COUNTIF($E$2:E716,1)</f>
        <v>36</v>
      </c>
      <c r="G716" t="str">
        <f t="shared" si="57"/>
        <v>tca.services.mca</v>
      </c>
      <c r="H716" t="str">
        <f t="shared" si="58"/>
        <v>TCAtca.services.mcaDevice</v>
      </c>
      <c r="I716" t="str">
        <f t="shared" si="59"/>
        <v>TCAtca.services.mcatca.merchant.id</v>
      </c>
      <c r="J716">
        <f>IF(I716="",0,COUNTIF($I$2:I716,I716))</f>
        <v>5</v>
      </c>
      <c r="K716">
        <f>COUNTIF($J$2:J716,1)</f>
        <v>116</v>
      </c>
      <c r="N716">
        <v>1</v>
      </c>
      <c r="O716" t="s">
        <v>31</v>
      </c>
      <c r="P716" t="s">
        <v>264</v>
      </c>
      <c r="Q716" t="s">
        <v>265</v>
      </c>
      <c r="R716" t="s">
        <v>266</v>
      </c>
      <c r="S716" t="s">
        <v>267</v>
      </c>
      <c r="T716" t="s">
        <v>267</v>
      </c>
      <c r="U716" t="s">
        <v>207</v>
      </c>
      <c r="V716" t="s">
        <v>277</v>
      </c>
      <c r="W716" t="s">
        <v>21</v>
      </c>
      <c r="X716" t="s">
        <v>21</v>
      </c>
      <c r="Y716">
        <v>3415643</v>
      </c>
      <c r="Z716">
        <v>5020</v>
      </c>
    </row>
    <row r="717" spans="1:26" hidden="1" x14ac:dyDescent="0.25">
      <c r="A717">
        <f>COUNTIF($P$2:P717,P717)</f>
        <v>41</v>
      </c>
      <c r="B717">
        <f>COUNTIF($A$2:A717,1)</f>
        <v>24</v>
      </c>
      <c r="C717" t="str">
        <f t="shared" si="55"/>
        <v>TCA</v>
      </c>
      <c r="D717" t="str">
        <f t="shared" si="56"/>
        <v>TCADevice</v>
      </c>
      <c r="E717">
        <f>COUNTIF($R$2:R717,R717)</f>
        <v>41</v>
      </c>
      <c r="F717">
        <f>COUNTIF($E$2:E717,1)</f>
        <v>36</v>
      </c>
      <c r="G717" t="str">
        <f t="shared" si="57"/>
        <v>tca.services.mca</v>
      </c>
      <c r="H717" t="str">
        <f t="shared" si="58"/>
        <v>TCAtca.services.mcaDevice</v>
      </c>
      <c r="I717" t="str">
        <f t="shared" si="59"/>
        <v>TCAtca.services.mcatca.merchant.id</v>
      </c>
      <c r="J717">
        <f>IF(I717="",0,COUNTIF($I$2:I717,I717))</f>
        <v>6</v>
      </c>
      <c r="K717">
        <f>COUNTIF($J$2:J717,1)</f>
        <v>116</v>
      </c>
      <c r="N717">
        <v>1</v>
      </c>
      <c r="O717" t="s">
        <v>31</v>
      </c>
      <c r="P717" t="s">
        <v>264</v>
      </c>
      <c r="Q717" t="s">
        <v>265</v>
      </c>
      <c r="R717" t="s">
        <v>266</v>
      </c>
      <c r="S717" t="s">
        <v>267</v>
      </c>
      <c r="T717" t="s">
        <v>267</v>
      </c>
      <c r="U717" t="s">
        <v>207</v>
      </c>
      <c r="V717" t="s">
        <v>277</v>
      </c>
      <c r="W717" t="s">
        <v>21</v>
      </c>
      <c r="X717" t="s">
        <v>21</v>
      </c>
      <c r="Y717">
        <v>3415643</v>
      </c>
      <c r="Z717">
        <v>5020</v>
      </c>
    </row>
    <row r="718" spans="1:26" hidden="1" x14ac:dyDescent="0.25">
      <c r="A718">
        <f>COUNTIF($P$2:P718,P718)</f>
        <v>42</v>
      </c>
      <c r="B718">
        <f>COUNTIF($A$2:A718,1)</f>
        <v>24</v>
      </c>
      <c r="C718" t="str">
        <f t="shared" si="55"/>
        <v>TCA</v>
      </c>
      <c r="D718" t="str">
        <f t="shared" si="56"/>
        <v>TCADevice</v>
      </c>
      <c r="E718">
        <f>COUNTIF($R$2:R718,R718)</f>
        <v>42</v>
      </c>
      <c r="F718">
        <f>COUNTIF($E$2:E718,1)</f>
        <v>36</v>
      </c>
      <c r="G718" t="str">
        <f t="shared" si="57"/>
        <v>tca.services.mca</v>
      </c>
      <c r="H718" t="str">
        <f t="shared" si="58"/>
        <v>TCAtca.services.mcaDevice</v>
      </c>
      <c r="I718" t="str">
        <f t="shared" si="59"/>
        <v>TCAtca.services.mcatca.merchant.id</v>
      </c>
      <c r="J718">
        <f>IF(I718="",0,COUNTIF($I$2:I718,I718))</f>
        <v>7</v>
      </c>
      <c r="K718">
        <f>COUNTIF($J$2:J718,1)</f>
        <v>116</v>
      </c>
      <c r="N718">
        <v>45</v>
      </c>
      <c r="O718" t="s">
        <v>31</v>
      </c>
      <c r="P718" t="s">
        <v>264</v>
      </c>
      <c r="Q718" t="s">
        <v>265</v>
      </c>
      <c r="R718" t="s">
        <v>266</v>
      </c>
      <c r="S718" t="s">
        <v>267</v>
      </c>
      <c r="T718" t="s">
        <v>267</v>
      </c>
      <c r="U718" t="s">
        <v>207</v>
      </c>
      <c r="V718" t="s">
        <v>277</v>
      </c>
      <c r="W718" t="s">
        <v>21</v>
      </c>
      <c r="X718" t="s">
        <v>21</v>
      </c>
      <c r="Y718">
        <v>3415643</v>
      </c>
      <c r="Z718">
        <v>5020</v>
      </c>
    </row>
    <row r="719" spans="1:26" hidden="1" x14ac:dyDescent="0.25">
      <c r="A719">
        <f>COUNTIF($P$2:P719,P719)</f>
        <v>43</v>
      </c>
      <c r="B719">
        <f>COUNTIF($A$2:A719,1)</f>
        <v>24</v>
      </c>
      <c r="C719" t="str">
        <f t="shared" si="55"/>
        <v>TCA</v>
      </c>
      <c r="D719" t="str">
        <f t="shared" si="56"/>
        <v>TCADevice</v>
      </c>
      <c r="E719">
        <f>COUNTIF($R$2:R719,R719)</f>
        <v>43</v>
      </c>
      <c r="F719">
        <f>COUNTIF($E$2:E719,1)</f>
        <v>36</v>
      </c>
      <c r="G719" t="str">
        <f t="shared" si="57"/>
        <v>tca.services.mca</v>
      </c>
      <c r="H719" t="str">
        <f t="shared" si="58"/>
        <v>TCAtca.services.mcaDevice</v>
      </c>
      <c r="I719" t="str">
        <f t="shared" si="59"/>
        <v>TCAtca.services.mcatca.merchant.username</v>
      </c>
      <c r="J719">
        <f>IF(I719="",0,COUNTIF($I$2:I719,I719))</f>
        <v>1</v>
      </c>
      <c r="K719">
        <f>COUNTIF($J$2:J719,1)</f>
        <v>117</v>
      </c>
      <c r="N719">
        <v>85</v>
      </c>
      <c r="O719" t="s">
        <v>31</v>
      </c>
      <c r="P719" t="s">
        <v>264</v>
      </c>
      <c r="Q719" t="s">
        <v>265</v>
      </c>
      <c r="R719" t="s">
        <v>266</v>
      </c>
      <c r="S719" t="s">
        <v>267</v>
      </c>
      <c r="T719" t="s">
        <v>267</v>
      </c>
      <c r="U719" t="s">
        <v>207</v>
      </c>
      <c r="V719" t="s">
        <v>278</v>
      </c>
      <c r="W719" t="s">
        <v>21</v>
      </c>
      <c r="X719" t="s">
        <v>21</v>
      </c>
      <c r="Y719" t="s">
        <v>279</v>
      </c>
      <c r="Z719">
        <v>5021</v>
      </c>
    </row>
    <row r="720" spans="1:26" hidden="1" x14ac:dyDescent="0.25">
      <c r="A720">
        <f>COUNTIF($P$2:P720,P720)</f>
        <v>44</v>
      </c>
      <c r="B720">
        <f>COUNTIF($A$2:A720,1)</f>
        <v>24</v>
      </c>
      <c r="C720" t="str">
        <f t="shared" si="55"/>
        <v>TCA</v>
      </c>
      <c r="D720" t="str">
        <f t="shared" si="56"/>
        <v>TCADevice</v>
      </c>
      <c r="E720">
        <f>COUNTIF($R$2:R720,R720)</f>
        <v>44</v>
      </c>
      <c r="F720">
        <f>COUNTIF($E$2:E720,1)</f>
        <v>36</v>
      </c>
      <c r="G720" t="str">
        <f t="shared" si="57"/>
        <v>tca.services.mca</v>
      </c>
      <c r="H720" t="str">
        <f t="shared" si="58"/>
        <v>TCAtca.services.mcaDevice</v>
      </c>
      <c r="I720" t="str">
        <f t="shared" si="59"/>
        <v>TCAtca.services.mcatca.merchant.username</v>
      </c>
      <c r="J720">
        <f>IF(I720="",0,COUNTIF($I$2:I720,I720))</f>
        <v>2</v>
      </c>
      <c r="K720">
        <f>COUNTIF($J$2:J720,1)</f>
        <v>117</v>
      </c>
      <c r="N720">
        <v>1</v>
      </c>
      <c r="O720" t="s">
        <v>31</v>
      </c>
      <c r="P720" t="s">
        <v>264</v>
      </c>
      <c r="Q720" t="s">
        <v>265</v>
      </c>
      <c r="R720" t="s">
        <v>266</v>
      </c>
      <c r="S720" t="s">
        <v>267</v>
      </c>
      <c r="T720" t="s">
        <v>267</v>
      </c>
      <c r="U720" t="s">
        <v>207</v>
      </c>
      <c r="V720" t="s">
        <v>278</v>
      </c>
      <c r="W720" t="s">
        <v>21</v>
      </c>
      <c r="X720" t="s">
        <v>21</v>
      </c>
      <c r="Y720" t="s">
        <v>279</v>
      </c>
      <c r="Z720">
        <v>5021</v>
      </c>
    </row>
    <row r="721" spans="1:26" hidden="1" x14ac:dyDescent="0.25">
      <c r="A721">
        <f>COUNTIF($P$2:P721,P721)</f>
        <v>45</v>
      </c>
      <c r="B721">
        <f>COUNTIF($A$2:A721,1)</f>
        <v>24</v>
      </c>
      <c r="C721" t="str">
        <f t="shared" si="55"/>
        <v>TCA</v>
      </c>
      <c r="D721" t="str">
        <f t="shared" si="56"/>
        <v>TCADevice</v>
      </c>
      <c r="E721">
        <f>COUNTIF($R$2:R721,R721)</f>
        <v>45</v>
      </c>
      <c r="F721">
        <f>COUNTIF($E$2:E721,1)</f>
        <v>36</v>
      </c>
      <c r="G721" t="str">
        <f t="shared" si="57"/>
        <v>tca.services.mca</v>
      </c>
      <c r="H721" t="str">
        <f t="shared" si="58"/>
        <v>TCAtca.services.mcaDevice</v>
      </c>
      <c r="I721" t="str">
        <f t="shared" si="59"/>
        <v>TCAtca.services.mcatca.merchant.username</v>
      </c>
      <c r="J721">
        <f>IF(I721="",0,COUNTIF($I$2:I721,I721))</f>
        <v>3</v>
      </c>
      <c r="K721">
        <f>COUNTIF($J$2:J721,1)</f>
        <v>117</v>
      </c>
      <c r="N721">
        <v>1</v>
      </c>
      <c r="O721" t="s">
        <v>31</v>
      </c>
      <c r="P721" t="s">
        <v>264</v>
      </c>
      <c r="Q721" t="s">
        <v>265</v>
      </c>
      <c r="R721" t="s">
        <v>266</v>
      </c>
      <c r="S721" t="s">
        <v>267</v>
      </c>
      <c r="T721" t="s">
        <v>267</v>
      </c>
      <c r="U721" t="s">
        <v>207</v>
      </c>
      <c r="V721" t="s">
        <v>278</v>
      </c>
      <c r="W721" t="s">
        <v>21</v>
      </c>
      <c r="X721" t="s">
        <v>21</v>
      </c>
      <c r="Y721" t="s">
        <v>279</v>
      </c>
      <c r="Z721">
        <v>5021</v>
      </c>
    </row>
    <row r="722" spans="1:26" hidden="1" x14ac:dyDescent="0.25">
      <c r="A722">
        <f>COUNTIF($P$2:P722,P722)</f>
        <v>46</v>
      </c>
      <c r="B722">
        <f>COUNTIF($A$2:A722,1)</f>
        <v>24</v>
      </c>
      <c r="C722" t="str">
        <f t="shared" si="55"/>
        <v>TCA</v>
      </c>
      <c r="D722" t="str">
        <f t="shared" si="56"/>
        <v>TCAParent</v>
      </c>
      <c r="E722">
        <f>COUNTIF($R$2:R722,R722)</f>
        <v>46</v>
      </c>
      <c r="F722">
        <f>COUNTIF($E$2:E722,1)</f>
        <v>36</v>
      </c>
      <c r="G722" t="str">
        <f t="shared" si="57"/>
        <v>tca.services.mca</v>
      </c>
      <c r="H722" t="str">
        <f t="shared" si="58"/>
        <v>TCAtca.services.mcaParent</v>
      </c>
      <c r="I722" t="str">
        <f t="shared" si="59"/>
        <v>TCAtca.services.mcatca.merchant.username</v>
      </c>
      <c r="J722">
        <f>IF(I722="",0,COUNTIF($I$2:I722,I722))</f>
        <v>4</v>
      </c>
      <c r="K722">
        <f>COUNTIF($J$2:J722,1)</f>
        <v>117</v>
      </c>
      <c r="N722">
        <v>6</v>
      </c>
      <c r="O722" t="s">
        <v>15</v>
      </c>
      <c r="P722" t="s">
        <v>264</v>
      </c>
      <c r="Q722" t="s">
        <v>265</v>
      </c>
      <c r="R722" t="s">
        <v>266</v>
      </c>
      <c r="S722" t="s">
        <v>267</v>
      </c>
      <c r="T722" t="s">
        <v>267</v>
      </c>
      <c r="U722" t="s">
        <v>207</v>
      </c>
      <c r="V722" t="s">
        <v>278</v>
      </c>
      <c r="W722" t="s">
        <v>21</v>
      </c>
      <c r="X722" t="s">
        <v>21</v>
      </c>
      <c r="Y722" t="s">
        <v>279</v>
      </c>
      <c r="Z722">
        <v>5021</v>
      </c>
    </row>
    <row r="723" spans="1:26" hidden="1" x14ac:dyDescent="0.25">
      <c r="A723">
        <f>COUNTIF($P$2:P723,P723)</f>
        <v>47</v>
      </c>
      <c r="B723">
        <f>COUNTIF($A$2:A723,1)</f>
        <v>24</v>
      </c>
      <c r="C723" t="str">
        <f t="shared" si="55"/>
        <v>TCA</v>
      </c>
      <c r="D723" t="str">
        <f t="shared" si="56"/>
        <v>TCADevice</v>
      </c>
      <c r="E723">
        <f>COUNTIF($R$2:R723,R723)</f>
        <v>47</v>
      </c>
      <c r="F723">
        <f>COUNTIF($E$2:E723,1)</f>
        <v>36</v>
      </c>
      <c r="G723" t="str">
        <f t="shared" si="57"/>
        <v>tca.services.mca</v>
      </c>
      <c r="H723" t="str">
        <f t="shared" si="58"/>
        <v>TCAtca.services.mcaDevice</v>
      </c>
      <c r="I723" t="str">
        <f t="shared" si="59"/>
        <v>TCAtca.services.mcatca.merchant.username</v>
      </c>
      <c r="J723">
        <f>IF(I723="",0,COUNTIF($I$2:I723,I723))</f>
        <v>5</v>
      </c>
      <c r="K723">
        <f>COUNTIF($J$2:J723,1)</f>
        <v>117</v>
      </c>
      <c r="N723">
        <v>45</v>
      </c>
      <c r="O723" t="s">
        <v>31</v>
      </c>
      <c r="P723" t="s">
        <v>264</v>
      </c>
      <c r="Q723" t="s">
        <v>265</v>
      </c>
      <c r="R723" t="s">
        <v>266</v>
      </c>
      <c r="S723" t="s">
        <v>267</v>
      </c>
      <c r="T723" t="s">
        <v>267</v>
      </c>
      <c r="U723" t="s">
        <v>207</v>
      </c>
      <c r="V723" t="s">
        <v>278</v>
      </c>
      <c r="W723" t="s">
        <v>21</v>
      </c>
      <c r="X723" t="s">
        <v>21</v>
      </c>
      <c r="Y723" t="s">
        <v>279</v>
      </c>
      <c r="Z723">
        <v>5021</v>
      </c>
    </row>
    <row r="724" spans="1:26" hidden="1" x14ac:dyDescent="0.25">
      <c r="A724">
        <f>COUNTIF($P$2:P724,P724)</f>
        <v>48</v>
      </c>
      <c r="B724">
        <f>COUNTIF($A$2:A724,1)</f>
        <v>24</v>
      </c>
      <c r="C724" t="str">
        <f t="shared" si="55"/>
        <v>TCA</v>
      </c>
      <c r="D724" t="str">
        <f t="shared" si="56"/>
        <v>TCAParent</v>
      </c>
      <c r="E724">
        <f>COUNTIF($R$2:R724,R724)</f>
        <v>48</v>
      </c>
      <c r="F724">
        <f>COUNTIF($E$2:E724,1)</f>
        <v>36</v>
      </c>
      <c r="G724" t="str">
        <f t="shared" si="57"/>
        <v>tca.services.mca</v>
      </c>
      <c r="H724" t="str">
        <f t="shared" si="58"/>
        <v>TCAtca.services.mcaParent</v>
      </c>
      <c r="I724" t="str">
        <f t="shared" si="59"/>
        <v>TCAtca.services.mcatca.merchant.username</v>
      </c>
      <c r="J724">
        <f>IF(I724="",0,COUNTIF($I$2:I724,I724))</f>
        <v>6</v>
      </c>
      <c r="K724">
        <f>COUNTIF($J$2:J724,1)</f>
        <v>117</v>
      </c>
      <c r="N724">
        <v>1</v>
      </c>
      <c r="O724" t="s">
        <v>15</v>
      </c>
      <c r="P724" t="s">
        <v>264</v>
      </c>
      <c r="Q724" t="s">
        <v>265</v>
      </c>
      <c r="R724" t="s">
        <v>266</v>
      </c>
      <c r="S724" t="s">
        <v>267</v>
      </c>
      <c r="T724" t="s">
        <v>267</v>
      </c>
      <c r="U724" t="s">
        <v>207</v>
      </c>
      <c r="V724" t="s">
        <v>278</v>
      </c>
      <c r="W724" t="s">
        <v>21</v>
      </c>
      <c r="X724" t="s">
        <v>21</v>
      </c>
      <c r="Y724" t="s">
        <v>279</v>
      </c>
      <c r="Z724">
        <v>5021</v>
      </c>
    </row>
    <row r="725" spans="1:26" hidden="1" x14ac:dyDescent="0.25">
      <c r="A725">
        <f>COUNTIF($P$2:P725,P725)</f>
        <v>49</v>
      </c>
      <c r="B725">
        <f>COUNTIF($A$2:A725,1)</f>
        <v>24</v>
      </c>
      <c r="C725" t="str">
        <f t="shared" si="55"/>
        <v>TCA</v>
      </c>
      <c r="D725" t="str">
        <f t="shared" si="56"/>
        <v>TCAParent</v>
      </c>
      <c r="E725">
        <f>COUNTIF($R$2:R725,R725)</f>
        <v>49</v>
      </c>
      <c r="F725">
        <f>COUNTIF($E$2:E725,1)</f>
        <v>36</v>
      </c>
      <c r="G725" t="str">
        <f t="shared" si="57"/>
        <v>tca.services.mca</v>
      </c>
      <c r="H725" t="str">
        <f t="shared" si="58"/>
        <v>TCAtca.services.mcaParent</v>
      </c>
      <c r="I725" t="str">
        <f t="shared" si="59"/>
        <v>TCAtca.services.mcatca.merchant.username</v>
      </c>
      <c r="J725">
        <f>IF(I725="",0,COUNTIF($I$2:I725,I725))</f>
        <v>7</v>
      </c>
      <c r="K725">
        <f>COUNTIF($J$2:J725,1)</f>
        <v>117</v>
      </c>
      <c r="N725">
        <v>279</v>
      </c>
      <c r="O725" t="s">
        <v>15</v>
      </c>
      <c r="P725" t="s">
        <v>264</v>
      </c>
      <c r="Q725" t="s">
        <v>265</v>
      </c>
      <c r="R725" t="s">
        <v>266</v>
      </c>
      <c r="S725" t="s">
        <v>267</v>
      </c>
      <c r="T725" t="s">
        <v>267</v>
      </c>
      <c r="U725" t="s">
        <v>207</v>
      </c>
      <c r="V725" t="s">
        <v>278</v>
      </c>
      <c r="W725" t="s">
        <v>21</v>
      </c>
      <c r="X725" t="s">
        <v>21</v>
      </c>
      <c r="Y725" t="s">
        <v>279</v>
      </c>
      <c r="Z725">
        <v>5021</v>
      </c>
    </row>
    <row r="726" spans="1:26" hidden="1" x14ac:dyDescent="0.25">
      <c r="A726">
        <f>COUNTIF($P$2:P726,P726)</f>
        <v>50</v>
      </c>
      <c r="B726">
        <f>COUNTIF($A$2:A726,1)</f>
        <v>24</v>
      </c>
      <c r="C726" t="str">
        <f t="shared" si="55"/>
        <v>TCA</v>
      </c>
      <c r="D726" t="str">
        <f t="shared" si="56"/>
        <v>TCAIntegrator</v>
      </c>
      <c r="E726">
        <f>COUNTIF($R$2:R726,R726)</f>
        <v>50</v>
      </c>
      <c r="F726">
        <f>COUNTIF($E$2:E726,1)</f>
        <v>36</v>
      </c>
      <c r="G726" t="str">
        <f t="shared" si="57"/>
        <v>tca.services.mca</v>
      </c>
      <c r="H726" t="str">
        <f t="shared" si="58"/>
        <v>TCAtca.services.mcaIntegrator</v>
      </c>
      <c r="I726" t="str">
        <f t="shared" si="59"/>
        <v>TCAtca.services.mcawebservice.password</v>
      </c>
      <c r="J726">
        <f>IF(I726="",0,COUNTIF($I$2:I726,I726))</f>
        <v>1</v>
      </c>
      <c r="K726">
        <f>COUNTIF($J$2:J726,1)</f>
        <v>118</v>
      </c>
      <c r="N726">
        <v>11</v>
      </c>
      <c r="O726" t="s">
        <v>23</v>
      </c>
      <c r="P726" t="s">
        <v>264</v>
      </c>
      <c r="Q726" t="s">
        <v>265</v>
      </c>
      <c r="R726" t="s">
        <v>266</v>
      </c>
      <c r="S726" t="s">
        <v>267</v>
      </c>
      <c r="T726" t="s">
        <v>267</v>
      </c>
      <c r="U726" t="s">
        <v>207</v>
      </c>
      <c r="V726" t="s">
        <v>280</v>
      </c>
      <c r="W726" t="s">
        <v>22</v>
      </c>
      <c r="X726" t="s">
        <v>22</v>
      </c>
      <c r="Y726" t="s">
        <v>281</v>
      </c>
      <c r="Z726">
        <v>1917</v>
      </c>
    </row>
    <row r="727" spans="1:26" hidden="1" x14ac:dyDescent="0.25">
      <c r="A727">
        <f>COUNTIF($P$2:P727,P727)</f>
        <v>51</v>
      </c>
      <c r="B727">
        <f>COUNTIF($A$2:A727,1)</f>
        <v>24</v>
      </c>
      <c r="C727" t="str">
        <f t="shared" si="55"/>
        <v>TCA</v>
      </c>
      <c r="D727" t="str">
        <f t="shared" si="56"/>
        <v>TCAParent</v>
      </c>
      <c r="E727">
        <f>COUNTIF($R$2:R727,R727)</f>
        <v>51</v>
      </c>
      <c r="F727">
        <f>COUNTIF($E$2:E727,1)</f>
        <v>36</v>
      </c>
      <c r="G727" t="str">
        <f t="shared" si="57"/>
        <v>tca.services.mca</v>
      </c>
      <c r="H727" t="str">
        <f t="shared" si="58"/>
        <v>TCAtca.services.mcaParent</v>
      </c>
      <c r="I727" t="str">
        <f t="shared" si="59"/>
        <v>TCAtca.services.mcawebservice.password</v>
      </c>
      <c r="J727">
        <f>IF(I727="",0,COUNTIF($I$2:I727,I727))</f>
        <v>2</v>
      </c>
      <c r="K727">
        <f>COUNTIF($J$2:J727,1)</f>
        <v>118</v>
      </c>
      <c r="N727">
        <v>282</v>
      </c>
      <c r="O727" t="s">
        <v>15</v>
      </c>
      <c r="P727" t="s">
        <v>264</v>
      </c>
      <c r="Q727" t="s">
        <v>265</v>
      </c>
      <c r="R727" t="s">
        <v>266</v>
      </c>
      <c r="S727" t="s">
        <v>267</v>
      </c>
      <c r="T727" t="s">
        <v>267</v>
      </c>
      <c r="U727" t="s">
        <v>207</v>
      </c>
      <c r="V727" t="s">
        <v>280</v>
      </c>
      <c r="W727" t="s">
        <v>22</v>
      </c>
      <c r="X727" t="s">
        <v>22</v>
      </c>
      <c r="Y727" t="s">
        <v>281</v>
      </c>
      <c r="Z727">
        <v>1917</v>
      </c>
    </row>
    <row r="728" spans="1:26" hidden="1" x14ac:dyDescent="0.25">
      <c r="A728">
        <f>COUNTIF($P$2:P728,P728)</f>
        <v>52</v>
      </c>
      <c r="B728">
        <f>COUNTIF($A$2:A728,1)</f>
        <v>24</v>
      </c>
      <c r="C728" t="str">
        <f t="shared" si="55"/>
        <v>TCA</v>
      </c>
      <c r="D728" t="str">
        <f t="shared" si="56"/>
        <v>TCADevice</v>
      </c>
      <c r="E728">
        <f>COUNTIF($R$2:R728,R728)</f>
        <v>52</v>
      </c>
      <c r="F728">
        <f>COUNTIF($E$2:E728,1)</f>
        <v>36</v>
      </c>
      <c r="G728" t="str">
        <f t="shared" si="57"/>
        <v>tca.services.mca</v>
      </c>
      <c r="H728" t="str">
        <f t="shared" si="58"/>
        <v>TCAtca.services.mcaDevice</v>
      </c>
      <c r="I728" t="str">
        <f t="shared" si="59"/>
        <v>TCAtca.services.mcawebservice.password</v>
      </c>
      <c r="J728">
        <f>IF(I728="",0,COUNTIF($I$2:I728,I728))</f>
        <v>3</v>
      </c>
      <c r="K728">
        <f>COUNTIF($J$2:J728,1)</f>
        <v>118</v>
      </c>
      <c r="N728">
        <v>109</v>
      </c>
      <c r="O728" t="s">
        <v>31</v>
      </c>
      <c r="P728" t="s">
        <v>264</v>
      </c>
      <c r="Q728" t="s">
        <v>265</v>
      </c>
      <c r="R728" t="s">
        <v>266</v>
      </c>
      <c r="S728" t="s">
        <v>267</v>
      </c>
      <c r="T728" t="s">
        <v>267</v>
      </c>
      <c r="U728" t="s">
        <v>207</v>
      </c>
      <c r="V728" t="s">
        <v>280</v>
      </c>
      <c r="W728" t="s">
        <v>22</v>
      </c>
      <c r="X728" t="s">
        <v>22</v>
      </c>
      <c r="Y728" t="s">
        <v>281</v>
      </c>
      <c r="Z728">
        <v>1917</v>
      </c>
    </row>
    <row r="729" spans="1:26" hidden="1" x14ac:dyDescent="0.25">
      <c r="A729">
        <f>COUNTIF($P$2:P729,P729)</f>
        <v>53</v>
      </c>
      <c r="B729">
        <f>COUNTIF($A$2:A729,1)</f>
        <v>24</v>
      </c>
      <c r="C729" t="str">
        <f t="shared" si="55"/>
        <v>TCA</v>
      </c>
      <c r="D729" t="str">
        <f t="shared" si="56"/>
        <v>TCAParent</v>
      </c>
      <c r="E729">
        <f>COUNTIF($R$2:R729,R729)</f>
        <v>53</v>
      </c>
      <c r="F729">
        <f>COUNTIF($E$2:E729,1)</f>
        <v>36</v>
      </c>
      <c r="G729" t="str">
        <f t="shared" si="57"/>
        <v>tca.services.mca</v>
      </c>
      <c r="H729" t="str">
        <f t="shared" si="58"/>
        <v>TCAtca.services.mcaParent</v>
      </c>
      <c r="I729" t="str">
        <f t="shared" si="59"/>
        <v>TCAtca.services.mcawebservice.password</v>
      </c>
      <c r="J729">
        <f>IF(I729="",0,COUNTIF($I$2:I729,I729))</f>
        <v>4</v>
      </c>
      <c r="K729">
        <f>COUNTIF($J$2:J729,1)</f>
        <v>118</v>
      </c>
      <c r="N729">
        <v>1</v>
      </c>
      <c r="O729" t="s">
        <v>15</v>
      </c>
      <c r="P729" t="s">
        <v>264</v>
      </c>
      <c r="Q729" t="s">
        <v>265</v>
      </c>
      <c r="R729" t="s">
        <v>266</v>
      </c>
      <c r="S729" t="s">
        <v>267</v>
      </c>
      <c r="T729" t="s">
        <v>267</v>
      </c>
      <c r="U729" t="s">
        <v>207</v>
      </c>
      <c r="V729" t="s">
        <v>280</v>
      </c>
      <c r="W729" t="s">
        <v>22</v>
      </c>
      <c r="X729" t="s">
        <v>22</v>
      </c>
      <c r="Y729" t="s">
        <v>281</v>
      </c>
      <c r="Z729">
        <v>1917</v>
      </c>
    </row>
    <row r="730" spans="1:26" hidden="1" x14ac:dyDescent="0.25">
      <c r="A730">
        <f>COUNTIF($P$2:P730,P730)</f>
        <v>54</v>
      </c>
      <c r="B730">
        <f>COUNTIF($A$2:A730,1)</f>
        <v>24</v>
      </c>
      <c r="C730" t="str">
        <f t="shared" si="55"/>
        <v>TCA</v>
      </c>
      <c r="D730" t="str">
        <f t="shared" si="56"/>
        <v>TCADevice</v>
      </c>
      <c r="E730">
        <f>COUNTIF($R$2:R730,R730)</f>
        <v>54</v>
      </c>
      <c r="F730">
        <f>COUNTIF($E$2:E730,1)</f>
        <v>36</v>
      </c>
      <c r="G730" t="str">
        <f t="shared" si="57"/>
        <v>tca.services.mca</v>
      </c>
      <c r="H730" t="str">
        <f t="shared" si="58"/>
        <v>TCAtca.services.mcaDevice</v>
      </c>
      <c r="I730" t="str">
        <f t="shared" si="59"/>
        <v>TCAtca.services.mcawebservice.password</v>
      </c>
      <c r="J730">
        <f>IF(I730="",0,COUNTIF($I$2:I730,I730))</f>
        <v>5</v>
      </c>
      <c r="K730">
        <f>COUNTIF($J$2:J730,1)</f>
        <v>118</v>
      </c>
      <c r="N730">
        <v>2</v>
      </c>
      <c r="O730" t="s">
        <v>31</v>
      </c>
      <c r="P730" t="s">
        <v>264</v>
      </c>
      <c r="Q730" t="s">
        <v>265</v>
      </c>
      <c r="R730" t="s">
        <v>266</v>
      </c>
      <c r="S730" t="s">
        <v>267</v>
      </c>
      <c r="T730" t="s">
        <v>267</v>
      </c>
      <c r="U730" t="s">
        <v>207</v>
      </c>
      <c r="V730" t="s">
        <v>280</v>
      </c>
      <c r="W730" t="s">
        <v>22</v>
      </c>
      <c r="X730" t="s">
        <v>22</v>
      </c>
      <c r="Y730" t="s">
        <v>281</v>
      </c>
      <c r="Z730">
        <v>1917</v>
      </c>
    </row>
    <row r="731" spans="1:26" hidden="1" x14ac:dyDescent="0.25">
      <c r="A731">
        <f>COUNTIF($P$2:P731,P731)</f>
        <v>55</v>
      </c>
      <c r="B731">
        <f>COUNTIF($A$2:A731,1)</f>
        <v>24</v>
      </c>
      <c r="C731" t="str">
        <f t="shared" si="55"/>
        <v>TCA</v>
      </c>
      <c r="D731" t="str">
        <f t="shared" si="56"/>
        <v>TCAParent</v>
      </c>
      <c r="E731">
        <f>COUNTIF($R$2:R731,R731)</f>
        <v>55</v>
      </c>
      <c r="F731">
        <f>COUNTIF($E$2:E731,1)</f>
        <v>36</v>
      </c>
      <c r="G731" t="str">
        <f t="shared" si="57"/>
        <v>tca.services.mca</v>
      </c>
      <c r="H731" t="str">
        <f t="shared" si="58"/>
        <v>TCAtca.services.mcaParent</v>
      </c>
      <c r="I731" t="str">
        <f t="shared" si="59"/>
        <v>TCAtca.services.mcawebservice.password</v>
      </c>
      <c r="J731">
        <f>IF(I731="",0,COUNTIF($I$2:I731,I731))</f>
        <v>6</v>
      </c>
      <c r="K731">
        <f>COUNTIF($J$2:J731,1)</f>
        <v>118</v>
      </c>
      <c r="N731">
        <v>14</v>
      </c>
      <c r="O731" t="s">
        <v>15</v>
      </c>
      <c r="P731" t="s">
        <v>264</v>
      </c>
      <c r="Q731" t="s">
        <v>265</v>
      </c>
      <c r="R731" t="s">
        <v>266</v>
      </c>
      <c r="S731" t="s">
        <v>267</v>
      </c>
      <c r="T731" t="s">
        <v>267</v>
      </c>
      <c r="U731" t="s">
        <v>207</v>
      </c>
      <c r="V731" t="s">
        <v>280</v>
      </c>
      <c r="W731" t="s">
        <v>22</v>
      </c>
      <c r="X731" t="s">
        <v>22</v>
      </c>
      <c r="Y731" t="s">
        <v>281</v>
      </c>
      <c r="Z731">
        <v>1917</v>
      </c>
    </row>
    <row r="732" spans="1:26" hidden="1" x14ac:dyDescent="0.25">
      <c r="A732">
        <f>COUNTIF($P$2:P732,P732)</f>
        <v>56</v>
      </c>
      <c r="B732">
        <f>COUNTIF($A$2:A732,1)</f>
        <v>24</v>
      </c>
      <c r="C732" t="str">
        <f t="shared" si="55"/>
        <v>TCA</v>
      </c>
      <c r="D732" t="str">
        <f t="shared" si="56"/>
        <v>TCAParent</v>
      </c>
      <c r="E732">
        <f>COUNTIF($R$2:R732,R732)</f>
        <v>56</v>
      </c>
      <c r="F732">
        <f>COUNTIF($E$2:E732,1)</f>
        <v>36</v>
      </c>
      <c r="G732" t="str">
        <f t="shared" si="57"/>
        <v>tca.services.mca</v>
      </c>
      <c r="H732" t="str">
        <f t="shared" si="58"/>
        <v>TCAtca.services.mcaParent</v>
      </c>
      <c r="I732" t="str">
        <f t="shared" si="59"/>
        <v>TCAtca.services.mcawebservice.password</v>
      </c>
      <c r="J732">
        <f>IF(I732="",0,COUNTIF($I$2:I732,I732))</f>
        <v>7</v>
      </c>
      <c r="K732">
        <f>COUNTIF($J$2:J732,1)</f>
        <v>118</v>
      </c>
      <c r="N732">
        <v>2</v>
      </c>
      <c r="O732" t="s">
        <v>15</v>
      </c>
      <c r="P732" t="s">
        <v>264</v>
      </c>
      <c r="Q732" t="s">
        <v>265</v>
      </c>
      <c r="R732" t="s">
        <v>266</v>
      </c>
      <c r="S732" t="s">
        <v>267</v>
      </c>
      <c r="T732" t="s">
        <v>267</v>
      </c>
      <c r="U732" t="s">
        <v>207</v>
      </c>
      <c r="V732" t="s">
        <v>280</v>
      </c>
      <c r="W732" t="s">
        <v>22</v>
      </c>
      <c r="X732" t="s">
        <v>22</v>
      </c>
      <c r="Y732" t="s">
        <v>281</v>
      </c>
      <c r="Z732">
        <v>1917</v>
      </c>
    </row>
    <row r="733" spans="1:26" hidden="1" x14ac:dyDescent="0.25">
      <c r="A733">
        <f>COUNTIF($P$2:P733,P733)</f>
        <v>57</v>
      </c>
      <c r="B733">
        <f>COUNTIF($A$2:A733,1)</f>
        <v>24</v>
      </c>
      <c r="C733" t="str">
        <f t="shared" si="55"/>
        <v>TCA</v>
      </c>
      <c r="D733" t="str">
        <f t="shared" si="56"/>
        <v>TCAIntegrator</v>
      </c>
      <c r="E733">
        <f>COUNTIF($R$2:R733,R733)</f>
        <v>57</v>
      </c>
      <c r="F733">
        <f>COUNTIF($E$2:E733,1)</f>
        <v>36</v>
      </c>
      <c r="G733" t="str">
        <f t="shared" si="57"/>
        <v>tca.services.mca</v>
      </c>
      <c r="H733" t="str">
        <f t="shared" si="58"/>
        <v>TCAtca.services.mcaIntegrator</v>
      </c>
      <c r="I733" t="str">
        <f t="shared" si="59"/>
        <v>TCAtca.services.mcawebservice.username</v>
      </c>
      <c r="J733">
        <f>IF(I733="",0,COUNTIF($I$2:I733,I733))</f>
        <v>1</v>
      </c>
      <c r="K733">
        <f>COUNTIF($J$2:J733,1)</f>
        <v>119</v>
      </c>
      <c r="N733">
        <v>11</v>
      </c>
      <c r="O733" t="s">
        <v>23</v>
      </c>
      <c r="P733" t="s">
        <v>264</v>
      </c>
      <c r="Q733" t="s">
        <v>265</v>
      </c>
      <c r="R733" t="s">
        <v>266</v>
      </c>
      <c r="S733" t="s">
        <v>267</v>
      </c>
      <c r="T733" t="s">
        <v>267</v>
      </c>
      <c r="U733" t="s">
        <v>207</v>
      </c>
      <c r="V733" t="s">
        <v>282</v>
      </c>
      <c r="W733" t="s">
        <v>22</v>
      </c>
      <c r="X733" t="s">
        <v>22</v>
      </c>
      <c r="Y733" t="s">
        <v>283</v>
      </c>
      <c r="Z733">
        <v>1916</v>
      </c>
    </row>
    <row r="734" spans="1:26" hidden="1" x14ac:dyDescent="0.25">
      <c r="A734">
        <f>COUNTIF($P$2:P734,P734)</f>
        <v>58</v>
      </c>
      <c r="B734">
        <f>COUNTIF($A$2:A734,1)</f>
        <v>24</v>
      </c>
      <c r="C734" t="str">
        <f t="shared" si="55"/>
        <v>TCA</v>
      </c>
      <c r="D734" t="str">
        <f t="shared" si="56"/>
        <v>TCADevice</v>
      </c>
      <c r="E734">
        <f>COUNTIF($R$2:R734,R734)</f>
        <v>58</v>
      </c>
      <c r="F734">
        <f>COUNTIF($E$2:E734,1)</f>
        <v>36</v>
      </c>
      <c r="G734" t="str">
        <f t="shared" si="57"/>
        <v>tca.services.mca</v>
      </c>
      <c r="H734" t="str">
        <f t="shared" si="58"/>
        <v>TCAtca.services.mcaDevice</v>
      </c>
      <c r="I734" t="str">
        <f t="shared" si="59"/>
        <v>TCAtca.services.mcawebservice.username</v>
      </c>
      <c r="J734">
        <f>IF(I734="",0,COUNTIF($I$2:I734,I734))</f>
        <v>2</v>
      </c>
      <c r="K734">
        <f>COUNTIF($J$2:J734,1)</f>
        <v>119</v>
      </c>
      <c r="N734">
        <v>2</v>
      </c>
      <c r="O734" t="s">
        <v>31</v>
      </c>
      <c r="P734" t="s">
        <v>264</v>
      </c>
      <c r="Q734" t="s">
        <v>265</v>
      </c>
      <c r="R734" t="s">
        <v>266</v>
      </c>
      <c r="S734" t="s">
        <v>267</v>
      </c>
      <c r="T734" t="s">
        <v>267</v>
      </c>
      <c r="U734" t="s">
        <v>207</v>
      </c>
      <c r="V734" t="s">
        <v>282</v>
      </c>
      <c r="W734" t="s">
        <v>22</v>
      </c>
      <c r="X734" t="s">
        <v>22</v>
      </c>
      <c r="Y734" t="s">
        <v>283</v>
      </c>
      <c r="Z734">
        <v>1916</v>
      </c>
    </row>
    <row r="735" spans="1:26" hidden="1" x14ac:dyDescent="0.25">
      <c r="A735">
        <f>COUNTIF($P$2:P735,P735)</f>
        <v>59</v>
      </c>
      <c r="B735">
        <f>COUNTIF($A$2:A735,1)</f>
        <v>24</v>
      </c>
      <c r="C735" t="str">
        <f t="shared" si="55"/>
        <v>TCA</v>
      </c>
      <c r="D735" t="str">
        <f t="shared" si="56"/>
        <v>TCAParent</v>
      </c>
      <c r="E735">
        <f>COUNTIF($R$2:R735,R735)</f>
        <v>59</v>
      </c>
      <c r="F735">
        <f>COUNTIF($E$2:E735,1)</f>
        <v>36</v>
      </c>
      <c r="G735" t="str">
        <f t="shared" si="57"/>
        <v>tca.services.mca</v>
      </c>
      <c r="H735" t="str">
        <f t="shared" si="58"/>
        <v>TCAtca.services.mcaParent</v>
      </c>
      <c r="I735" t="str">
        <f t="shared" si="59"/>
        <v>TCAtca.services.mcawebservice.username</v>
      </c>
      <c r="J735">
        <f>IF(I735="",0,COUNTIF($I$2:I735,I735))</f>
        <v>3</v>
      </c>
      <c r="K735">
        <f>COUNTIF($J$2:J735,1)</f>
        <v>119</v>
      </c>
      <c r="N735">
        <v>14</v>
      </c>
      <c r="O735" t="s">
        <v>15</v>
      </c>
      <c r="P735" t="s">
        <v>264</v>
      </c>
      <c r="Q735" t="s">
        <v>265</v>
      </c>
      <c r="R735" t="s">
        <v>266</v>
      </c>
      <c r="S735" t="s">
        <v>267</v>
      </c>
      <c r="T735" t="s">
        <v>267</v>
      </c>
      <c r="U735" t="s">
        <v>207</v>
      </c>
      <c r="V735" t="s">
        <v>282</v>
      </c>
      <c r="W735" t="s">
        <v>22</v>
      </c>
      <c r="X735" t="s">
        <v>22</v>
      </c>
      <c r="Y735" t="s">
        <v>283</v>
      </c>
      <c r="Z735">
        <v>1916</v>
      </c>
    </row>
    <row r="736" spans="1:26" hidden="1" x14ac:dyDescent="0.25">
      <c r="A736">
        <f>COUNTIF($P$2:P736,P736)</f>
        <v>60</v>
      </c>
      <c r="B736">
        <f>COUNTIF($A$2:A736,1)</f>
        <v>24</v>
      </c>
      <c r="C736" t="str">
        <f t="shared" si="55"/>
        <v>TCA</v>
      </c>
      <c r="D736" t="str">
        <f t="shared" si="56"/>
        <v>TCAParent</v>
      </c>
      <c r="E736">
        <f>COUNTIF($R$2:R736,R736)</f>
        <v>60</v>
      </c>
      <c r="F736">
        <f>COUNTIF($E$2:E736,1)</f>
        <v>36</v>
      </c>
      <c r="G736" t="str">
        <f t="shared" si="57"/>
        <v>tca.services.mca</v>
      </c>
      <c r="H736" t="str">
        <f t="shared" si="58"/>
        <v>TCAtca.services.mcaParent</v>
      </c>
      <c r="I736" t="str">
        <f t="shared" si="59"/>
        <v>TCAtca.services.mcawebservice.username</v>
      </c>
      <c r="J736">
        <f>IF(I736="",0,COUNTIF($I$2:I736,I736))</f>
        <v>4</v>
      </c>
      <c r="K736">
        <f>COUNTIF($J$2:J736,1)</f>
        <v>119</v>
      </c>
      <c r="N736">
        <v>2</v>
      </c>
      <c r="O736" t="s">
        <v>15</v>
      </c>
      <c r="P736" t="s">
        <v>264</v>
      </c>
      <c r="Q736" t="s">
        <v>265</v>
      </c>
      <c r="R736" t="s">
        <v>266</v>
      </c>
      <c r="S736" t="s">
        <v>267</v>
      </c>
      <c r="T736" t="s">
        <v>267</v>
      </c>
      <c r="U736" t="s">
        <v>207</v>
      </c>
      <c r="V736" t="s">
        <v>282</v>
      </c>
      <c r="W736" t="s">
        <v>22</v>
      </c>
      <c r="X736" t="s">
        <v>22</v>
      </c>
      <c r="Y736" t="s">
        <v>283</v>
      </c>
      <c r="Z736">
        <v>1916</v>
      </c>
    </row>
    <row r="737" spans="1:26" hidden="1" x14ac:dyDescent="0.25">
      <c r="A737">
        <f>COUNTIF($P$2:P737,P737)</f>
        <v>61</v>
      </c>
      <c r="B737">
        <f>COUNTIF($A$2:A737,1)</f>
        <v>24</v>
      </c>
      <c r="C737" t="str">
        <f t="shared" si="55"/>
        <v>TCA</v>
      </c>
      <c r="D737" t="str">
        <f t="shared" si="56"/>
        <v>TCAParent</v>
      </c>
      <c r="E737">
        <f>COUNTIF($R$2:R737,R737)</f>
        <v>61</v>
      </c>
      <c r="F737">
        <f>COUNTIF($E$2:E737,1)</f>
        <v>36</v>
      </c>
      <c r="G737" t="str">
        <f t="shared" si="57"/>
        <v>tca.services.mca</v>
      </c>
      <c r="H737" t="str">
        <f t="shared" si="58"/>
        <v>TCAtca.services.mcaParent</v>
      </c>
      <c r="I737" t="str">
        <f t="shared" si="59"/>
        <v>TCAtca.services.mcawebservice.username</v>
      </c>
      <c r="J737">
        <f>IF(I737="",0,COUNTIF($I$2:I737,I737))</f>
        <v>5</v>
      </c>
      <c r="K737">
        <f>COUNTIF($J$2:J737,1)</f>
        <v>119</v>
      </c>
      <c r="N737">
        <v>1</v>
      </c>
      <c r="O737" t="s">
        <v>15</v>
      </c>
      <c r="P737" t="s">
        <v>264</v>
      </c>
      <c r="Q737" t="s">
        <v>265</v>
      </c>
      <c r="R737" t="s">
        <v>266</v>
      </c>
      <c r="S737" t="s">
        <v>267</v>
      </c>
      <c r="T737" t="s">
        <v>267</v>
      </c>
      <c r="U737" t="s">
        <v>207</v>
      </c>
      <c r="V737" t="s">
        <v>282</v>
      </c>
      <c r="W737" t="s">
        <v>22</v>
      </c>
      <c r="X737" t="s">
        <v>22</v>
      </c>
      <c r="Y737" t="s">
        <v>283</v>
      </c>
      <c r="Z737">
        <v>1916</v>
      </c>
    </row>
    <row r="738" spans="1:26" hidden="1" x14ac:dyDescent="0.25">
      <c r="A738">
        <f>COUNTIF($P$2:P738,P738)</f>
        <v>62</v>
      </c>
      <c r="B738">
        <f>COUNTIF($A$2:A738,1)</f>
        <v>24</v>
      </c>
      <c r="C738" t="str">
        <f t="shared" si="55"/>
        <v>TCA</v>
      </c>
      <c r="D738" t="str">
        <f t="shared" si="56"/>
        <v>TCADevice</v>
      </c>
      <c r="E738">
        <f>COUNTIF($R$2:R738,R738)</f>
        <v>62</v>
      </c>
      <c r="F738">
        <f>COUNTIF($E$2:E738,1)</f>
        <v>36</v>
      </c>
      <c r="G738" t="str">
        <f t="shared" si="57"/>
        <v>tca.services.mca</v>
      </c>
      <c r="H738" t="str">
        <f t="shared" si="58"/>
        <v>TCAtca.services.mcaDevice</v>
      </c>
      <c r="I738" t="str">
        <f t="shared" si="59"/>
        <v>TCAtca.services.mcawebservice.username</v>
      </c>
      <c r="J738">
        <f>IF(I738="",0,COUNTIF($I$2:I738,I738))</f>
        <v>6</v>
      </c>
      <c r="K738">
        <f>COUNTIF($J$2:J738,1)</f>
        <v>119</v>
      </c>
      <c r="N738">
        <v>109</v>
      </c>
      <c r="O738" t="s">
        <v>31</v>
      </c>
      <c r="P738" t="s">
        <v>264</v>
      </c>
      <c r="Q738" t="s">
        <v>265</v>
      </c>
      <c r="R738" t="s">
        <v>266</v>
      </c>
      <c r="S738" t="s">
        <v>267</v>
      </c>
      <c r="T738" t="s">
        <v>267</v>
      </c>
      <c r="U738" t="s">
        <v>207</v>
      </c>
      <c r="V738" t="s">
        <v>282</v>
      </c>
      <c r="W738" t="s">
        <v>22</v>
      </c>
      <c r="X738" t="s">
        <v>22</v>
      </c>
      <c r="Y738" t="s">
        <v>283</v>
      </c>
      <c r="Z738">
        <v>1916</v>
      </c>
    </row>
    <row r="739" spans="1:26" hidden="1" x14ac:dyDescent="0.25">
      <c r="A739">
        <f>COUNTIF($P$2:P739,P739)</f>
        <v>63</v>
      </c>
      <c r="B739">
        <f>COUNTIF($A$2:A739,1)</f>
        <v>24</v>
      </c>
      <c r="C739" t="str">
        <f t="shared" si="55"/>
        <v>TCA</v>
      </c>
      <c r="D739" t="str">
        <f t="shared" si="56"/>
        <v>TCAParent</v>
      </c>
      <c r="E739">
        <f>COUNTIF($R$2:R739,R739)</f>
        <v>63</v>
      </c>
      <c r="F739">
        <f>COUNTIF($E$2:E739,1)</f>
        <v>36</v>
      </c>
      <c r="G739" t="str">
        <f t="shared" si="57"/>
        <v>tca.services.mca</v>
      </c>
      <c r="H739" t="str">
        <f t="shared" si="58"/>
        <v>TCAtca.services.mcaParent</v>
      </c>
      <c r="I739" t="str">
        <f t="shared" si="59"/>
        <v>TCAtca.services.mcawebservice.username</v>
      </c>
      <c r="J739">
        <f>IF(I739="",0,COUNTIF($I$2:I739,I739))</f>
        <v>7</v>
      </c>
      <c r="K739">
        <f>COUNTIF($J$2:J739,1)</f>
        <v>119</v>
      </c>
      <c r="N739">
        <v>282</v>
      </c>
      <c r="O739" t="s">
        <v>15</v>
      </c>
      <c r="P739" t="s">
        <v>264</v>
      </c>
      <c r="Q739" t="s">
        <v>265</v>
      </c>
      <c r="R739" t="s">
        <v>266</v>
      </c>
      <c r="S739" t="s">
        <v>267</v>
      </c>
      <c r="T739" t="s">
        <v>267</v>
      </c>
      <c r="U739" t="s">
        <v>207</v>
      </c>
      <c r="V739" t="s">
        <v>282</v>
      </c>
      <c r="W739" t="s">
        <v>22</v>
      </c>
      <c r="X739" t="s">
        <v>22</v>
      </c>
      <c r="Y739" t="s">
        <v>283</v>
      </c>
      <c r="Z739">
        <v>1916</v>
      </c>
    </row>
    <row r="740" spans="1:26" hidden="1" x14ac:dyDescent="0.25">
      <c r="A740">
        <f>COUNTIF($P$2:P740,P740)</f>
        <v>64</v>
      </c>
      <c r="B740">
        <f>COUNTIF($A$2:A740,1)</f>
        <v>24</v>
      </c>
      <c r="C740" t="str">
        <f t="shared" si="55"/>
        <v>TCA</v>
      </c>
      <c r="D740" t="str">
        <f t="shared" si="56"/>
        <v>TCADevice</v>
      </c>
      <c r="E740">
        <f>COUNTIF($R$2:R740,R740)</f>
        <v>64</v>
      </c>
      <c r="F740">
        <f>COUNTIF($E$2:E740,1)</f>
        <v>36</v>
      </c>
      <c r="G740" t="str">
        <f t="shared" si="57"/>
        <v>tca.services.mca</v>
      </c>
      <c r="H740" t="str">
        <f t="shared" si="58"/>
        <v>TCAtca.services.mcaDevice</v>
      </c>
      <c r="I740" t="str">
        <f t="shared" si="59"/>
        <v/>
      </c>
      <c r="J740">
        <f>IF(I740="",0,COUNTIF($I$2:I740,I740))</f>
        <v>0</v>
      </c>
      <c r="K740">
        <f>COUNTIF($J$2:J740,1)</f>
        <v>119</v>
      </c>
      <c r="N740">
        <v>49</v>
      </c>
      <c r="O740" t="s">
        <v>31</v>
      </c>
      <c r="P740" t="s">
        <v>264</v>
      </c>
      <c r="Q740" t="s">
        <v>265</v>
      </c>
      <c r="R740" t="s">
        <v>266</v>
      </c>
      <c r="S740" t="s">
        <v>267</v>
      </c>
      <c r="T740" t="s">
        <v>267</v>
      </c>
      <c r="U740" t="s">
        <v>207</v>
      </c>
      <c r="W740" t="s">
        <v>22</v>
      </c>
    </row>
    <row r="741" spans="1:26" hidden="1" x14ac:dyDescent="0.25">
      <c r="A741">
        <f>COUNTIF($P$2:P741,P741)</f>
        <v>65</v>
      </c>
      <c r="B741">
        <f>COUNTIF($A$2:A741,1)</f>
        <v>24</v>
      </c>
      <c r="C741" t="str">
        <f t="shared" si="55"/>
        <v>TCA</v>
      </c>
      <c r="D741" t="str">
        <f t="shared" si="56"/>
        <v>TCAIntegrator</v>
      </c>
      <c r="E741">
        <f>COUNTIF($R$2:R741,R741)</f>
        <v>65</v>
      </c>
      <c r="F741">
        <f>COUNTIF($E$2:E741,1)</f>
        <v>36</v>
      </c>
      <c r="G741" t="str">
        <f t="shared" si="57"/>
        <v>tca.services.mca</v>
      </c>
      <c r="H741" t="str">
        <f t="shared" si="58"/>
        <v>TCAtca.services.mcaIntegrator</v>
      </c>
      <c r="I741" t="str">
        <f t="shared" si="59"/>
        <v/>
      </c>
      <c r="J741">
        <f>IF(I741="",0,COUNTIF($I$2:I741,I741))</f>
        <v>0</v>
      </c>
      <c r="K741">
        <f>COUNTIF($J$2:J741,1)</f>
        <v>119</v>
      </c>
      <c r="N741">
        <v>24</v>
      </c>
      <c r="O741" t="s">
        <v>23</v>
      </c>
      <c r="P741" t="s">
        <v>264</v>
      </c>
      <c r="Q741" t="s">
        <v>265</v>
      </c>
      <c r="R741" t="s">
        <v>266</v>
      </c>
      <c r="S741" t="s">
        <v>267</v>
      </c>
      <c r="T741" t="s">
        <v>267</v>
      </c>
      <c r="U741" t="s">
        <v>207</v>
      </c>
      <c r="W741" t="s">
        <v>22</v>
      </c>
    </row>
    <row r="742" spans="1:26" hidden="1" x14ac:dyDescent="0.25">
      <c r="A742">
        <f>COUNTIF($P$2:P742,P742)</f>
        <v>66</v>
      </c>
      <c r="B742">
        <f>COUNTIF($A$2:A742,1)</f>
        <v>24</v>
      </c>
      <c r="C742" t="str">
        <f t="shared" si="55"/>
        <v>TCA</v>
      </c>
      <c r="D742" t="str">
        <f t="shared" si="56"/>
        <v>TCAParent</v>
      </c>
      <c r="E742">
        <f>COUNTIF($R$2:R742,R742)</f>
        <v>66</v>
      </c>
      <c r="F742">
        <f>COUNTIF($E$2:E742,1)</f>
        <v>36</v>
      </c>
      <c r="G742" t="str">
        <f t="shared" si="57"/>
        <v>tca.services.mca</v>
      </c>
      <c r="H742" t="str">
        <f t="shared" si="58"/>
        <v>TCAtca.services.mcaParent</v>
      </c>
      <c r="I742" t="str">
        <f t="shared" si="59"/>
        <v/>
      </c>
      <c r="J742">
        <f>IF(I742="",0,COUNTIF($I$2:I742,I742))</f>
        <v>0</v>
      </c>
      <c r="K742">
        <f>COUNTIF($J$2:J742,1)</f>
        <v>119</v>
      </c>
      <c r="N742">
        <v>26</v>
      </c>
      <c r="O742" t="s">
        <v>15</v>
      </c>
      <c r="P742" t="s">
        <v>264</v>
      </c>
      <c r="Q742" t="s">
        <v>265</v>
      </c>
      <c r="R742" t="s">
        <v>266</v>
      </c>
      <c r="S742" t="s">
        <v>267</v>
      </c>
      <c r="T742" t="s">
        <v>267</v>
      </c>
      <c r="U742" t="s">
        <v>207</v>
      </c>
      <c r="W742" t="s">
        <v>22</v>
      </c>
    </row>
    <row r="743" spans="1:26" hidden="1" x14ac:dyDescent="0.25">
      <c r="A743">
        <f>COUNTIF($P$2:P743,P743)</f>
        <v>67</v>
      </c>
      <c r="B743">
        <f>COUNTIF($A$2:A743,1)</f>
        <v>24</v>
      </c>
      <c r="C743" t="str">
        <f t="shared" si="55"/>
        <v>TCA</v>
      </c>
      <c r="D743" t="str">
        <f t="shared" si="56"/>
        <v>TCADevice</v>
      </c>
      <c r="E743">
        <f>COUNTIF($R$2:R743,R743)</f>
        <v>67</v>
      </c>
      <c r="F743">
        <f>COUNTIF($E$2:E743,1)</f>
        <v>36</v>
      </c>
      <c r="G743" t="str">
        <f t="shared" si="57"/>
        <v>tca.services.mca</v>
      </c>
      <c r="H743" t="str">
        <f t="shared" si="58"/>
        <v>TCAtca.services.mcaDevice</v>
      </c>
      <c r="I743" t="str">
        <f t="shared" si="59"/>
        <v/>
      </c>
      <c r="J743">
        <f>IF(I743="",0,COUNTIF($I$2:I743,I743))</f>
        <v>0</v>
      </c>
      <c r="K743">
        <f>COUNTIF($J$2:J743,1)</f>
        <v>119</v>
      </c>
      <c r="N743">
        <v>1</v>
      </c>
      <c r="O743" t="s">
        <v>31</v>
      </c>
      <c r="P743" t="s">
        <v>264</v>
      </c>
      <c r="Q743" t="s">
        <v>265</v>
      </c>
      <c r="R743" t="s">
        <v>266</v>
      </c>
      <c r="S743" t="s">
        <v>267</v>
      </c>
      <c r="T743" t="s">
        <v>267</v>
      </c>
      <c r="U743" t="s">
        <v>207</v>
      </c>
      <c r="W743" t="s">
        <v>22</v>
      </c>
    </row>
    <row r="744" spans="1:26" hidden="1" x14ac:dyDescent="0.25">
      <c r="A744">
        <f>COUNTIF($P$2:P744,P744)</f>
        <v>68</v>
      </c>
      <c r="B744">
        <f>COUNTIF($A$2:A744,1)</f>
        <v>24</v>
      </c>
      <c r="C744" t="str">
        <f t="shared" si="55"/>
        <v>TCA</v>
      </c>
      <c r="D744" t="str">
        <f t="shared" si="56"/>
        <v>TCADevice</v>
      </c>
      <c r="E744">
        <f>COUNTIF($R$2:R744,R744)</f>
        <v>68</v>
      </c>
      <c r="F744">
        <f>COUNTIF($E$2:E744,1)</f>
        <v>36</v>
      </c>
      <c r="G744" t="str">
        <f t="shared" si="57"/>
        <v>tca.services.mca</v>
      </c>
      <c r="H744" t="str">
        <f t="shared" si="58"/>
        <v>TCAtca.services.mcaDevice</v>
      </c>
      <c r="I744" t="str">
        <f t="shared" si="59"/>
        <v/>
      </c>
      <c r="J744">
        <f>IF(I744="",0,COUNTIF($I$2:I744,I744))</f>
        <v>0</v>
      </c>
      <c r="K744">
        <f>COUNTIF($J$2:J744,1)</f>
        <v>119</v>
      </c>
      <c r="N744">
        <v>1</v>
      </c>
      <c r="O744" t="s">
        <v>31</v>
      </c>
      <c r="P744" t="s">
        <v>264</v>
      </c>
      <c r="Q744" t="s">
        <v>265</v>
      </c>
      <c r="R744" t="s">
        <v>266</v>
      </c>
      <c r="S744" t="s">
        <v>267</v>
      </c>
      <c r="T744" t="s">
        <v>267</v>
      </c>
      <c r="U744" t="s">
        <v>207</v>
      </c>
      <c r="W744" t="s">
        <v>21</v>
      </c>
    </row>
    <row r="745" spans="1:26" hidden="1" x14ac:dyDescent="0.25">
      <c r="A745">
        <f>COUNTIF($P$2:P745,P745)</f>
        <v>69</v>
      </c>
      <c r="B745">
        <f>COUNTIF($A$2:A745,1)</f>
        <v>24</v>
      </c>
      <c r="C745" t="str">
        <f t="shared" si="55"/>
        <v>TCA</v>
      </c>
      <c r="D745" t="str">
        <f t="shared" si="56"/>
        <v>TCAParent</v>
      </c>
      <c r="E745">
        <f>COUNTIF($R$2:R745,R745)</f>
        <v>69</v>
      </c>
      <c r="F745">
        <f>COUNTIF($E$2:E745,1)</f>
        <v>36</v>
      </c>
      <c r="G745" t="str">
        <f t="shared" si="57"/>
        <v>tca.services.mca</v>
      </c>
      <c r="H745" t="str">
        <f t="shared" si="58"/>
        <v>TCAtca.services.mcaParent</v>
      </c>
      <c r="I745" t="str">
        <f t="shared" si="59"/>
        <v/>
      </c>
      <c r="J745">
        <f>IF(I745="",0,COUNTIF($I$2:I745,I745))</f>
        <v>0</v>
      </c>
      <c r="K745">
        <f>COUNTIF($J$2:J745,1)</f>
        <v>119</v>
      </c>
      <c r="N745">
        <v>1</v>
      </c>
      <c r="O745" t="s">
        <v>15</v>
      </c>
      <c r="P745" t="s">
        <v>264</v>
      </c>
      <c r="Q745" t="s">
        <v>265</v>
      </c>
      <c r="R745" t="s">
        <v>266</v>
      </c>
      <c r="S745" t="s">
        <v>267</v>
      </c>
      <c r="T745" t="s">
        <v>267</v>
      </c>
      <c r="U745" t="s">
        <v>207</v>
      </c>
      <c r="W745" t="s">
        <v>21</v>
      </c>
    </row>
    <row r="746" spans="1:26" hidden="1" x14ac:dyDescent="0.25">
      <c r="A746">
        <f>COUNTIF($P$2:P746,P746)</f>
        <v>70</v>
      </c>
      <c r="B746">
        <f>COUNTIF($A$2:A746,1)</f>
        <v>24</v>
      </c>
      <c r="C746" t="str">
        <f t="shared" si="55"/>
        <v>TCA</v>
      </c>
      <c r="D746" t="str">
        <f t="shared" si="56"/>
        <v>TCAParent</v>
      </c>
      <c r="E746">
        <f>COUNTIF($R$2:R746,R746)</f>
        <v>70</v>
      </c>
      <c r="F746">
        <f>COUNTIF($E$2:E746,1)</f>
        <v>36</v>
      </c>
      <c r="G746" t="str">
        <f t="shared" si="57"/>
        <v>tca.services.mca</v>
      </c>
      <c r="H746" t="str">
        <f t="shared" si="58"/>
        <v>TCAtca.services.mcaParent</v>
      </c>
      <c r="I746" t="str">
        <f t="shared" si="59"/>
        <v/>
      </c>
      <c r="J746">
        <f>IF(I746="",0,COUNTIF($I$2:I746,I746))</f>
        <v>0</v>
      </c>
      <c r="K746">
        <f>COUNTIF($J$2:J746,1)</f>
        <v>119</v>
      </c>
      <c r="N746">
        <v>3</v>
      </c>
      <c r="O746" t="s">
        <v>15</v>
      </c>
      <c r="P746" t="s">
        <v>264</v>
      </c>
      <c r="Q746" t="s">
        <v>265</v>
      </c>
      <c r="R746" t="s">
        <v>266</v>
      </c>
      <c r="S746" t="s">
        <v>267</v>
      </c>
      <c r="T746" t="s">
        <v>267</v>
      </c>
      <c r="U746" t="s">
        <v>207</v>
      </c>
      <c r="W746" t="s">
        <v>21</v>
      </c>
    </row>
    <row r="747" spans="1:26" hidden="1" x14ac:dyDescent="0.25">
      <c r="A747">
        <f>COUNTIF($P$2:P747,P747)</f>
        <v>71</v>
      </c>
      <c r="B747">
        <f>COUNTIF($A$2:A747,1)</f>
        <v>24</v>
      </c>
      <c r="C747" t="str">
        <f t="shared" si="55"/>
        <v>TCA</v>
      </c>
      <c r="D747" t="str">
        <f t="shared" si="56"/>
        <v>TCADevice</v>
      </c>
      <c r="E747">
        <f>COUNTIF($R$2:R747,R747)</f>
        <v>71</v>
      </c>
      <c r="F747">
        <f>COUNTIF($E$2:E747,1)</f>
        <v>36</v>
      </c>
      <c r="G747" t="str">
        <f t="shared" si="57"/>
        <v>tca.services.mca</v>
      </c>
      <c r="H747" t="str">
        <f t="shared" si="58"/>
        <v>TCAtca.services.mcaDevice</v>
      </c>
      <c r="I747" t="str">
        <f t="shared" si="59"/>
        <v/>
      </c>
      <c r="J747">
        <f>IF(I747="",0,COUNTIF($I$2:I747,I747))</f>
        <v>0</v>
      </c>
      <c r="K747">
        <f>COUNTIF($J$2:J747,1)</f>
        <v>119</v>
      </c>
      <c r="N747">
        <v>44</v>
      </c>
      <c r="O747" t="s">
        <v>31</v>
      </c>
      <c r="P747" t="s">
        <v>264</v>
      </c>
      <c r="Q747" t="s">
        <v>265</v>
      </c>
      <c r="R747" t="s">
        <v>266</v>
      </c>
      <c r="S747" t="s">
        <v>267</v>
      </c>
      <c r="T747" t="s">
        <v>267</v>
      </c>
      <c r="U747" t="s">
        <v>207</v>
      </c>
      <c r="W747" t="s">
        <v>21</v>
      </c>
    </row>
    <row r="748" spans="1:26" hidden="1" x14ac:dyDescent="0.25">
      <c r="A748">
        <f>COUNTIF($P$2:P748,P748)</f>
        <v>72</v>
      </c>
      <c r="B748">
        <f>COUNTIF($A$2:A748,1)</f>
        <v>24</v>
      </c>
      <c r="C748" t="str">
        <f t="shared" si="55"/>
        <v>TCA</v>
      </c>
      <c r="D748" t="str">
        <f t="shared" si="56"/>
        <v>TCADevice</v>
      </c>
      <c r="E748">
        <f>COUNTIF($R$2:R748,R748)</f>
        <v>72</v>
      </c>
      <c r="F748">
        <f>COUNTIF($E$2:E748,1)</f>
        <v>36</v>
      </c>
      <c r="G748" t="str">
        <f t="shared" si="57"/>
        <v>tca.services.mca</v>
      </c>
      <c r="H748" t="str">
        <f t="shared" si="58"/>
        <v>TCAtca.services.mcaDevice</v>
      </c>
      <c r="I748" t="str">
        <f t="shared" si="59"/>
        <v/>
      </c>
      <c r="J748">
        <f>IF(I748="",0,COUNTIF($I$2:I748,I748))</f>
        <v>0</v>
      </c>
      <c r="K748">
        <f>COUNTIF($J$2:J748,1)</f>
        <v>119</v>
      </c>
      <c r="N748">
        <v>4</v>
      </c>
      <c r="O748" t="s">
        <v>31</v>
      </c>
      <c r="P748" t="s">
        <v>264</v>
      </c>
      <c r="Q748" t="s">
        <v>265</v>
      </c>
      <c r="R748" t="s">
        <v>266</v>
      </c>
      <c r="S748" t="s">
        <v>267</v>
      </c>
      <c r="T748" t="s">
        <v>267</v>
      </c>
      <c r="U748" t="s">
        <v>207</v>
      </c>
      <c r="W748" t="s">
        <v>21</v>
      </c>
    </row>
    <row r="749" spans="1:26" hidden="1" x14ac:dyDescent="0.25">
      <c r="A749">
        <f>COUNTIF($P$2:P749,P749)</f>
        <v>73</v>
      </c>
      <c r="B749">
        <f>COUNTIF($A$2:A749,1)</f>
        <v>24</v>
      </c>
      <c r="C749" t="str">
        <f t="shared" si="55"/>
        <v>TCA</v>
      </c>
      <c r="D749" t="str">
        <f t="shared" si="56"/>
        <v>TCAParent</v>
      </c>
      <c r="E749">
        <f>COUNTIF($R$2:R749,R749)</f>
        <v>73</v>
      </c>
      <c r="F749">
        <f>COUNTIF($E$2:E749,1)</f>
        <v>36</v>
      </c>
      <c r="G749" t="str">
        <f t="shared" si="57"/>
        <v>tca.services.mca</v>
      </c>
      <c r="H749" t="str">
        <f t="shared" si="58"/>
        <v>TCAtca.services.mcaParent</v>
      </c>
      <c r="I749" t="str">
        <f t="shared" si="59"/>
        <v/>
      </c>
      <c r="J749">
        <f>IF(I749="",0,COUNTIF($I$2:I749,I749))</f>
        <v>0</v>
      </c>
      <c r="K749">
        <f>COUNTIF($J$2:J749,1)</f>
        <v>119</v>
      </c>
      <c r="N749">
        <v>2</v>
      </c>
      <c r="O749" t="s">
        <v>15</v>
      </c>
      <c r="P749" t="s">
        <v>264</v>
      </c>
      <c r="Q749" t="s">
        <v>265</v>
      </c>
      <c r="R749" t="s">
        <v>266</v>
      </c>
      <c r="S749" t="s">
        <v>267</v>
      </c>
      <c r="T749" t="s">
        <v>267</v>
      </c>
      <c r="U749" t="s">
        <v>207</v>
      </c>
      <c r="W749" t="s">
        <v>21</v>
      </c>
    </row>
    <row r="750" spans="1:26" hidden="1" x14ac:dyDescent="0.25">
      <c r="A750">
        <f>COUNTIF($P$2:P750,P750)</f>
        <v>74</v>
      </c>
      <c r="B750">
        <f>COUNTIF($A$2:A750,1)</f>
        <v>24</v>
      </c>
      <c r="C750" t="str">
        <f t="shared" si="55"/>
        <v>TCA</v>
      </c>
      <c r="D750" t="str">
        <f t="shared" si="56"/>
        <v>TCAIntegrator</v>
      </c>
      <c r="E750">
        <f>COUNTIF($R$2:R750,R750)</f>
        <v>74</v>
      </c>
      <c r="F750">
        <f>COUNTIF($E$2:E750,1)</f>
        <v>36</v>
      </c>
      <c r="G750" t="str">
        <f t="shared" si="57"/>
        <v>tca.services.mca</v>
      </c>
      <c r="H750" t="str">
        <f t="shared" si="58"/>
        <v>TCAtca.services.mcaIntegrator</v>
      </c>
      <c r="I750" t="str">
        <f t="shared" si="59"/>
        <v/>
      </c>
      <c r="J750">
        <f>IF(I750="",0,COUNTIF($I$2:I750,I750))</f>
        <v>0</v>
      </c>
      <c r="K750">
        <f>COUNTIF($J$2:J750,1)</f>
        <v>119</v>
      </c>
      <c r="N750">
        <v>26</v>
      </c>
      <c r="O750" t="s">
        <v>23</v>
      </c>
      <c r="P750" t="s">
        <v>264</v>
      </c>
      <c r="Q750" t="s">
        <v>265</v>
      </c>
      <c r="R750" t="s">
        <v>266</v>
      </c>
      <c r="S750" t="s">
        <v>267</v>
      </c>
      <c r="T750" t="s">
        <v>267</v>
      </c>
      <c r="U750" t="s">
        <v>207</v>
      </c>
      <c r="W750" t="s">
        <v>21</v>
      </c>
    </row>
    <row r="751" spans="1:26" hidden="1" x14ac:dyDescent="0.25">
      <c r="A751">
        <f>COUNTIF($P$2:P751,P751)</f>
        <v>75</v>
      </c>
      <c r="B751">
        <f>COUNTIF($A$2:A751,1)</f>
        <v>24</v>
      </c>
      <c r="C751" t="str">
        <f t="shared" si="55"/>
        <v>TCA</v>
      </c>
      <c r="D751" t="str">
        <f t="shared" si="56"/>
        <v>TCAParent</v>
      </c>
      <c r="E751">
        <f>COUNTIF($R$2:R751,R751)</f>
        <v>75</v>
      </c>
      <c r="F751">
        <f>COUNTIF($E$2:E751,1)</f>
        <v>36</v>
      </c>
      <c r="G751" t="str">
        <f t="shared" si="57"/>
        <v>tca.services.mca</v>
      </c>
      <c r="H751" t="str">
        <f t="shared" si="58"/>
        <v>TCAtca.services.mcaParent</v>
      </c>
      <c r="I751" t="str">
        <f t="shared" si="59"/>
        <v/>
      </c>
      <c r="J751">
        <f>IF(I751="",0,COUNTIF($I$2:I751,I751))</f>
        <v>0</v>
      </c>
      <c r="K751">
        <f>COUNTIF($J$2:J751,1)</f>
        <v>119</v>
      </c>
      <c r="N751">
        <v>42</v>
      </c>
      <c r="O751" t="s">
        <v>15</v>
      </c>
      <c r="P751" t="s">
        <v>264</v>
      </c>
      <c r="Q751" t="s">
        <v>265</v>
      </c>
      <c r="R751" t="s">
        <v>266</v>
      </c>
      <c r="S751" t="s">
        <v>267</v>
      </c>
      <c r="T751" t="s">
        <v>267</v>
      </c>
      <c r="U751" t="s">
        <v>207</v>
      </c>
      <c r="W751" t="s">
        <v>21</v>
      </c>
    </row>
    <row r="752" spans="1:26" hidden="1" x14ac:dyDescent="0.25">
      <c r="A752">
        <f>COUNTIF($P$2:P752,P752)</f>
        <v>76</v>
      </c>
      <c r="B752">
        <f>COUNTIF($A$2:A752,1)</f>
        <v>24</v>
      </c>
      <c r="C752" t="str">
        <f t="shared" si="55"/>
        <v>TCA</v>
      </c>
      <c r="D752" t="str">
        <f t="shared" si="56"/>
        <v>TCAParent</v>
      </c>
      <c r="E752">
        <f>COUNTIF($R$2:R752,R752)</f>
        <v>76</v>
      </c>
      <c r="F752">
        <f>COUNTIF($E$2:E752,1)</f>
        <v>36</v>
      </c>
      <c r="G752" t="str">
        <f t="shared" si="57"/>
        <v>tca.services.mca</v>
      </c>
      <c r="H752" t="str">
        <f t="shared" si="58"/>
        <v>TCAtca.services.mcaParent</v>
      </c>
      <c r="I752" t="str">
        <f t="shared" si="59"/>
        <v/>
      </c>
      <c r="J752">
        <f>IF(I752="",0,COUNTIF($I$2:I752,I752))</f>
        <v>0</v>
      </c>
      <c r="K752">
        <f>COUNTIF($J$2:J752,1)</f>
        <v>119</v>
      </c>
      <c r="N752">
        <v>1</v>
      </c>
      <c r="O752" t="s">
        <v>15</v>
      </c>
      <c r="P752" t="s">
        <v>264</v>
      </c>
      <c r="Q752" t="s">
        <v>265</v>
      </c>
      <c r="R752" t="s">
        <v>266</v>
      </c>
      <c r="S752" t="s">
        <v>267</v>
      </c>
      <c r="T752" t="s">
        <v>267</v>
      </c>
      <c r="U752" t="s">
        <v>207</v>
      </c>
      <c r="W752" t="s">
        <v>22</v>
      </c>
    </row>
    <row r="753" spans="1:26" hidden="1" x14ac:dyDescent="0.25">
      <c r="A753">
        <f>COUNTIF($P$2:P753,P753)</f>
        <v>77</v>
      </c>
      <c r="B753">
        <f>COUNTIF($A$2:A753,1)</f>
        <v>24</v>
      </c>
      <c r="C753" t="str">
        <f t="shared" si="55"/>
        <v>TCA</v>
      </c>
      <c r="D753" t="str">
        <f t="shared" si="56"/>
        <v>TCADevice</v>
      </c>
      <c r="E753">
        <f>COUNTIF($R$2:R753,R753)</f>
        <v>77</v>
      </c>
      <c r="F753">
        <f>COUNTIF($E$2:E753,1)</f>
        <v>36</v>
      </c>
      <c r="G753" t="str">
        <f t="shared" si="57"/>
        <v>tca.services.mca</v>
      </c>
      <c r="H753" t="str">
        <f t="shared" si="58"/>
        <v>TCAtca.services.mcaDevice</v>
      </c>
      <c r="I753" t="str">
        <f t="shared" si="59"/>
        <v/>
      </c>
      <c r="J753">
        <f>IF(I753="",0,COUNTIF($I$2:I753,I753))</f>
        <v>0</v>
      </c>
      <c r="K753">
        <f>COUNTIF($J$2:J753,1)</f>
        <v>119</v>
      </c>
      <c r="N753">
        <v>19</v>
      </c>
      <c r="O753" t="s">
        <v>31</v>
      </c>
      <c r="P753" t="s">
        <v>264</v>
      </c>
      <c r="Q753" t="s">
        <v>265</v>
      </c>
      <c r="R753" t="s">
        <v>266</v>
      </c>
      <c r="S753" t="s">
        <v>267</v>
      </c>
      <c r="T753" t="s">
        <v>267</v>
      </c>
      <c r="U753" t="s">
        <v>207</v>
      </c>
      <c r="W753" t="s">
        <v>22</v>
      </c>
    </row>
    <row r="754" spans="1:26" hidden="1" x14ac:dyDescent="0.25">
      <c r="A754">
        <f>COUNTIF($P$2:P754,P754)</f>
        <v>78</v>
      </c>
      <c r="B754">
        <f>COUNTIF($A$2:A754,1)</f>
        <v>24</v>
      </c>
      <c r="C754" t="str">
        <f t="shared" si="55"/>
        <v>TCA</v>
      </c>
      <c r="D754" t="str">
        <f t="shared" si="56"/>
        <v>TCADevice</v>
      </c>
      <c r="E754">
        <f>COUNTIF($R$2:R754,R754)</f>
        <v>1</v>
      </c>
      <c r="F754">
        <f>COUNTIF($E$2:E754,1)</f>
        <v>37</v>
      </c>
      <c r="G754" t="str">
        <f t="shared" si="57"/>
        <v>tca.services.pca</v>
      </c>
      <c r="H754" t="str">
        <f t="shared" si="58"/>
        <v>TCAtca.services.pcaDevice</v>
      </c>
      <c r="I754" t="str">
        <f t="shared" si="59"/>
        <v>TCAtca.services.pcaapp.mandate.authentication.enabled</v>
      </c>
      <c r="J754">
        <f>IF(I754="",0,COUNTIF($I$2:I754,I754))</f>
        <v>1</v>
      </c>
      <c r="K754">
        <f>COUNTIF($J$2:J754,1)</f>
        <v>120</v>
      </c>
      <c r="N754">
        <v>1</v>
      </c>
      <c r="O754" t="s">
        <v>31</v>
      </c>
      <c r="P754" t="s">
        <v>264</v>
      </c>
      <c r="Q754" t="s">
        <v>265</v>
      </c>
      <c r="R754" t="s">
        <v>284</v>
      </c>
      <c r="S754" t="s">
        <v>285</v>
      </c>
      <c r="T754" t="s">
        <v>285</v>
      </c>
      <c r="U754" t="s">
        <v>286</v>
      </c>
      <c r="V754" t="s">
        <v>268</v>
      </c>
      <c r="W754" t="s">
        <v>21</v>
      </c>
      <c r="X754" t="s">
        <v>21</v>
      </c>
      <c r="Y754" t="b">
        <v>1</v>
      </c>
      <c r="Z754">
        <v>5022</v>
      </c>
    </row>
    <row r="755" spans="1:26" hidden="1" x14ac:dyDescent="0.25">
      <c r="A755">
        <f>COUNTIF($P$2:P755,P755)</f>
        <v>79</v>
      </c>
      <c r="B755">
        <f>COUNTIF($A$2:A755,1)</f>
        <v>24</v>
      </c>
      <c r="C755" t="str">
        <f t="shared" si="55"/>
        <v>TCA</v>
      </c>
      <c r="D755" t="str">
        <f t="shared" si="56"/>
        <v>TCAParent</v>
      </c>
      <c r="E755">
        <f>COUNTIF($R$2:R755,R755)</f>
        <v>2</v>
      </c>
      <c r="F755">
        <f>COUNTIF($E$2:E755,1)</f>
        <v>37</v>
      </c>
      <c r="G755" t="str">
        <f t="shared" si="57"/>
        <v>tca.services.pca</v>
      </c>
      <c r="H755" t="str">
        <f t="shared" si="58"/>
        <v>TCAtca.services.pcaParent</v>
      </c>
      <c r="I755" t="str">
        <f t="shared" si="59"/>
        <v>TCAtca.services.pcaapp.mandate.authentication.enabled</v>
      </c>
      <c r="J755">
        <f>IF(I755="",0,COUNTIF($I$2:I755,I755))</f>
        <v>2</v>
      </c>
      <c r="K755">
        <f>COUNTIF($J$2:J755,1)</f>
        <v>120</v>
      </c>
      <c r="N755">
        <v>6</v>
      </c>
      <c r="O755" t="s">
        <v>15</v>
      </c>
      <c r="P755" t="s">
        <v>264</v>
      </c>
      <c r="Q755" t="s">
        <v>265</v>
      </c>
      <c r="R755" t="s">
        <v>284</v>
      </c>
      <c r="S755" t="s">
        <v>285</v>
      </c>
      <c r="T755" t="s">
        <v>285</v>
      </c>
      <c r="U755" t="s">
        <v>286</v>
      </c>
      <c r="V755" t="s">
        <v>268</v>
      </c>
      <c r="W755" t="s">
        <v>21</v>
      </c>
      <c r="X755" t="s">
        <v>21</v>
      </c>
      <c r="Y755" t="b">
        <v>1</v>
      </c>
      <c r="Z755">
        <v>5022</v>
      </c>
    </row>
    <row r="756" spans="1:26" hidden="1" x14ac:dyDescent="0.25">
      <c r="A756">
        <f>COUNTIF($P$2:P756,P756)</f>
        <v>80</v>
      </c>
      <c r="B756">
        <f>COUNTIF($A$2:A756,1)</f>
        <v>24</v>
      </c>
      <c r="C756" t="str">
        <f t="shared" si="55"/>
        <v>TCA</v>
      </c>
      <c r="D756" t="str">
        <f t="shared" si="56"/>
        <v>TCADevice</v>
      </c>
      <c r="E756">
        <f>COUNTIF($R$2:R756,R756)</f>
        <v>3</v>
      </c>
      <c r="F756">
        <f>COUNTIF($E$2:E756,1)</f>
        <v>37</v>
      </c>
      <c r="G756" t="str">
        <f t="shared" si="57"/>
        <v>tca.services.pca</v>
      </c>
      <c r="H756" t="str">
        <f t="shared" si="58"/>
        <v>TCAtca.services.pcaDevice</v>
      </c>
      <c r="I756" t="str">
        <f t="shared" si="59"/>
        <v>TCAtca.services.pcaapp.mandate.authentication.enabled</v>
      </c>
      <c r="J756">
        <f>IF(I756="",0,COUNTIF($I$2:I756,I756))</f>
        <v>3</v>
      </c>
      <c r="K756">
        <f>COUNTIF($J$2:J756,1)</f>
        <v>120</v>
      </c>
      <c r="N756">
        <v>1</v>
      </c>
      <c r="O756" t="s">
        <v>31</v>
      </c>
      <c r="P756" t="s">
        <v>264</v>
      </c>
      <c r="Q756" t="s">
        <v>265</v>
      </c>
      <c r="R756" t="s">
        <v>284</v>
      </c>
      <c r="S756" t="s">
        <v>285</v>
      </c>
      <c r="T756" t="s">
        <v>285</v>
      </c>
      <c r="U756" t="s">
        <v>286</v>
      </c>
      <c r="V756" t="s">
        <v>268</v>
      </c>
      <c r="W756" t="s">
        <v>21</v>
      </c>
      <c r="X756" t="s">
        <v>21</v>
      </c>
      <c r="Y756" t="b">
        <v>1</v>
      </c>
      <c r="Z756">
        <v>5022</v>
      </c>
    </row>
    <row r="757" spans="1:26" hidden="1" x14ac:dyDescent="0.25">
      <c r="A757">
        <f>COUNTIF($P$2:P757,P757)</f>
        <v>81</v>
      </c>
      <c r="B757">
        <f>COUNTIF($A$2:A757,1)</f>
        <v>24</v>
      </c>
      <c r="C757" t="str">
        <f t="shared" si="55"/>
        <v>TCA</v>
      </c>
      <c r="D757" t="str">
        <f t="shared" si="56"/>
        <v>TCAParent</v>
      </c>
      <c r="E757">
        <f>COUNTIF($R$2:R757,R757)</f>
        <v>4</v>
      </c>
      <c r="F757">
        <f>COUNTIF($E$2:E757,1)</f>
        <v>37</v>
      </c>
      <c r="G757" t="str">
        <f t="shared" si="57"/>
        <v>tca.services.pca</v>
      </c>
      <c r="H757" t="str">
        <f t="shared" si="58"/>
        <v>TCAtca.services.pcaParent</v>
      </c>
      <c r="I757" t="str">
        <f t="shared" si="59"/>
        <v>TCAtca.services.pcaapp.mandate.authentication.enabled</v>
      </c>
      <c r="J757">
        <f>IF(I757="",0,COUNTIF($I$2:I757,I757))</f>
        <v>4</v>
      </c>
      <c r="K757">
        <f>COUNTIF($J$2:J757,1)</f>
        <v>120</v>
      </c>
      <c r="N757">
        <v>279</v>
      </c>
      <c r="O757" t="s">
        <v>15</v>
      </c>
      <c r="P757" t="s">
        <v>264</v>
      </c>
      <c r="Q757" t="s">
        <v>265</v>
      </c>
      <c r="R757" t="s">
        <v>284</v>
      </c>
      <c r="S757" t="s">
        <v>285</v>
      </c>
      <c r="T757" t="s">
        <v>285</v>
      </c>
      <c r="U757" t="s">
        <v>286</v>
      </c>
      <c r="V757" t="s">
        <v>268</v>
      </c>
      <c r="W757" t="s">
        <v>21</v>
      </c>
      <c r="X757" t="s">
        <v>21</v>
      </c>
      <c r="Y757" t="b">
        <v>1</v>
      </c>
      <c r="Z757">
        <v>5022</v>
      </c>
    </row>
    <row r="758" spans="1:26" hidden="1" x14ac:dyDescent="0.25">
      <c r="A758">
        <f>COUNTIF($P$2:P758,P758)</f>
        <v>82</v>
      </c>
      <c r="B758">
        <f>COUNTIF($A$2:A758,1)</f>
        <v>24</v>
      </c>
      <c r="C758" t="str">
        <f t="shared" si="55"/>
        <v>TCA</v>
      </c>
      <c r="D758" t="str">
        <f t="shared" si="56"/>
        <v>TCADevice</v>
      </c>
      <c r="E758">
        <f>COUNTIF($R$2:R758,R758)</f>
        <v>5</v>
      </c>
      <c r="F758">
        <f>COUNTIF($E$2:E758,1)</f>
        <v>37</v>
      </c>
      <c r="G758" t="str">
        <f t="shared" si="57"/>
        <v>tca.services.pca</v>
      </c>
      <c r="H758" t="str">
        <f t="shared" si="58"/>
        <v>TCAtca.services.pcaDevice</v>
      </c>
      <c r="I758" t="str">
        <f t="shared" si="59"/>
        <v>TCAtca.services.pcaapp.mandate.authentication.enabled</v>
      </c>
      <c r="J758">
        <f>IF(I758="",0,COUNTIF($I$2:I758,I758))</f>
        <v>5</v>
      </c>
      <c r="K758">
        <f>COUNTIF($J$2:J758,1)</f>
        <v>120</v>
      </c>
      <c r="N758">
        <v>85</v>
      </c>
      <c r="O758" t="s">
        <v>31</v>
      </c>
      <c r="P758" t="s">
        <v>264</v>
      </c>
      <c r="Q758" t="s">
        <v>265</v>
      </c>
      <c r="R758" t="s">
        <v>284</v>
      </c>
      <c r="S758" t="s">
        <v>285</v>
      </c>
      <c r="T758" t="s">
        <v>285</v>
      </c>
      <c r="U758" t="s">
        <v>286</v>
      </c>
      <c r="V758" t="s">
        <v>268</v>
      </c>
      <c r="W758" t="s">
        <v>21</v>
      </c>
      <c r="X758" t="s">
        <v>21</v>
      </c>
      <c r="Y758" t="b">
        <v>1</v>
      </c>
      <c r="Z758">
        <v>5022</v>
      </c>
    </row>
    <row r="759" spans="1:26" hidden="1" x14ac:dyDescent="0.25">
      <c r="A759">
        <f>COUNTIF($P$2:P759,P759)</f>
        <v>83</v>
      </c>
      <c r="B759">
        <f>COUNTIF($A$2:A759,1)</f>
        <v>24</v>
      </c>
      <c r="C759" t="str">
        <f t="shared" si="55"/>
        <v>TCA</v>
      </c>
      <c r="D759" t="str">
        <f t="shared" si="56"/>
        <v>TCAParent</v>
      </c>
      <c r="E759">
        <f>COUNTIF($R$2:R759,R759)</f>
        <v>6</v>
      </c>
      <c r="F759">
        <f>COUNTIF($E$2:E759,1)</f>
        <v>37</v>
      </c>
      <c r="G759" t="str">
        <f t="shared" si="57"/>
        <v>tca.services.pca</v>
      </c>
      <c r="H759" t="str">
        <f t="shared" si="58"/>
        <v>TCAtca.services.pcaParent</v>
      </c>
      <c r="I759" t="str">
        <f t="shared" si="59"/>
        <v>TCAtca.services.pcaapp.mandate.authentication.enabled</v>
      </c>
      <c r="J759">
        <f>IF(I759="",0,COUNTIF($I$2:I759,I759))</f>
        <v>6</v>
      </c>
      <c r="K759">
        <f>COUNTIF($J$2:J759,1)</f>
        <v>120</v>
      </c>
      <c r="N759">
        <v>1</v>
      </c>
      <c r="O759" t="s">
        <v>15</v>
      </c>
      <c r="P759" t="s">
        <v>264</v>
      </c>
      <c r="Q759" t="s">
        <v>265</v>
      </c>
      <c r="R759" t="s">
        <v>284</v>
      </c>
      <c r="S759" t="s">
        <v>285</v>
      </c>
      <c r="T759" t="s">
        <v>285</v>
      </c>
      <c r="U759" t="s">
        <v>286</v>
      </c>
      <c r="V759" t="s">
        <v>268</v>
      </c>
      <c r="W759" t="s">
        <v>21</v>
      </c>
      <c r="X759" t="s">
        <v>21</v>
      </c>
      <c r="Y759" t="b">
        <v>1</v>
      </c>
      <c r="Z759">
        <v>5022</v>
      </c>
    </row>
    <row r="760" spans="1:26" hidden="1" x14ac:dyDescent="0.25">
      <c r="A760">
        <f>COUNTIF($P$2:P760,P760)</f>
        <v>84</v>
      </c>
      <c r="B760">
        <f>COUNTIF($A$2:A760,1)</f>
        <v>24</v>
      </c>
      <c r="C760" t="str">
        <f t="shared" si="55"/>
        <v>TCA</v>
      </c>
      <c r="D760" t="str">
        <f t="shared" si="56"/>
        <v>TCADevice</v>
      </c>
      <c r="E760">
        <f>COUNTIF($R$2:R760,R760)</f>
        <v>7</v>
      </c>
      <c r="F760">
        <f>COUNTIF($E$2:E760,1)</f>
        <v>37</v>
      </c>
      <c r="G760" t="str">
        <f t="shared" si="57"/>
        <v>tca.services.pca</v>
      </c>
      <c r="H760" t="str">
        <f t="shared" si="58"/>
        <v>TCAtca.services.pcaDevice</v>
      </c>
      <c r="I760" t="str">
        <f t="shared" si="59"/>
        <v>TCAtca.services.pcaapp.mandate.authentication.enabled</v>
      </c>
      <c r="J760">
        <f>IF(I760="",0,COUNTIF($I$2:I760,I760))</f>
        <v>7</v>
      </c>
      <c r="K760">
        <f>COUNTIF($J$2:J760,1)</f>
        <v>120</v>
      </c>
      <c r="N760">
        <v>45</v>
      </c>
      <c r="O760" t="s">
        <v>31</v>
      </c>
      <c r="P760" t="s">
        <v>264</v>
      </c>
      <c r="Q760" t="s">
        <v>265</v>
      </c>
      <c r="R760" t="s">
        <v>284</v>
      </c>
      <c r="S760" t="s">
        <v>285</v>
      </c>
      <c r="T760" t="s">
        <v>285</v>
      </c>
      <c r="U760" t="s">
        <v>286</v>
      </c>
      <c r="V760" t="s">
        <v>268</v>
      </c>
      <c r="W760" t="s">
        <v>21</v>
      </c>
      <c r="X760" t="s">
        <v>21</v>
      </c>
      <c r="Y760" t="b">
        <v>1</v>
      </c>
      <c r="Z760">
        <v>5022</v>
      </c>
    </row>
    <row r="761" spans="1:26" hidden="1" x14ac:dyDescent="0.25">
      <c r="A761">
        <f>COUNTIF($P$2:P761,P761)</f>
        <v>85</v>
      </c>
      <c r="B761">
        <f>COUNTIF($A$2:A761,1)</f>
        <v>24</v>
      </c>
      <c r="C761" t="str">
        <f t="shared" si="55"/>
        <v>TCA</v>
      </c>
      <c r="D761" t="str">
        <f t="shared" si="56"/>
        <v>TCADevice</v>
      </c>
      <c r="E761">
        <f>COUNTIF($R$2:R761,R761)</f>
        <v>8</v>
      </c>
      <c r="F761">
        <f>COUNTIF($E$2:E761,1)</f>
        <v>37</v>
      </c>
      <c r="G761" t="str">
        <f t="shared" si="57"/>
        <v>tca.services.pca</v>
      </c>
      <c r="H761" t="str">
        <f t="shared" si="58"/>
        <v>TCAtca.services.pcaDevice</v>
      </c>
      <c r="I761" t="str">
        <f t="shared" si="59"/>
        <v>TCAtca.services.pcaapp.mandate.creation.enabled</v>
      </c>
      <c r="J761">
        <f>IF(I761="",0,COUNTIF($I$2:I761,I761))</f>
        <v>1</v>
      </c>
      <c r="K761">
        <f>COUNTIF($J$2:J761,1)</f>
        <v>121</v>
      </c>
      <c r="N761">
        <v>12</v>
      </c>
      <c r="O761" t="s">
        <v>31</v>
      </c>
      <c r="P761" t="s">
        <v>264</v>
      </c>
      <c r="Q761" t="s">
        <v>265</v>
      </c>
      <c r="R761" t="s">
        <v>284</v>
      </c>
      <c r="S761" t="s">
        <v>285</v>
      </c>
      <c r="T761" t="s">
        <v>285</v>
      </c>
      <c r="U761" t="s">
        <v>286</v>
      </c>
      <c r="V761" t="s">
        <v>177</v>
      </c>
      <c r="W761" t="s">
        <v>21</v>
      </c>
      <c r="X761" t="s">
        <v>21</v>
      </c>
      <c r="Y761" t="b">
        <v>1</v>
      </c>
      <c r="Z761">
        <v>4990</v>
      </c>
    </row>
    <row r="762" spans="1:26" hidden="1" x14ac:dyDescent="0.25">
      <c r="A762">
        <f>COUNTIF($P$2:P762,P762)</f>
        <v>86</v>
      </c>
      <c r="B762">
        <f>COUNTIF($A$2:A762,1)</f>
        <v>24</v>
      </c>
      <c r="C762" t="str">
        <f t="shared" si="55"/>
        <v>TCA</v>
      </c>
      <c r="D762" t="str">
        <f t="shared" si="56"/>
        <v>TCADevice</v>
      </c>
      <c r="E762">
        <f>COUNTIF($R$2:R762,R762)</f>
        <v>9</v>
      </c>
      <c r="F762">
        <f>COUNTIF($E$2:E762,1)</f>
        <v>37</v>
      </c>
      <c r="G762" t="str">
        <f t="shared" si="57"/>
        <v>tca.services.pca</v>
      </c>
      <c r="H762" t="str">
        <f t="shared" si="58"/>
        <v>TCAtca.services.pcaDevice</v>
      </c>
      <c r="I762" t="str">
        <f t="shared" si="59"/>
        <v>TCAtca.services.pcaapp.mandate.creation.fields</v>
      </c>
      <c r="J762">
        <f>IF(I762="",0,COUNTIF($I$2:I762,I762))</f>
        <v>1</v>
      </c>
      <c r="K762">
        <f>COUNTIF($J$2:J762,1)</f>
        <v>122</v>
      </c>
      <c r="N762">
        <v>12</v>
      </c>
      <c r="O762" t="s">
        <v>31</v>
      </c>
      <c r="P762" t="s">
        <v>264</v>
      </c>
      <c r="Q762" t="s">
        <v>265</v>
      </c>
      <c r="R762" t="s">
        <v>284</v>
      </c>
      <c r="S762" t="s">
        <v>285</v>
      </c>
      <c r="T762" t="s">
        <v>285</v>
      </c>
      <c r="U762" t="s">
        <v>286</v>
      </c>
      <c r="V762" t="s">
        <v>269</v>
      </c>
      <c r="W762" t="s">
        <v>21</v>
      </c>
      <c r="X762" t="s">
        <v>21</v>
      </c>
      <c r="Y762" t="s">
        <v>270</v>
      </c>
      <c r="Z762">
        <v>4998</v>
      </c>
    </row>
    <row r="763" spans="1:26" hidden="1" x14ac:dyDescent="0.25">
      <c r="A763">
        <f>COUNTIF($P$2:P763,P763)</f>
        <v>87</v>
      </c>
      <c r="B763">
        <f>COUNTIF($A$2:A763,1)</f>
        <v>24</v>
      </c>
      <c r="C763" t="str">
        <f t="shared" si="55"/>
        <v>TCA</v>
      </c>
      <c r="D763" t="str">
        <f t="shared" si="56"/>
        <v>TCAParent</v>
      </c>
      <c r="E763">
        <f>COUNTIF($R$2:R763,R763)</f>
        <v>10</v>
      </c>
      <c r="F763">
        <f>COUNTIF($E$2:E763,1)</f>
        <v>37</v>
      </c>
      <c r="G763" t="str">
        <f t="shared" si="57"/>
        <v>tca.services.pca</v>
      </c>
      <c r="H763" t="str">
        <f t="shared" si="58"/>
        <v>TCAtca.services.pcaParent</v>
      </c>
      <c r="I763" t="str">
        <f t="shared" si="59"/>
        <v>TCAtca.services.pcaapp.manual.payments.enabled</v>
      </c>
      <c r="J763">
        <f>IF(I763="",0,COUNTIF($I$2:I763,I763))</f>
        <v>1</v>
      </c>
      <c r="K763">
        <f>COUNTIF($J$2:J763,1)</f>
        <v>123</v>
      </c>
      <c r="N763">
        <v>273</v>
      </c>
      <c r="O763" t="s">
        <v>15</v>
      </c>
      <c r="P763" t="s">
        <v>264</v>
      </c>
      <c r="Q763" t="s">
        <v>265</v>
      </c>
      <c r="R763" t="s">
        <v>284</v>
      </c>
      <c r="S763" t="s">
        <v>285</v>
      </c>
      <c r="T763" t="s">
        <v>285</v>
      </c>
      <c r="U763" t="s">
        <v>286</v>
      </c>
      <c r="V763" t="s">
        <v>271</v>
      </c>
      <c r="W763" t="s">
        <v>21</v>
      </c>
      <c r="X763" t="s">
        <v>21</v>
      </c>
      <c r="Y763" t="b">
        <v>1</v>
      </c>
      <c r="Z763">
        <v>5024</v>
      </c>
    </row>
    <row r="764" spans="1:26" hidden="1" x14ac:dyDescent="0.25">
      <c r="A764">
        <f>COUNTIF($P$2:P764,P764)</f>
        <v>88</v>
      </c>
      <c r="B764">
        <f>COUNTIF($A$2:A764,1)</f>
        <v>24</v>
      </c>
      <c r="C764" t="str">
        <f t="shared" si="55"/>
        <v>TCA</v>
      </c>
      <c r="D764" t="str">
        <f t="shared" si="56"/>
        <v>TCADevice</v>
      </c>
      <c r="E764">
        <f>COUNTIF($R$2:R764,R764)</f>
        <v>11</v>
      </c>
      <c r="F764">
        <f>COUNTIF($E$2:E764,1)</f>
        <v>37</v>
      </c>
      <c r="G764" t="str">
        <f t="shared" si="57"/>
        <v>tca.services.pca</v>
      </c>
      <c r="H764" t="str">
        <f t="shared" si="58"/>
        <v>TCAtca.services.pcaDevice</v>
      </c>
      <c r="I764" t="str">
        <f t="shared" si="59"/>
        <v>TCAtca.services.pcaapp.manual.payments.enabled</v>
      </c>
      <c r="J764">
        <f>IF(I764="",0,COUNTIF($I$2:I764,I764))</f>
        <v>2</v>
      </c>
      <c r="K764">
        <f>COUNTIF($J$2:J764,1)</f>
        <v>123</v>
      </c>
      <c r="N764">
        <v>1</v>
      </c>
      <c r="O764" t="s">
        <v>31</v>
      </c>
      <c r="P764" t="s">
        <v>264</v>
      </c>
      <c r="Q764" t="s">
        <v>265</v>
      </c>
      <c r="R764" t="s">
        <v>284</v>
      </c>
      <c r="S764" t="s">
        <v>285</v>
      </c>
      <c r="T764" t="s">
        <v>285</v>
      </c>
      <c r="U764" t="s">
        <v>286</v>
      </c>
      <c r="V764" t="s">
        <v>271</v>
      </c>
      <c r="W764" t="s">
        <v>21</v>
      </c>
      <c r="X764" t="s">
        <v>21</v>
      </c>
      <c r="Y764" t="b">
        <v>1</v>
      </c>
      <c r="Z764">
        <v>5024</v>
      </c>
    </row>
    <row r="765" spans="1:26" hidden="1" x14ac:dyDescent="0.25">
      <c r="A765">
        <f>COUNTIF($P$2:P765,P765)</f>
        <v>89</v>
      </c>
      <c r="B765">
        <f>COUNTIF($A$2:A765,1)</f>
        <v>24</v>
      </c>
      <c r="C765" t="str">
        <f t="shared" si="55"/>
        <v>TCA</v>
      </c>
      <c r="D765" t="str">
        <f t="shared" si="56"/>
        <v>TCAParent</v>
      </c>
      <c r="E765">
        <f>COUNTIF($R$2:R765,R765)</f>
        <v>12</v>
      </c>
      <c r="F765">
        <f>COUNTIF($E$2:E765,1)</f>
        <v>37</v>
      </c>
      <c r="G765" t="str">
        <f t="shared" si="57"/>
        <v>tca.services.pca</v>
      </c>
      <c r="H765" t="str">
        <f t="shared" si="58"/>
        <v>TCAtca.services.pcaParent</v>
      </c>
      <c r="I765" t="str">
        <f t="shared" si="59"/>
        <v>TCAtca.services.pcaapp.manual.payments.enabled</v>
      </c>
      <c r="J765">
        <f>IF(I765="",0,COUNTIF($I$2:I765,I765))</f>
        <v>3</v>
      </c>
      <c r="K765">
        <f>COUNTIF($J$2:J765,1)</f>
        <v>123</v>
      </c>
      <c r="N765">
        <v>3</v>
      </c>
      <c r="O765" t="s">
        <v>15</v>
      </c>
      <c r="P765" t="s">
        <v>264</v>
      </c>
      <c r="Q765" t="s">
        <v>265</v>
      </c>
      <c r="R765" t="s">
        <v>284</v>
      </c>
      <c r="S765" t="s">
        <v>285</v>
      </c>
      <c r="T765" t="s">
        <v>285</v>
      </c>
      <c r="U765" t="s">
        <v>286</v>
      </c>
      <c r="V765" t="s">
        <v>271</v>
      </c>
      <c r="W765" t="s">
        <v>21</v>
      </c>
      <c r="X765" t="s">
        <v>21</v>
      </c>
      <c r="Y765" t="b">
        <v>1</v>
      </c>
      <c r="Z765">
        <v>5024</v>
      </c>
    </row>
    <row r="766" spans="1:26" hidden="1" x14ac:dyDescent="0.25">
      <c r="A766">
        <f>COUNTIF($P$2:P766,P766)</f>
        <v>90</v>
      </c>
      <c r="B766">
        <f>COUNTIF($A$2:A766,1)</f>
        <v>24</v>
      </c>
      <c r="C766" t="str">
        <f t="shared" si="55"/>
        <v>TCA</v>
      </c>
      <c r="D766" t="str">
        <f t="shared" si="56"/>
        <v>TCADevice</v>
      </c>
      <c r="E766">
        <f>COUNTIF($R$2:R766,R766)</f>
        <v>13</v>
      </c>
      <c r="F766">
        <f>COUNTIF($E$2:E766,1)</f>
        <v>37</v>
      </c>
      <c r="G766" t="str">
        <f t="shared" si="57"/>
        <v>tca.services.pca</v>
      </c>
      <c r="H766" t="str">
        <f t="shared" si="58"/>
        <v>TCAtca.services.pcaDevice</v>
      </c>
      <c r="I766" t="str">
        <f t="shared" si="59"/>
        <v>TCAtca.services.pcaapp.manual.payments.enabled</v>
      </c>
      <c r="J766">
        <f>IF(I766="",0,COUNTIF($I$2:I766,I766))</f>
        <v>4</v>
      </c>
      <c r="K766">
        <f>COUNTIF($J$2:J766,1)</f>
        <v>123</v>
      </c>
      <c r="N766">
        <v>44</v>
      </c>
      <c r="O766" t="s">
        <v>31</v>
      </c>
      <c r="P766" t="s">
        <v>264</v>
      </c>
      <c r="Q766" t="s">
        <v>265</v>
      </c>
      <c r="R766" t="s">
        <v>284</v>
      </c>
      <c r="S766" t="s">
        <v>285</v>
      </c>
      <c r="T766" t="s">
        <v>285</v>
      </c>
      <c r="U766" t="s">
        <v>286</v>
      </c>
      <c r="V766" t="s">
        <v>271</v>
      </c>
      <c r="W766" t="s">
        <v>21</v>
      </c>
      <c r="X766" t="s">
        <v>21</v>
      </c>
      <c r="Y766" t="b">
        <v>1</v>
      </c>
      <c r="Z766">
        <v>5024</v>
      </c>
    </row>
    <row r="767" spans="1:26" hidden="1" x14ac:dyDescent="0.25">
      <c r="A767">
        <f>COUNTIF($P$2:P767,P767)</f>
        <v>91</v>
      </c>
      <c r="B767">
        <f>COUNTIF($A$2:A767,1)</f>
        <v>24</v>
      </c>
      <c r="C767" t="str">
        <f t="shared" si="55"/>
        <v>TCA</v>
      </c>
      <c r="D767" t="str">
        <f t="shared" si="56"/>
        <v>TCADevice</v>
      </c>
      <c r="E767">
        <f>COUNTIF($R$2:R767,R767)</f>
        <v>14</v>
      </c>
      <c r="F767">
        <f>COUNTIF($E$2:E767,1)</f>
        <v>37</v>
      </c>
      <c r="G767" t="str">
        <f t="shared" si="57"/>
        <v>tca.services.pca</v>
      </c>
      <c r="H767" t="str">
        <f t="shared" si="58"/>
        <v>TCAtca.services.pcaDevice</v>
      </c>
      <c r="I767" t="str">
        <f t="shared" si="59"/>
        <v>TCAtca.services.pcaapp.manual.payments.enabled</v>
      </c>
      <c r="J767">
        <f>IF(I767="",0,COUNTIF($I$2:I767,I767))</f>
        <v>5</v>
      </c>
      <c r="K767">
        <f>COUNTIF($J$2:J767,1)</f>
        <v>123</v>
      </c>
      <c r="N767">
        <v>32</v>
      </c>
      <c r="O767" t="s">
        <v>31</v>
      </c>
      <c r="P767" t="s">
        <v>264</v>
      </c>
      <c r="Q767" t="s">
        <v>265</v>
      </c>
      <c r="R767" t="s">
        <v>284</v>
      </c>
      <c r="S767" t="s">
        <v>285</v>
      </c>
      <c r="T767" t="s">
        <v>285</v>
      </c>
      <c r="U767" t="s">
        <v>286</v>
      </c>
      <c r="V767" t="s">
        <v>271</v>
      </c>
      <c r="W767" t="s">
        <v>21</v>
      </c>
      <c r="X767" t="s">
        <v>21</v>
      </c>
      <c r="Y767" t="b">
        <v>1</v>
      </c>
      <c r="Z767">
        <v>5024</v>
      </c>
    </row>
    <row r="768" spans="1:26" hidden="1" x14ac:dyDescent="0.25">
      <c r="A768">
        <f>COUNTIF($P$2:P768,P768)</f>
        <v>92</v>
      </c>
      <c r="B768">
        <f>COUNTIF($A$2:A768,1)</f>
        <v>24</v>
      </c>
      <c r="C768" t="str">
        <f t="shared" si="55"/>
        <v>TCA</v>
      </c>
      <c r="D768" t="str">
        <f t="shared" si="56"/>
        <v>TCAParent</v>
      </c>
      <c r="E768">
        <f>COUNTIF($R$2:R768,R768)</f>
        <v>15</v>
      </c>
      <c r="F768">
        <f>COUNTIF($E$2:E768,1)</f>
        <v>37</v>
      </c>
      <c r="G768" t="str">
        <f t="shared" si="57"/>
        <v>tca.services.pca</v>
      </c>
      <c r="H768" t="str">
        <f t="shared" si="58"/>
        <v>TCAtca.services.pcaParent</v>
      </c>
      <c r="I768" t="str">
        <f t="shared" si="59"/>
        <v>TCAtca.services.pcaapp.payments.enabled</v>
      </c>
      <c r="J768">
        <f>IF(I768="",0,COUNTIF($I$2:I768,I768))</f>
        <v>1</v>
      </c>
      <c r="K768">
        <f>COUNTIF($J$2:J768,1)</f>
        <v>124</v>
      </c>
      <c r="N768">
        <v>6</v>
      </c>
      <c r="O768" t="s">
        <v>15</v>
      </c>
      <c r="P768" t="s">
        <v>264</v>
      </c>
      <c r="Q768" t="s">
        <v>265</v>
      </c>
      <c r="R768" t="s">
        <v>284</v>
      </c>
      <c r="S768" t="s">
        <v>285</v>
      </c>
      <c r="T768" t="s">
        <v>285</v>
      </c>
      <c r="U768" t="s">
        <v>286</v>
      </c>
      <c r="V768" t="s">
        <v>272</v>
      </c>
      <c r="W768" t="s">
        <v>21</v>
      </c>
      <c r="X768" t="s">
        <v>21</v>
      </c>
      <c r="Y768" t="b">
        <v>0</v>
      </c>
      <c r="Z768">
        <v>5023</v>
      </c>
    </row>
    <row r="769" spans="1:26" hidden="1" x14ac:dyDescent="0.25">
      <c r="A769">
        <f>COUNTIF($P$2:P769,P769)</f>
        <v>93</v>
      </c>
      <c r="B769">
        <f>COUNTIF($A$2:A769,1)</f>
        <v>24</v>
      </c>
      <c r="C769" t="str">
        <f t="shared" si="55"/>
        <v>TCA</v>
      </c>
      <c r="D769" t="str">
        <f t="shared" si="56"/>
        <v>TCADevice</v>
      </c>
      <c r="E769">
        <f>COUNTIF($R$2:R769,R769)</f>
        <v>16</v>
      </c>
      <c r="F769">
        <f>COUNTIF($E$2:E769,1)</f>
        <v>37</v>
      </c>
      <c r="G769" t="str">
        <f t="shared" si="57"/>
        <v>tca.services.pca</v>
      </c>
      <c r="H769" t="str">
        <f t="shared" si="58"/>
        <v>TCAtca.services.pcaDevice</v>
      </c>
      <c r="I769" t="str">
        <f t="shared" si="59"/>
        <v>TCAtca.services.pcaapp.payments.enabled</v>
      </c>
      <c r="J769">
        <f>IF(I769="",0,COUNTIF($I$2:I769,I769))</f>
        <v>2</v>
      </c>
      <c r="K769">
        <f>COUNTIF($J$2:J769,1)</f>
        <v>124</v>
      </c>
      <c r="N769">
        <v>1</v>
      </c>
      <c r="O769" t="s">
        <v>31</v>
      </c>
      <c r="P769" t="s">
        <v>264</v>
      </c>
      <c r="Q769" t="s">
        <v>265</v>
      </c>
      <c r="R769" t="s">
        <v>284</v>
      </c>
      <c r="S769" t="s">
        <v>285</v>
      </c>
      <c r="T769" t="s">
        <v>285</v>
      </c>
      <c r="U769" t="s">
        <v>286</v>
      </c>
      <c r="V769" t="s">
        <v>272</v>
      </c>
      <c r="W769" t="s">
        <v>21</v>
      </c>
      <c r="X769" t="s">
        <v>21</v>
      </c>
      <c r="Y769" t="b">
        <v>0</v>
      </c>
      <c r="Z769">
        <v>5023</v>
      </c>
    </row>
    <row r="770" spans="1:26" hidden="1" x14ac:dyDescent="0.25">
      <c r="A770">
        <f>COUNTIF($P$2:P770,P770)</f>
        <v>94</v>
      </c>
      <c r="B770">
        <f>COUNTIF($A$2:A770,1)</f>
        <v>24</v>
      </c>
      <c r="C770" t="str">
        <f t="shared" si="55"/>
        <v>TCA</v>
      </c>
      <c r="D770" t="str">
        <f t="shared" si="56"/>
        <v>TCAParent</v>
      </c>
      <c r="E770">
        <f>COUNTIF($R$2:R770,R770)</f>
        <v>17</v>
      </c>
      <c r="F770">
        <f>COUNTIF($E$2:E770,1)</f>
        <v>37</v>
      </c>
      <c r="G770" t="str">
        <f t="shared" si="57"/>
        <v>tca.services.pca</v>
      </c>
      <c r="H770" t="str">
        <f t="shared" si="58"/>
        <v>TCAtca.services.pcaParent</v>
      </c>
      <c r="I770" t="str">
        <f t="shared" si="59"/>
        <v>TCAtca.services.pcaapp.payments.enabled</v>
      </c>
      <c r="J770">
        <f>IF(I770="",0,COUNTIF($I$2:I770,I770))</f>
        <v>3</v>
      </c>
      <c r="K770">
        <f>COUNTIF($J$2:J770,1)</f>
        <v>124</v>
      </c>
      <c r="N770">
        <v>279</v>
      </c>
      <c r="O770" t="s">
        <v>15</v>
      </c>
      <c r="P770" t="s">
        <v>264</v>
      </c>
      <c r="Q770" t="s">
        <v>265</v>
      </c>
      <c r="R770" t="s">
        <v>284</v>
      </c>
      <c r="S770" t="s">
        <v>285</v>
      </c>
      <c r="T770" t="s">
        <v>285</v>
      </c>
      <c r="U770" t="s">
        <v>286</v>
      </c>
      <c r="V770" t="s">
        <v>272</v>
      </c>
      <c r="W770" t="s">
        <v>21</v>
      </c>
      <c r="X770" t="s">
        <v>21</v>
      </c>
      <c r="Y770" t="b">
        <v>0</v>
      </c>
      <c r="Z770">
        <v>5023</v>
      </c>
    </row>
    <row r="771" spans="1:26" hidden="1" x14ac:dyDescent="0.25">
      <c r="A771">
        <f>COUNTIF($P$2:P771,P771)</f>
        <v>95</v>
      </c>
      <c r="B771">
        <f>COUNTIF($A$2:A771,1)</f>
        <v>24</v>
      </c>
      <c r="C771" t="str">
        <f t="shared" ref="C771:C834" si="60">IF(A771=1,P771,C770)</f>
        <v>TCA</v>
      </c>
      <c r="D771" t="str">
        <f t="shared" ref="D771:D834" si="61">C771&amp;O771</f>
        <v>TCADevice</v>
      </c>
      <c r="E771">
        <f>COUNTIF($R$2:R771,R771)</f>
        <v>18</v>
      </c>
      <c r="F771">
        <f>COUNTIF($E$2:E771,1)</f>
        <v>37</v>
      </c>
      <c r="G771" t="str">
        <f t="shared" ref="G771:G834" si="62">IF(E771=1,R771,G770)</f>
        <v>tca.services.pca</v>
      </c>
      <c r="H771" t="str">
        <f t="shared" ref="H771:H834" si="63">C771&amp;G771&amp;O771</f>
        <v>TCAtca.services.pcaDevice</v>
      </c>
      <c r="I771" t="str">
        <f t="shared" ref="I771:I834" si="64">IF(V771="","",P771&amp;R771&amp;V771)</f>
        <v>TCAtca.services.pcaapp.payments.enabled</v>
      </c>
      <c r="J771">
        <f>IF(I771="",0,COUNTIF($I$2:I771,I771))</f>
        <v>4</v>
      </c>
      <c r="K771">
        <f>COUNTIF($J$2:J771,1)</f>
        <v>124</v>
      </c>
      <c r="N771">
        <v>86</v>
      </c>
      <c r="O771" t="s">
        <v>31</v>
      </c>
      <c r="P771" t="s">
        <v>264</v>
      </c>
      <c r="Q771" t="s">
        <v>265</v>
      </c>
      <c r="R771" t="s">
        <v>284</v>
      </c>
      <c r="S771" t="s">
        <v>285</v>
      </c>
      <c r="T771" t="s">
        <v>285</v>
      </c>
      <c r="U771" t="s">
        <v>286</v>
      </c>
      <c r="V771" t="s">
        <v>272</v>
      </c>
      <c r="W771" t="s">
        <v>21</v>
      </c>
      <c r="X771" t="s">
        <v>21</v>
      </c>
      <c r="Y771" t="b">
        <v>0</v>
      </c>
      <c r="Z771">
        <v>5023</v>
      </c>
    </row>
    <row r="772" spans="1:26" hidden="1" x14ac:dyDescent="0.25">
      <c r="A772">
        <f>COUNTIF($P$2:P772,P772)</f>
        <v>96</v>
      </c>
      <c r="B772">
        <f>COUNTIF($A$2:A772,1)</f>
        <v>24</v>
      </c>
      <c r="C772" t="str">
        <f t="shared" si="60"/>
        <v>TCA</v>
      </c>
      <c r="D772" t="str">
        <f t="shared" si="61"/>
        <v>TCAParent</v>
      </c>
      <c r="E772">
        <f>COUNTIF($R$2:R772,R772)</f>
        <v>19</v>
      </c>
      <c r="F772">
        <f>COUNTIF($E$2:E772,1)</f>
        <v>37</v>
      </c>
      <c r="G772" t="str">
        <f t="shared" si="62"/>
        <v>tca.services.pca</v>
      </c>
      <c r="H772" t="str">
        <f t="shared" si="63"/>
        <v>TCAtca.services.pcaParent</v>
      </c>
      <c r="I772" t="str">
        <f t="shared" si="64"/>
        <v>TCAtca.services.pcaapp.payments.enabled</v>
      </c>
      <c r="J772">
        <f>IF(I772="",0,COUNTIF($I$2:I772,I772))</f>
        <v>5</v>
      </c>
      <c r="K772">
        <f>COUNTIF($J$2:J772,1)</f>
        <v>124</v>
      </c>
      <c r="N772">
        <v>1</v>
      </c>
      <c r="O772" t="s">
        <v>15</v>
      </c>
      <c r="P772" t="s">
        <v>264</v>
      </c>
      <c r="Q772" t="s">
        <v>265</v>
      </c>
      <c r="R772" t="s">
        <v>284</v>
      </c>
      <c r="S772" t="s">
        <v>285</v>
      </c>
      <c r="T772" t="s">
        <v>285</v>
      </c>
      <c r="U772" t="s">
        <v>286</v>
      </c>
      <c r="V772" t="s">
        <v>272</v>
      </c>
      <c r="W772" t="s">
        <v>21</v>
      </c>
      <c r="X772" t="s">
        <v>21</v>
      </c>
      <c r="Y772" t="b">
        <v>0</v>
      </c>
      <c r="Z772">
        <v>5023</v>
      </c>
    </row>
    <row r="773" spans="1:26" hidden="1" x14ac:dyDescent="0.25">
      <c r="A773">
        <f>COUNTIF($P$2:P773,P773)</f>
        <v>97</v>
      </c>
      <c r="B773">
        <f>COUNTIF($A$2:A773,1)</f>
        <v>24</v>
      </c>
      <c r="C773" t="str">
        <f t="shared" si="60"/>
        <v>TCA</v>
      </c>
      <c r="D773" t="str">
        <f t="shared" si="61"/>
        <v>TCADevice</v>
      </c>
      <c r="E773">
        <f>COUNTIF($R$2:R773,R773)</f>
        <v>20</v>
      </c>
      <c r="F773">
        <f>COUNTIF($E$2:E773,1)</f>
        <v>37</v>
      </c>
      <c r="G773" t="str">
        <f t="shared" si="62"/>
        <v>tca.services.pca</v>
      </c>
      <c r="H773" t="str">
        <f t="shared" si="63"/>
        <v>TCAtca.services.pcaDevice</v>
      </c>
      <c r="I773" t="str">
        <f t="shared" si="64"/>
        <v>TCAtca.services.pcaapp.payments.enabled</v>
      </c>
      <c r="J773">
        <f>IF(I773="",0,COUNTIF($I$2:I773,I773))</f>
        <v>6</v>
      </c>
      <c r="K773">
        <f>COUNTIF($J$2:J773,1)</f>
        <v>124</v>
      </c>
      <c r="N773">
        <v>1</v>
      </c>
      <c r="O773" t="s">
        <v>31</v>
      </c>
      <c r="P773" t="s">
        <v>264</v>
      </c>
      <c r="Q773" t="s">
        <v>265</v>
      </c>
      <c r="R773" t="s">
        <v>284</v>
      </c>
      <c r="S773" t="s">
        <v>285</v>
      </c>
      <c r="T773" t="s">
        <v>285</v>
      </c>
      <c r="U773" t="s">
        <v>286</v>
      </c>
      <c r="V773" t="s">
        <v>272</v>
      </c>
      <c r="W773" t="s">
        <v>21</v>
      </c>
      <c r="X773" t="s">
        <v>21</v>
      </c>
      <c r="Y773" t="b">
        <v>0</v>
      </c>
      <c r="Z773">
        <v>5023</v>
      </c>
    </row>
    <row r="774" spans="1:26" hidden="1" x14ac:dyDescent="0.25">
      <c r="A774">
        <f>COUNTIF($P$2:P774,P774)</f>
        <v>98</v>
      </c>
      <c r="B774">
        <f>COUNTIF($A$2:A774,1)</f>
        <v>24</v>
      </c>
      <c r="C774" t="str">
        <f t="shared" si="60"/>
        <v>TCA</v>
      </c>
      <c r="D774" t="str">
        <f t="shared" si="61"/>
        <v>TCADevice</v>
      </c>
      <c r="E774">
        <f>COUNTIF($R$2:R774,R774)</f>
        <v>21</v>
      </c>
      <c r="F774">
        <f>COUNTIF($E$2:E774,1)</f>
        <v>37</v>
      </c>
      <c r="G774" t="str">
        <f t="shared" si="62"/>
        <v>tca.services.pca</v>
      </c>
      <c r="H774" t="str">
        <f t="shared" si="63"/>
        <v>TCAtca.services.pcaDevice</v>
      </c>
      <c r="I774" t="str">
        <f t="shared" si="64"/>
        <v>TCAtca.services.pcaapp.payments.enabled</v>
      </c>
      <c r="J774">
        <f>IF(I774="",0,COUNTIF($I$2:I774,I774))</f>
        <v>7</v>
      </c>
      <c r="K774">
        <f>COUNTIF($J$2:J774,1)</f>
        <v>124</v>
      </c>
      <c r="N774">
        <v>45</v>
      </c>
      <c r="O774" t="s">
        <v>31</v>
      </c>
      <c r="P774" t="s">
        <v>264</v>
      </c>
      <c r="Q774" t="s">
        <v>265</v>
      </c>
      <c r="R774" t="s">
        <v>284</v>
      </c>
      <c r="S774" t="s">
        <v>285</v>
      </c>
      <c r="T774" t="s">
        <v>285</v>
      </c>
      <c r="U774" t="s">
        <v>286</v>
      </c>
      <c r="V774" t="s">
        <v>272</v>
      </c>
      <c r="W774" t="s">
        <v>21</v>
      </c>
      <c r="X774" t="s">
        <v>21</v>
      </c>
      <c r="Y774" t="b">
        <v>0</v>
      </c>
      <c r="Z774">
        <v>5023</v>
      </c>
    </row>
    <row r="775" spans="1:26" hidden="1" x14ac:dyDescent="0.25">
      <c r="A775">
        <f>COUNTIF($P$2:P775,P775)</f>
        <v>99</v>
      </c>
      <c r="B775">
        <f>COUNTIF($A$2:A775,1)</f>
        <v>24</v>
      </c>
      <c r="C775" t="str">
        <f t="shared" si="60"/>
        <v>TCA</v>
      </c>
      <c r="D775" t="str">
        <f t="shared" si="61"/>
        <v>TCADevice</v>
      </c>
      <c r="E775">
        <f>COUNTIF($R$2:R775,R775)</f>
        <v>22</v>
      </c>
      <c r="F775">
        <f>COUNTIF($E$2:E775,1)</f>
        <v>37</v>
      </c>
      <c r="G775" t="str">
        <f t="shared" si="62"/>
        <v>tca.services.pca</v>
      </c>
      <c r="H775" t="str">
        <f t="shared" si="63"/>
        <v>TCAtca.services.pcaDevice</v>
      </c>
      <c r="I775" t="str">
        <f t="shared" si="64"/>
        <v>TCAtca.services.pcaapp.transaction.history.enabled</v>
      </c>
      <c r="J775">
        <f>IF(I775="",0,COUNTIF($I$2:I775,I775))</f>
        <v>1</v>
      </c>
      <c r="K775">
        <f>COUNTIF($J$2:J775,1)</f>
        <v>125</v>
      </c>
      <c r="N775">
        <v>1</v>
      </c>
      <c r="O775" t="s">
        <v>31</v>
      </c>
      <c r="P775" t="s">
        <v>264</v>
      </c>
      <c r="Q775" t="s">
        <v>265</v>
      </c>
      <c r="R775" t="s">
        <v>284</v>
      </c>
      <c r="S775" t="s">
        <v>285</v>
      </c>
      <c r="T775" t="s">
        <v>285</v>
      </c>
      <c r="U775" t="s">
        <v>286</v>
      </c>
      <c r="V775" t="s">
        <v>178</v>
      </c>
      <c r="W775" t="s">
        <v>21</v>
      </c>
      <c r="X775" t="s">
        <v>21</v>
      </c>
      <c r="Y775" t="b">
        <v>1</v>
      </c>
      <c r="Z775">
        <v>5025</v>
      </c>
    </row>
    <row r="776" spans="1:26" hidden="1" x14ac:dyDescent="0.25">
      <c r="A776">
        <f>COUNTIF($P$2:P776,P776)</f>
        <v>100</v>
      </c>
      <c r="B776">
        <f>COUNTIF($A$2:A776,1)</f>
        <v>24</v>
      </c>
      <c r="C776" t="str">
        <f t="shared" si="60"/>
        <v>TCA</v>
      </c>
      <c r="D776" t="str">
        <f t="shared" si="61"/>
        <v>TCAParent</v>
      </c>
      <c r="E776">
        <f>COUNTIF($R$2:R776,R776)</f>
        <v>23</v>
      </c>
      <c r="F776">
        <f>COUNTIF($E$2:E776,1)</f>
        <v>37</v>
      </c>
      <c r="G776" t="str">
        <f t="shared" si="62"/>
        <v>tca.services.pca</v>
      </c>
      <c r="H776" t="str">
        <f t="shared" si="63"/>
        <v>TCAtca.services.pcaParent</v>
      </c>
      <c r="I776" t="str">
        <f t="shared" si="64"/>
        <v>TCAtca.services.pcaapp.transaction.history.enabled</v>
      </c>
      <c r="J776">
        <f>IF(I776="",0,COUNTIF($I$2:I776,I776))</f>
        <v>2</v>
      </c>
      <c r="K776">
        <f>COUNTIF($J$2:J776,1)</f>
        <v>125</v>
      </c>
      <c r="N776">
        <v>274</v>
      </c>
      <c r="O776" t="s">
        <v>15</v>
      </c>
      <c r="P776" t="s">
        <v>264</v>
      </c>
      <c r="Q776" t="s">
        <v>265</v>
      </c>
      <c r="R776" t="s">
        <v>284</v>
      </c>
      <c r="S776" t="s">
        <v>285</v>
      </c>
      <c r="T776" t="s">
        <v>285</v>
      </c>
      <c r="U776" t="s">
        <v>286</v>
      </c>
      <c r="V776" t="s">
        <v>178</v>
      </c>
      <c r="W776" t="s">
        <v>21</v>
      </c>
      <c r="X776" t="s">
        <v>21</v>
      </c>
      <c r="Y776" t="b">
        <v>1</v>
      </c>
      <c r="Z776">
        <v>5025</v>
      </c>
    </row>
    <row r="777" spans="1:26" hidden="1" x14ac:dyDescent="0.25">
      <c r="A777">
        <f>COUNTIF($P$2:P777,P777)</f>
        <v>101</v>
      </c>
      <c r="B777">
        <f>COUNTIF($A$2:A777,1)</f>
        <v>24</v>
      </c>
      <c r="C777" t="str">
        <f t="shared" si="60"/>
        <v>TCA</v>
      </c>
      <c r="D777" t="str">
        <f t="shared" si="61"/>
        <v>TCADevice</v>
      </c>
      <c r="E777">
        <f>COUNTIF($R$2:R777,R777)</f>
        <v>24</v>
      </c>
      <c r="F777">
        <f>COUNTIF($E$2:E777,1)</f>
        <v>37</v>
      </c>
      <c r="G777" t="str">
        <f t="shared" si="62"/>
        <v>tca.services.pca</v>
      </c>
      <c r="H777" t="str">
        <f t="shared" si="63"/>
        <v>TCAtca.services.pcaDevice</v>
      </c>
      <c r="I777" t="str">
        <f t="shared" si="64"/>
        <v>TCAtca.services.pcaapp.transaction.history.enabled</v>
      </c>
      <c r="J777">
        <f>IF(I777="",0,COUNTIF($I$2:I777,I777))</f>
        <v>3</v>
      </c>
      <c r="K777">
        <f>COUNTIF($J$2:J777,1)</f>
        <v>125</v>
      </c>
      <c r="N777">
        <v>31</v>
      </c>
      <c r="O777" t="s">
        <v>31</v>
      </c>
      <c r="P777" t="s">
        <v>264</v>
      </c>
      <c r="Q777" t="s">
        <v>265</v>
      </c>
      <c r="R777" t="s">
        <v>284</v>
      </c>
      <c r="S777" t="s">
        <v>285</v>
      </c>
      <c r="T777" t="s">
        <v>285</v>
      </c>
      <c r="U777" t="s">
        <v>286</v>
      </c>
      <c r="V777" t="s">
        <v>178</v>
      </c>
      <c r="W777" t="s">
        <v>21</v>
      </c>
      <c r="X777" t="s">
        <v>21</v>
      </c>
      <c r="Y777" t="b">
        <v>1</v>
      </c>
      <c r="Z777">
        <v>5025</v>
      </c>
    </row>
    <row r="778" spans="1:26" hidden="1" x14ac:dyDescent="0.25">
      <c r="A778">
        <f>COUNTIF($P$2:P778,P778)</f>
        <v>102</v>
      </c>
      <c r="B778">
        <f>COUNTIF($A$2:A778,1)</f>
        <v>24</v>
      </c>
      <c r="C778" t="str">
        <f t="shared" si="60"/>
        <v>TCA</v>
      </c>
      <c r="D778" t="str">
        <f t="shared" si="61"/>
        <v>TCADevice</v>
      </c>
      <c r="E778">
        <f>COUNTIF($R$2:R778,R778)</f>
        <v>25</v>
      </c>
      <c r="F778">
        <f>COUNTIF($E$2:E778,1)</f>
        <v>37</v>
      </c>
      <c r="G778" t="str">
        <f t="shared" si="62"/>
        <v>tca.services.pca</v>
      </c>
      <c r="H778" t="str">
        <f t="shared" si="63"/>
        <v>TCAtca.services.pcaDevice</v>
      </c>
      <c r="I778" t="str">
        <f t="shared" si="64"/>
        <v>TCAtca.services.pcaapp.transaction.history.enabled</v>
      </c>
      <c r="J778">
        <f>IF(I778="",0,COUNTIF($I$2:I778,I778))</f>
        <v>4</v>
      </c>
      <c r="K778">
        <f>COUNTIF($J$2:J778,1)</f>
        <v>125</v>
      </c>
      <c r="N778">
        <v>44</v>
      </c>
      <c r="O778" t="s">
        <v>31</v>
      </c>
      <c r="P778" t="s">
        <v>264</v>
      </c>
      <c r="Q778" t="s">
        <v>265</v>
      </c>
      <c r="R778" t="s">
        <v>284</v>
      </c>
      <c r="S778" t="s">
        <v>285</v>
      </c>
      <c r="T778" t="s">
        <v>285</v>
      </c>
      <c r="U778" t="s">
        <v>286</v>
      </c>
      <c r="V778" t="s">
        <v>178</v>
      </c>
      <c r="W778" t="s">
        <v>21</v>
      </c>
      <c r="X778" t="s">
        <v>21</v>
      </c>
      <c r="Y778" t="b">
        <v>1</v>
      </c>
      <c r="Z778">
        <v>5025</v>
      </c>
    </row>
    <row r="779" spans="1:26" hidden="1" x14ac:dyDescent="0.25">
      <c r="A779">
        <f>COUNTIF($P$2:P779,P779)</f>
        <v>103</v>
      </c>
      <c r="B779">
        <f>COUNTIF($A$2:A779,1)</f>
        <v>24</v>
      </c>
      <c r="C779" t="str">
        <f t="shared" si="60"/>
        <v>TCA</v>
      </c>
      <c r="D779" t="str">
        <f t="shared" si="61"/>
        <v>TCAParent</v>
      </c>
      <c r="E779">
        <f>COUNTIF($R$2:R779,R779)</f>
        <v>26</v>
      </c>
      <c r="F779">
        <f>COUNTIF($E$2:E779,1)</f>
        <v>37</v>
      </c>
      <c r="G779" t="str">
        <f t="shared" si="62"/>
        <v>tca.services.pca</v>
      </c>
      <c r="H779" t="str">
        <f t="shared" si="63"/>
        <v>TCAtca.services.pcaParent</v>
      </c>
      <c r="I779" t="str">
        <f t="shared" si="64"/>
        <v>TCAtca.services.pcaapp.transaction.history.enabled</v>
      </c>
      <c r="J779">
        <f>IF(I779="",0,COUNTIF($I$2:I779,I779))</f>
        <v>5</v>
      </c>
      <c r="K779">
        <f>COUNTIF($J$2:J779,1)</f>
        <v>125</v>
      </c>
      <c r="N779">
        <v>3</v>
      </c>
      <c r="O779" t="s">
        <v>15</v>
      </c>
      <c r="P779" t="s">
        <v>264</v>
      </c>
      <c r="Q779" t="s">
        <v>265</v>
      </c>
      <c r="R779" t="s">
        <v>284</v>
      </c>
      <c r="S779" t="s">
        <v>285</v>
      </c>
      <c r="T779" t="s">
        <v>285</v>
      </c>
      <c r="U779" t="s">
        <v>286</v>
      </c>
      <c r="V779" t="s">
        <v>178</v>
      </c>
      <c r="W779" t="s">
        <v>21</v>
      </c>
      <c r="X779" t="s">
        <v>21</v>
      </c>
      <c r="Y779" t="b">
        <v>1</v>
      </c>
      <c r="Z779">
        <v>5025</v>
      </c>
    </row>
    <row r="780" spans="1:26" hidden="1" x14ac:dyDescent="0.25">
      <c r="A780">
        <f>COUNTIF($P$2:P780,P780)</f>
        <v>104</v>
      </c>
      <c r="B780">
        <f>COUNTIF($A$2:A780,1)</f>
        <v>24</v>
      </c>
      <c r="C780" t="str">
        <f t="shared" si="60"/>
        <v>TCA</v>
      </c>
      <c r="D780" t="str">
        <f t="shared" si="61"/>
        <v>TCAParent</v>
      </c>
      <c r="E780">
        <f>COUNTIF($R$2:R780,R780)</f>
        <v>27</v>
      </c>
      <c r="F780">
        <f>COUNTIF($E$2:E780,1)</f>
        <v>37</v>
      </c>
      <c r="G780" t="str">
        <f t="shared" si="62"/>
        <v>tca.services.pca</v>
      </c>
      <c r="H780" t="str">
        <f t="shared" si="63"/>
        <v>TCAtca.services.pcaParent</v>
      </c>
      <c r="I780" t="str">
        <f t="shared" si="64"/>
        <v>TCAtca.services.pcaitensityonline.auth.client.id</v>
      </c>
      <c r="J780">
        <f>IF(I780="",0,COUNTIF($I$2:I780,I780))</f>
        <v>1</v>
      </c>
      <c r="K780">
        <f>COUNTIF($J$2:J780,1)</f>
        <v>126</v>
      </c>
      <c r="N780">
        <v>1</v>
      </c>
      <c r="O780" t="s">
        <v>15</v>
      </c>
      <c r="P780" t="s">
        <v>264</v>
      </c>
      <c r="Q780" t="s">
        <v>265</v>
      </c>
      <c r="R780" t="s">
        <v>284</v>
      </c>
      <c r="S780" t="s">
        <v>285</v>
      </c>
      <c r="T780" t="s">
        <v>285</v>
      </c>
      <c r="U780" t="s">
        <v>286</v>
      </c>
      <c r="V780" t="s">
        <v>287</v>
      </c>
      <c r="W780" t="s">
        <v>22</v>
      </c>
      <c r="X780" t="s">
        <v>22</v>
      </c>
      <c r="Y780">
        <v>6</v>
      </c>
      <c r="Z780">
        <v>1235</v>
      </c>
    </row>
    <row r="781" spans="1:26" hidden="1" x14ac:dyDescent="0.25">
      <c r="A781">
        <f>COUNTIF($P$2:P781,P781)</f>
        <v>105</v>
      </c>
      <c r="B781">
        <f>COUNTIF($A$2:A781,1)</f>
        <v>24</v>
      </c>
      <c r="C781" t="str">
        <f t="shared" si="60"/>
        <v>TCA</v>
      </c>
      <c r="D781" t="str">
        <f t="shared" si="61"/>
        <v>TCADevice</v>
      </c>
      <c r="E781">
        <f>COUNTIF($R$2:R781,R781)</f>
        <v>28</v>
      </c>
      <c r="F781">
        <f>COUNTIF($E$2:E781,1)</f>
        <v>37</v>
      </c>
      <c r="G781" t="str">
        <f t="shared" si="62"/>
        <v>tca.services.pca</v>
      </c>
      <c r="H781" t="str">
        <f t="shared" si="63"/>
        <v>TCAtca.services.pcaDevice</v>
      </c>
      <c r="I781" t="str">
        <f t="shared" si="64"/>
        <v>TCAtca.services.pcaitensityonline.auth.client.id</v>
      </c>
      <c r="J781">
        <f>IF(I781="",0,COUNTIF($I$2:I781,I781))</f>
        <v>2</v>
      </c>
      <c r="K781">
        <f>COUNTIF($J$2:J781,1)</f>
        <v>126</v>
      </c>
      <c r="N781">
        <v>1</v>
      </c>
      <c r="O781" t="s">
        <v>31</v>
      </c>
      <c r="P781" t="s">
        <v>264</v>
      </c>
      <c r="Q781" t="s">
        <v>265</v>
      </c>
      <c r="R781" t="s">
        <v>284</v>
      </c>
      <c r="S781" t="s">
        <v>285</v>
      </c>
      <c r="T781" t="s">
        <v>285</v>
      </c>
      <c r="U781" t="s">
        <v>286</v>
      </c>
      <c r="V781" t="s">
        <v>287</v>
      </c>
      <c r="W781" t="s">
        <v>22</v>
      </c>
      <c r="X781" t="s">
        <v>22</v>
      </c>
      <c r="Y781">
        <v>6</v>
      </c>
      <c r="Z781">
        <v>1235</v>
      </c>
    </row>
    <row r="782" spans="1:26" hidden="1" x14ac:dyDescent="0.25">
      <c r="A782">
        <f>COUNTIF($P$2:P782,P782)</f>
        <v>106</v>
      </c>
      <c r="B782">
        <f>COUNTIF($A$2:A782,1)</f>
        <v>24</v>
      </c>
      <c r="C782" t="str">
        <f t="shared" si="60"/>
        <v>TCA</v>
      </c>
      <c r="D782" t="str">
        <f t="shared" si="61"/>
        <v>TCADevice</v>
      </c>
      <c r="E782">
        <f>COUNTIF($R$2:R782,R782)</f>
        <v>29</v>
      </c>
      <c r="F782">
        <f>COUNTIF($E$2:E782,1)</f>
        <v>37</v>
      </c>
      <c r="G782" t="str">
        <f t="shared" si="62"/>
        <v>tca.services.pca</v>
      </c>
      <c r="H782" t="str">
        <f t="shared" si="63"/>
        <v>TCAtca.services.pcaDevice</v>
      </c>
      <c r="I782" t="str">
        <f t="shared" si="64"/>
        <v>TCAtca.services.pcaitensityonline.auth.client.id</v>
      </c>
      <c r="J782">
        <f>IF(I782="",0,COUNTIF($I$2:I782,I782))</f>
        <v>3</v>
      </c>
      <c r="K782">
        <f>COUNTIF($J$2:J782,1)</f>
        <v>126</v>
      </c>
      <c r="N782">
        <v>3</v>
      </c>
      <c r="O782" t="s">
        <v>31</v>
      </c>
      <c r="P782" t="s">
        <v>264</v>
      </c>
      <c r="Q782" t="s">
        <v>265</v>
      </c>
      <c r="R782" t="s">
        <v>284</v>
      </c>
      <c r="S782" t="s">
        <v>285</v>
      </c>
      <c r="T782" t="s">
        <v>285</v>
      </c>
      <c r="U782" t="s">
        <v>286</v>
      </c>
      <c r="V782" t="s">
        <v>287</v>
      </c>
      <c r="W782" t="s">
        <v>22</v>
      </c>
      <c r="X782" t="s">
        <v>22</v>
      </c>
      <c r="Y782">
        <v>6</v>
      </c>
      <c r="Z782">
        <v>1235</v>
      </c>
    </row>
    <row r="783" spans="1:26" hidden="1" x14ac:dyDescent="0.25">
      <c r="A783">
        <f>COUNTIF($P$2:P783,P783)</f>
        <v>107</v>
      </c>
      <c r="B783">
        <f>COUNTIF($A$2:A783,1)</f>
        <v>24</v>
      </c>
      <c r="C783" t="str">
        <f t="shared" si="60"/>
        <v>TCA</v>
      </c>
      <c r="D783" t="str">
        <f t="shared" si="61"/>
        <v>TCAParent</v>
      </c>
      <c r="E783">
        <f>COUNTIF($R$2:R783,R783)</f>
        <v>30</v>
      </c>
      <c r="F783">
        <f>COUNTIF($E$2:E783,1)</f>
        <v>37</v>
      </c>
      <c r="G783" t="str">
        <f t="shared" si="62"/>
        <v>tca.services.pca</v>
      </c>
      <c r="H783" t="str">
        <f t="shared" si="63"/>
        <v>TCAtca.services.pcaParent</v>
      </c>
      <c r="I783" t="str">
        <f t="shared" si="64"/>
        <v>TCAtca.services.pcaitensityonline.auth.client.id</v>
      </c>
      <c r="J783">
        <f>IF(I783="",0,COUNTIF($I$2:I783,I783))</f>
        <v>4</v>
      </c>
      <c r="K783">
        <f>COUNTIF($J$2:J783,1)</f>
        <v>126</v>
      </c>
      <c r="N783">
        <v>3</v>
      </c>
      <c r="O783" t="s">
        <v>15</v>
      </c>
      <c r="P783" t="s">
        <v>264</v>
      </c>
      <c r="Q783" t="s">
        <v>265</v>
      </c>
      <c r="R783" t="s">
        <v>284</v>
      </c>
      <c r="S783" t="s">
        <v>285</v>
      </c>
      <c r="T783" t="s">
        <v>285</v>
      </c>
      <c r="U783" t="s">
        <v>286</v>
      </c>
      <c r="V783" t="s">
        <v>287</v>
      </c>
      <c r="W783" t="s">
        <v>22</v>
      </c>
      <c r="X783" t="s">
        <v>22</v>
      </c>
      <c r="Y783">
        <v>6</v>
      </c>
      <c r="Z783">
        <v>1235</v>
      </c>
    </row>
    <row r="784" spans="1:26" hidden="1" x14ac:dyDescent="0.25">
      <c r="A784">
        <f>COUNTIF($P$2:P784,P784)</f>
        <v>108</v>
      </c>
      <c r="B784">
        <f>COUNTIF($A$2:A784,1)</f>
        <v>24</v>
      </c>
      <c r="C784" t="str">
        <f t="shared" si="60"/>
        <v>TCA</v>
      </c>
      <c r="D784" t="str">
        <f t="shared" si="61"/>
        <v>TCADevice</v>
      </c>
      <c r="E784">
        <f>COUNTIF($R$2:R784,R784)</f>
        <v>31</v>
      </c>
      <c r="F784">
        <f>COUNTIF($E$2:E784,1)</f>
        <v>37</v>
      </c>
      <c r="G784" t="str">
        <f t="shared" si="62"/>
        <v>tca.services.pca</v>
      </c>
      <c r="H784" t="str">
        <f t="shared" si="63"/>
        <v>TCAtca.services.pcaDevice</v>
      </c>
      <c r="I784" t="str">
        <f t="shared" si="64"/>
        <v>TCAtca.services.pcaitensityonline.auth.client.id</v>
      </c>
      <c r="J784">
        <f>IF(I784="",0,COUNTIF($I$2:I784,I784))</f>
        <v>5</v>
      </c>
      <c r="K784">
        <f>COUNTIF($J$2:J784,1)</f>
        <v>126</v>
      </c>
      <c r="N784">
        <v>2</v>
      </c>
      <c r="O784" t="s">
        <v>31</v>
      </c>
      <c r="P784" t="s">
        <v>264</v>
      </c>
      <c r="Q784" t="s">
        <v>265</v>
      </c>
      <c r="R784" t="s">
        <v>284</v>
      </c>
      <c r="S784" t="s">
        <v>285</v>
      </c>
      <c r="T784" t="s">
        <v>285</v>
      </c>
      <c r="U784" t="s">
        <v>286</v>
      </c>
      <c r="V784" t="s">
        <v>287</v>
      </c>
      <c r="W784" t="s">
        <v>22</v>
      </c>
      <c r="X784" t="s">
        <v>22</v>
      </c>
      <c r="Y784">
        <v>6</v>
      </c>
      <c r="Z784">
        <v>1235</v>
      </c>
    </row>
    <row r="785" spans="1:26" hidden="1" x14ac:dyDescent="0.25">
      <c r="A785">
        <f>COUNTIF($P$2:P785,P785)</f>
        <v>109</v>
      </c>
      <c r="B785">
        <f>COUNTIF($A$2:A785,1)</f>
        <v>24</v>
      </c>
      <c r="C785" t="str">
        <f t="shared" si="60"/>
        <v>TCA</v>
      </c>
      <c r="D785" t="str">
        <f t="shared" si="61"/>
        <v>TCAParent</v>
      </c>
      <c r="E785">
        <f>COUNTIF($R$2:R785,R785)</f>
        <v>32</v>
      </c>
      <c r="F785">
        <f>COUNTIF($E$2:E785,1)</f>
        <v>37</v>
      </c>
      <c r="G785" t="str">
        <f t="shared" si="62"/>
        <v>tca.services.pca</v>
      </c>
      <c r="H785" t="str">
        <f t="shared" si="63"/>
        <v>TCAtca.services.pcaParent</v>
      </c>
      <c r="I785" t="str">
        <f t="shared" si="64"/>
        <v>TCAtca.services.pcaitensityonline.auth.client.secret</v>
      </c>
      <c r="J785">
        <f>IF(I785="",0,COUNTIF($I$2:I785,I785))</f>
        <v>1</v>
      </c>
      <c r="K785">
        <f>COUNTIF($J$2:J785,1)</f>
        <v>127</v>
      </c>
      <c r="N785">
        <v>1</v>
      </c>
      <c r="O785" t="s">
        <v>15</v>
      </c>
      <c r="P785" t="s">
        <v>264</v>
      </c>
      <c r="Q785" t="s">
        <v>265</v>
      </c>
      <c r="R785" t="s">
        <v>284</v>
      </c>
      <c r="S785" t="s">
        <v>285</v>
      </c>
      <c r="T785" t="s">
        <v>285</v>
      </c>
      <c r="U785" t="s">
        <v>286</v>
      </c>
      <c r="V785" t="s">
        <v>288</v>
      </c>
      <c r="W785" t="s">
        <v>22</v>
      </c>
      <c r="X785" t="s">
        <v>22</v>
      </c>
      <c r="Y785" t="s">
        <v>289</v>
      </c>
      <c r="Z785">
        <v>1236</v>
      </c>
    </row>
    <row r="786" spans="1:26" hidden="1" x14ac:dyDescent="0.25">
      <c r="A786">
        <f>COUNTIF($P$2:P786,P786)</f>
        <v>110</v>
      </c>
      <c r="B786">
        <f>COUNTIF($A$2:A786,1)</f>
        <v>24</v>
      </c>
      <c r="C786" t="str">
        <f t="shared" si="60"/>
        <v>TCA</v>
      </c>
      <c r="D786" t="str">
        <f t="shared" si="61"/>
        <v>TCADevice</v>
      </c>
      <c r="E786">
        <f>COUNTIF($R$2:R786,R786)</f>
        <v>33</v>
      </c>
      <c r="F786">
        <f>COUNTIF($E$2:E786,1)</f>
        <v>37</v>
      </c>
      <c r="G786" t="str">
        <f t="shared" si="62"/>
        <v>tca.services.pca</v>
      </c>
      <c r="H786" t="str">
        <f t="shared" si="63"/>
        <v>TCAtca.services.pcaDevice</v>
      </c>
      <c r="I786" t="str">
        <f t="shared" si="64"/>
        <v>TCAtca.services.pcaitensityonline.auth.client.secret</v>
      </c>
      <c r="J786">
        <f>IF(I786="",0,COUNTIF($I$2:I786,I786))</f>
        <v>2</v>
      </c>
      <c r="K786">
        <f>COUNTIF($J$2:J786,1)</f>
        <v>127</v>
      </c>
      <c r="N786">
        <v>2</v>
      </c>
      <c r="O786" t="s">
        <v>31</v>
      </c>
      <c r="P786" t="s">
        <v>264</v>
      </c>
      <c r="Q786" t="s">
        <v>265</v>
      </c>
      <c r="R786" t="s">
        <v>284</v>
      </c>
      <c r="S786" t="s">
        <v>285</v>
      </c>
      <c r="T786" t="s">
        <v>285</v>
      </c>
      <c r="U786" t="s">
        <v>286</v>
      </c>
      <c r="V786" t="s">
        <v>288</v>
      </c>
      <c r="W786" t="s">
        <v>22</v>
      </c>
      <c r="X786" t="s">
        <v>22</v>
      </c>
      <c r="Y786" t="s">
        <v>289</v>
      </c>
      <c r="Z786">
        <v>1236</v>
      </c>
    </row>
    <row r="787" spans="1:26" hidden="1" x14ac:dyDescent="0.25">
      <c r="A787">
        <f>COUNTIF($P$2:P787,P787)</f>
        <v>111</v>
      </c>
      <c r="B787">
        <f>COUNTIF($A$2:A787,1)</f>
        <v>24</v>
      </c>
      <c r="C787" t="str">
        <f t="shared" si="60"/>
        <v>TCA</v>
      </c>
      <c r="D787" t="str">
        <f t="shared" si="61"/>
        <v>TCAParent</v>
      </c>
      <c r="E787">
        <f>COUNTIF($R$2:R787,R787)</f>
        <v>34</v>
      </c>
      <c r="F787">
        <f>COUNTIF($E$2:E787,1)</f>
        <v>37</v>
      </c>
      <c r="G787" t="str">
        <f t="shared" si="62"/>
        <v>tca.services.pca</v>
      </c>
      <c r="H787" t="str">
        <f t="shared" si="63"/>
        <v>TCAtca.services.pcaParent</v>
      </c>
      <c r="I787" t="str">
        <f t="shared" si="64"/>
        <v>TCAtca.services.pcaitensityonline.auth.client.secret</v>
      </c>
      <c r="J787">
        <f>IF(I787="",0,COUNTIF($I$2:I787,I787))</f>
        <v>3</v>
      </c>
      <c r="K787">
        <f>COUNTIF($J$2:J787,1)</f>
        <v>127</v>
      </c>
      <c r="N787">
        <v>3</v>
      </c>
      <c r="O787" t="s">
        <v>15</v>
      </c>
      <c r="P787" t="s">
        <v>264</v>
      </c>
      <c r="Q787" t="s">
        <v>265</v>
      </c>
      <c r="R787" t="s">
        <v>284</v>
      </c>
      <c r="S787" t="s">
        <v>285</v>
      </c>
      <c r="T787" t="s">
        <v>285</v>
      </c>
      <c r="U787" t="s">
        <v>286</v>
      </c>
      <c r="V787" t="s">
        <v>288</v>
      </c>
      <c r="W787" t="s">
        <v>22</v>
      </c>
      <c r="X787" t="s">
        <v>22</v>
      </c>
      <c r="Y787" t="s">
        <v>289</v>
      </c>
      <c r="Z787">
        <v>1236</v>
      </c>
    </row>
    <row r="788" spans="1:26" hidden="1" x14ac:dyDescent="0.25">
      <c r="A788">
        <f>COUNTIF($P$2:P788,P788)</f>
        <v>112</v>
      </c>
      <c r="B788">
        <f>COUNTIF($A$2:A788,1)</f>
        <v>24</v>
      </c>
      <c r="C788" t="str">
        <f t="shared" si="60"/>
        <v>TCA</v>
      </c>
      <c r="D788" t="str">
        <f t="shared" si="61"/>
        <v>TCADevice</v>
      </c>
      <c r="E788">
        <f>COUNTIF($R$2:R788,R788)</f>
        <v>35</v>
      </c>
      <c r="F788">
        <f>COUNTIF($E$2:E788,1)</f>
        <v>37</v>
      </c>
      <c r="G788" t="str">
        <f t="shared" si="62"/>
        <v>tca.services.pca</v>
      </c>
      <c r="H788" t="str">
        <f t="shared" si="63"/>
        <v>TCAtca.services.pcaDevice</v>
      </c>
      <c r="I788" t="str">
        <f t="shared" si="64"/>
        <v>TCAtca.services.pcaitensityonline.auth.client.secret</v>
      </c>
      <c r="J788">
        <f>IF(I788="",0,COUNTIF($I$2:I788,I788))</f>
        <v>4</v>
      </c>
      <c r="K788">
        <f>COUNTIF($J$2:J788,1)</f>
        <v>127</v>
      </c>
      <c r="N788">
        <v>1</v>
      </c>
      <c r="O788" t="s">
        <v>31</v>
      </c>
      <c r="P788" t="s">
        <v>264</v>
      </c>
      <c r="Q788" t="s">
        <v>265</v>
      </c>
      <c r="R788" t="s">
        <v>284</v>
      </c>
      <c r="S788" t="s">
        <v>285</v>
      </c>
      <c r="T788" t="s">
        <v>285</v>
      </c>
      <c r="U788" t="s">
        <v>286</v>
      </c>
      <c r="V788" t="s">
        <v>288</v>
      </c>
      <c r="W788" t="s">
        <v>22</v>
      </c>
      <c r="X788" t="s">
        <v>22</v>
      </c>
      <c r="Y788" t="s">
        <v>289</v>
      </c>
      <c r="Z788">
        <v>1236</v>
      </c>
    </row>
    <row r="789" spans="1:26" hidden="1" x14ac:dyDescent="0.25">
      <c r="A789">
        <f>COUNTIF($P$2:P789,P789)</f>
        <v>113</v>
      </c>
      <c r="B789">
        <f>COUNTIF($A$2:A789,1)</f>
        <v>24</v>
      </c>
      <c r="C789" t="str">
        <f t="shared" si="60"/>
        <v>TCA</v>
      </c>
      <c r="D789" t="str">
        <f t="shared" si="61"/>
        <v>TCADevice</v>
      </c>
      <c r="E789">
        <f>COUNTIF($R$2:R789,R789)</f>
        <v>36</v>
      </c>
      <c r="F789">
        <f>COUNTIF($E$2:E789,1)</f>
        <v>37</v>
      </c>
      <c r="G789" t="str">
        <f t="shared" si="62"/>
        <v>tca.services.pca</v>
      </c>
      <c r="H789" t="str">
        <f t="shared" si="63"/>
        <v>TCAtca.services.pcaDevice</v>
      </c>
      <c r="I789" t="str">
        <f t="shared" si="64"/>
        <v>TCAtca.services.pcaitensityonline.auth.client.secret</v>
      </c>
      <c r="J789">
        <f>IF(I789="",0,COUNTIF($I$2:I789,I789))</f>
        <v>5</v>
      </c>
      <c r="K789">
        <f>COUNTIF($J$2:J789,1)</f>
        <v>127</v>
      </c>
      <c r="N789">
        <v>3</v>
      </c>
      <c r="O789" t="s">
        <v>31</v>
      </c>
      <c r="P789" t="s">
        <v>264</v>
      </c>
      <c r="Q789" t="s">
        <v>265</v>
      </c>
      <c r="R789" t="s">
        <v>284</v>
      </c>
      <c r="S789" t="s">
        <v>285</v>
      </c>
      <c r="T789" t="s">
        <v>285</v>
      </c>
      <c r="U789" t="s">
        <v>286</v>
      </c>
      <c r="V789" t="s">
        <v>288</v>
      </c>
      <c r="W789" t="s">
        <v>22</v>
      </c>
      <c r="X789" t="s">
        <v>22</v>
      </c>
      <c r="Y789" t="s">
        <v>289</v>
      </c>
      <c r="Z789">
        <v>1236</v>
      </c>
    </row>
    <row r="790" spans="1:26" hidden="1" x14ac:dyDescent="0.25">
      <c r="A790">
        <f>COUNTIF($P$2:P790,P790)</f>
        <v>114</v>
      </c>
      <c r="B790">
        <f>COUNTIF($A$2:A790,1)</f>
        <v>24</v>
      </c>
      <c r="C790" t="str">
        <f t="shared" si="60"/>
        <v>TCA</v>
      </c>
      <c r="D790" t="str">
        <f t="shared" si="61"/>
        <v>TCADevice</v>
      </c>
      <c r="E790">
        <f>COUNTIF($R$2:R790,R790)</f>
        <v>37</v>
      </c>
      <c r="F790">
        <f>COUNTIF($E$2:E790,1)</f>
        <v>37</v>
      </c>
      <c r="G790" t="str">
        <f t="shared" si="62"/>
        <v>tca.services.pca</v>
      </c>
      <c r="H790" t="str">
        <f t="shared" si="63"/>
        <v>TCAtca.services.pcaDevice</v>
      </c>
      <c r="I790" t="str">
        <f t="shared" si="64"/>
        <v>TCAtca.services.pcamanual.payments.reference.config</v>
      </c>
      <c r="J790">
        <f>IF(I790="",0,COUNTIF($I$2:I790,I790))</f>
        <v>1</v>
      </c>
      <c r="K790">
        <f>COUNTIF($J$2:J790,1)</f>
        <v>128</v>
      </c>
      <c r="N790">
        <v>16</v>
      </c>
      <c r="O790" t="s">
        <v>31</v>
      </c>
      <c r="P790" t="s">
        <v>264</v>
      </c>
      <c r="Q790" t="s">
        <v>265</v>
      </c>
      <c r="R790" t="s">
        <v>284</v>
      </c>
      <c r="S790" t="s">
        <v>285</v>
      </c>
      <c r="T790" t="s">
        <v>285</v>
      </c>
      <c r="U790" t="s">
        <v>286</v>
      </c>
      <c r="V790" t="s">
        <v>273</v>
      </c>
      <c r="W790" t="s">
        <v>21</v>
      </c>
      <c r="X790" t="s">
        <v>21</v>
      </c>
      <c r="Y790" t="s">
        <v>274</v>
      </c>
      <c r="Z790">
        <v>4994</v>
      </c>
    </row>
    <row r="791" spans="1:26" hidden="1" x14ac:dyDescent="0.25">
      <c r="A791">
        <f>COUNTIF($P$2:P791,P791)</f>
        <v>115</v>
      </c>
      <c r="B791">
        <f>COUNTIF($A$2:A791,1)</f>
        <v>24</v>
      </c>
      <c r="C791" t="str">
        <f t="shared" si="60"/>
        <v>TCA</v>
      </c>
      <c r="D791" t="str">
        <f t="shared" si="61"/>
        <v>TCAIntegrator</v>
      </c>
      <c r="E791">
        <f>COUNTIF($R$2:R791,R791)</f>
        <v>38</v>
      </c>
      <c r="F791">
        <f>COUNTIF($E$2:E791,1)</f>
        <v>37</v>
      </c>
      <c r="G791" t="str">
        <f t="shared" si="62"/>
        <v>tca.services.pca</v>
      </c>
      <c r="H791" t="str">
        <f t="shared" si="63"/>
        <v>TCAtca.services.pcaIntegrator</v>
      </c>
      <c r="I791" t="str">
        <f t="shared" si="64"/>
        <v>TCAtca.services.pcaocs.ed.mandate.default.details</v>
      </c>
      <c r="J791">
        <f>IF(I791="",0,COUNTIF($I$2:I791,I791))</f>
        <v>1</v>
      </c>
      <c r="K791">
        <f>COUNTIF($J$2:J791,1)</f>
        <v>129</v>
      </c>
      <c r="N791">
        <v>9</v>
      </c>
      <c r="O791" t="s">
        <v>23</v>
      </c>
      <c r="P791" t="s">
        <v>264</v>
      </c>
      <c r="Q791" t="s">
        <v>265</v>
      </c>
      <c r="R791" t="s">
        <v>284</v>
      </c>
      <c r="S791" t="s">
        <v>285</v>
      </c>
      <c r="T791" t="s">
        <v>285</v>
      </c>
      <c r="U791" t="s">
        <v>286</v>
      </c>
      <c r="V791" t="s">
        <v>189</v>
      </c>
      <c r="W791" t="s">
        <v>21</v>
      </c>
      <c r="X791" t="s">
        <v>21</v>
      </c>
      <c r="Y791" t="s">
        <v>190</v>
      </c>
      <c r="Z791">
        <v>4988</v>
      </c>
    </row>
    <row r="792" spans="1:26" hidden="1" x14ac:dyDescent="0.25">
      <c r="A792">
        <f>COUNTIF($P$2:P792,P792)</f>
        <v>116</v>
      </c>
      <c r="B792">
        <f>COUNTIF($A$2:A792,1)</f>
        <v>24</v>
      </c>
      <c r="C792" t="str">
        <f t="shared" si="60"/>
        <v>TCA</v>
      </c>
      <c r="D792" t="str">
        <f t="shared" si="61"/>
        <v>TCADevice</v>
      </c>
      <c r="E792">
        <f>COUNTIF($R$2:R792,R792)</f>
        <v>39</v>
      </c>
      <c r="F792">
        <f>COUNTIF($E$2:E792,1)</f>
        <v>37</v>
      </c>
      <c r="G792" t="str">
        <f t="shared" si="62"/>
        <v>tca.services.pca</v>
      </c>
      <c r="H792" t="str">
        <f t="shared" si="63"/>
        <v>TCAtca.services.pcaDevice</v>
      </c>
      <c r="I792" t="str">
        <f t="shared" si="64"/>
        <v>TCAtca.services.pcatca.application.key</v>
      </c>
      <c r="J792">
        <f>IF(I792="",0,COUNTIF($I$2:I792,I792))</f>
        <v>1</v>
      </c>
      <c r="K792">
        <f>COUNTIF($J$2:J792,1)</f>
        <v>130</v>
      </c>
      <c r="N792">
        <v>1</v>
      </c>
      <c r="O792" t="s">
        <v>31</v>
      </c>
      <c r="P792" t="s">
        <v>264</v>
      </c>
      <c r="Q792" t="s">
        <v>265</v>
      </c>
      <c r="R792" t="s">
        <v>284</v>
      </c>
      <c r="S792" t="s">
        <v>285</v>
      </c>
      <c r="T792" t="s">
        <v>285</v>
      </c>
      <c r="U792" t="s">
        <v>286</v>
      </c>
      <c r="V792" t="s">
        <v>275</v>
      </c>
      <c r="W792" t="s">
        <v>21</v>
      </c>
      <c r="X792" t="s">
        <v>21</v>
      </c>
      <c r="Y792" t="s">
        <v>276</v>
      </c>
      <c r="Z792">
        <v>5019</v>
      </c>
    </row>
    <row r="793" spans="1:26" hidden="1" x14ac:dyDescent="0.25">
      <c r="A793">
        <f>COUNTIF($P$2:P793,P793)</f>
        <v>117</v>
      </c>
      <c r="B793">
        <f>COUNTIF($A$2:A793,1)</f>
        <v>24</v>
      </c>
      <c r="C793" t="str">
        <f t="shared" si="60"/>
        <v>TCA</v>
      </c>
      <c r="D793" t="str">
        <f t="shared" si="61"/>
        <v>TCADevice</v>
      </c>
      <c r="E793">
        <f>COUNTIF($R$2:R793,R793)</f>
        <v>40</v>
      </c>
      <c r="F793">
        <f>COUNTIF($E$2:E793,1)</f>
        <v>37</v>
      </c>
      <c r="G793" t="str">
        <f t="shared" si="62"/>
        <v>tca.services.pca</v>
      </c>
      <c r="H793" t="str">
        <f t="shared" si="63"/>
        <v>TCAtca.services.pcaDevice</v>
      </c>
      <c r="I793" t="str">
        <f t="shared" si="64"/>
        <v>TCAtca.services.pcatca.application.key</v>
      </c>
      <c r="J793">
        <f>IF(I793="",0,COUNTIF($I$2:I793,I793))</f>
        <v>2</v>
      </c>
      <c r="K793">
        <f>COUNTIF($J$2:J793,1)</f>
        <v>130</v>
      </c>
      <c r="N793">
        <v>1</v>
      </c>
      <c r="O793" t="s">
        <v>31</v>
      </c>
      <c r="P793" t="s">
        <v>264</v>
      </c>
      <c r="Q793" t="s">
        <v>265</v>
      </c>
      <c r="R793" t="s">
        <v>284</v>
      </c>
      <c r="S793" t="s">
        <v>285</v>
      </c>
      <c r="T793" t="s">
        <v>285</v>
      </c>
      <c r="U793" t="s">
        <v>286</v>
      </c>
      <c r="V793" t="s">
        <v>275</v>
      </c>
      <c r="W793" t="s">
        <v>21</v>
      </c>
      <c r="X793" t="s">
        <v>21</v>
      </c>
      <c r="Y793" t="s">
        <v>276</v>
      </c>
      <c r="Z793">
        <v>5019</v>
      </c>
    </row>
    <row r="794" spans="1:26" hidden="1" x14ac:dyDescent="0.25">
      <c r="A794">
        <f>COUNTIF($P$2:P794,P794)</f>
        <v>118</v>
      </c>
      <c r="B794">
        <f>COUNTIF($A$2:A794,1)</f>
        <v>24</v>
      </c>
      <c r="C794" t="str">
        <f t="shared" si="60"/>
        <v>TCA</v>
      </c>
      <c r="D794" t="str">
        <f t="shared" si="61"/>
        <v>TCAParent</v>
      </c>
      <c r="E794">
        <f>COUNTIF($R$2:R794,R794)</f>
        <v>41</v>
      </c>
      <c r="F794">
        <f>COUNTIF($E$2:E794,1)</f>
        <v>37</v>
      </c>
      <c r="G794" t="str">
        <f t="shared" si="62"/>
        <v>tca.services.pca</v>
      </c>
      <c r="H794" t="str">
        <f t="shared" si="63"/>
        <v>TCAtca.services.pcaParent</v>
      </c>
      <c r="I794" t="str">
        <f t="shared" si="64"/>
        <v>TCAtca.services.pcatca.application.key</v>
      </c>
      <c r="J794">
        <f>IF(I794="",0,COUNTIF($I$2:I794,I794))</f>
        <v>3</v>
      </c>
      <c r="K794">
        <f>COUNTIF($J$2:J794,1)</f>
        <v>130</v>
      </c>
      <c r="N794">
        <v>279</v>
      </c>
      <c r="O794" t="s">
        <v>15</v>
      </c>
      <c r="P794" t="s">
        <v>264</v>
      </c>
      <c r="Q794" t="s">
        <v>265</v>
      </c>
      <c r="R794" t="s">
        <v>284</v>
      </c>
      <c r="S794" t="s">
        <v>285</v>
      </c>
      <c r="T794" t="s">
        <v>285</v>
      </c>
      <c r="U794" t="s">
        <v>286</v>
      </c>
      <c r="V794" t="s">
        <v>275</v>
      </c>
      <c r="W794" t="s">
        <v>21</v>
      </c>
      <c r="X794" t="s">
        <v>21</v>
      </c>
      <c r="Y794" t="s">
        <v>276</v>
      </c>
      <c r="Z794">
        <v>5019</v>
      </c>
    </row>
    <row r="795" spans="1:26" hidden="1" x14ac:dyDescent="0.25">
      <c r="A795">
        <f>COUNTIF($P$2:P795,P795)</f>
        <v>119</v>
      </c>
      <c r="B795">
        <f>COUNTIF($A$2:A795,1)</f>
        <v>24</v>
      </c>
      <c r="C795" t="str">
        <f t="shared" si="60"/>
        <v>TCA</v>
      </c>
      <c r="D795" t="str">
        <f t="shared" si="61"/>
        <v>TCADevice</v>
      </c>
      <c r="E795">
        <f>COUNTIF($R$2:R795,R795)</f>
        <v>42</v>
      </c>
      <c r="F795">
        <f>COUNTIF($E$2:E795,1)</f>
        <v>37</v>
      </c>
      <c r="G795" t="str">
        <f t="shared" si="62"/>
        <v>tca.services.pca</v>
      </c>
      <c r="H795" t="str">
        <f t="shared" si="63"/>
        <v>TCAtca.services.pcaDevice</v>
      </c>
      <c r="I795" t="str">
        <f t="shared" si="64"/>
        <v>TCAtca.services.pcatca.application.key</v>
      </c>
      <c r="J795">
        <f>IF(I795="",0,COUNTIF($I$2:I795,I795))</f>
        <v>4</v>
      </c>
      <c r="K795">
        <f>COUNTIF($J$2:J795,1)</f>
        <v>130</v>
      </c>
      <c r="N795">
        <v>85</v>
      </c>
      <c r="O795" t="s">
        <v>31</v>
      </c>
      <c r="P795" t="s">
        <v>264</v>
      </c>
      <c r="Q795" t="s">
        <v>265</v>
      </c>
      <c r="R795" t="s">
        <v>284</v>
      </c>
      <c r="S795" t="s">
        <v>285</v>
      </c>
      <c r="T795" t="s">
        <v>285</v>
      </c>
      <c r="U795" t="s">
        <v>286</v>
      </c>
      <c r="V795" t="s">
        <v>275</v>
      </c>
      <c r="W795" t="s">
        <v>21</v>
      </c>
      <c r="X795" t="s">
        <v>21</v>
      </c>
      <c r="Y795" t="s">
        <v>276</v>
      </c>
      <c r="Z795">
        <v>5019</v>
      </c>
    </row>
    <row r="796" spans="1:26" hidden="1" x14ac:dyDescent="0.25">
      <c r="A796">
        <f>COUNTIF($P$2:P796,P796)</f>
        <v>120</v>
      </c>
      <c r="B796">
        <f>COUNTIF($A$2:A796,1)</f>
        <v>24</v>
      </c>
      <c r="C796" t="str">
        <f t="shared" si="60"/>
        <v>TCA</v>
      </c>
      <c r="D796" t="str">
        <f t="shared" si="61"/>
        <v>TCAParent</v>
      </c>
      <c r="E796">
        <f>COUNTIF($R$2:R796,R796)</f>
        <v>43</v>
      </c>
      <c r="F796">
        <f>COUNTIF($E$2:E796,1)</f>
        <v>37</v>
      </c>
      <c r="G796" t="str">
        <f t="shared" si="62"/>
        <v>tca.services.pca</v>
      </c>
      <c r="H796" t="str">
        <f t="shared" si="63"/>
        <v>TCAtca.services.pcaParent</v>
      </c>
      <c r="I796" t="str">
        <f t="shared" si="64"/>
        <v>TCAtca.services.pcatca.application.key</v>
      </c>
      <c r="J796">
        <f>IF(I796="",0,COUNTIF($I$2:I796,I796))</f>
        <v>5</v>
      </c>
      <c r="K796">
        <f>COUNTIF($J$2:J796,1)</f>
        <v>130</v>
      </c>
      <c r="N796">
        <v>1</v>
      </c>
      <c r="O796" t="s">
        <v>15</v>
      </c>
      <c r="P796" t="s">
        <v>264</v>
      </c>
      <c r="Q796" t="s">
        <v>265</v>
      </c>
      <c r="R796" t="s">
        <v>284</v>
      </c>
      <c r="S796" t="s">
        <v>285</v>
      </c>
      <c r="T796" t="s">
        <v>285</v>
      </c>
      <c r="U796" t="s">
        <v>286</v>
      </c>
      <c r="V796" t="s">
        <v>275</v>
      </c>
      <c r="W796" t="s">
        <v>21</v>
      </c>
      <c r="X796" t="s">
        <v>21</v>
      </c>
      <c r="Y796" t="s">
        <v>276</v>
      </c>
      <c r="Z796">
        <v>5019</v>
      </c>
    </row>
    <row r="797" spans="1:26" hidden="1" x14ac:dyDescent="0.25">
      <c r="A797">
        <f>COUNTIF($P$2:P797,P797)</f>
        <v>121</v>
      </c>
      <c r="B797">
        <f>COUNTIF($A$2:A797,1)</f>
        <v>24</v>
      </c>
      <c r="C797" t="str">
        <f t="shared" si="60"/>
        <v>TCA</v>
      </c>
      <c r="D797" t="str">
        <f t="shared" si="61"/>
        <v>TCADevice</v>
      </c>
      <c r="E797">
        <f>COUNTIF($R$2:R797,R797)</f>
        <v>44</v>
      </c>
      <c r="F797">
        <f>COUNTIF($E$2:E797,1)</f>
        <v>37</v>
      </c>
      <c r="G797" t="str">
        <f t="shared" si="62"/>
        <v>tca.services.pca</v>
      </c>
      <c r="H797" t="str">
        <f t="shared" si="63"/>
        <v>TCAtca.services.pcaDevice</v>
      </c>
      <c r="I797" t="str">
        <f t="shared" si="64"/>
        <v>TCAtca.services.pcatca.application.key</v>
      </c>
      <c r="J797">
        <f>IF(I797="",0,COUNTIF($I$2:I797,I797))</f>
        <v>6</v>
      </c>
      <c r="K797">
        <f>COUNTIF($J$2:J797,1)</f>
        <v>130</v>
      </c>
      <c r="N797">
        <v>45</v>
      </c>
      <c r="O797" t="s">
        <v>31</v>
      </c>
      <c r="P797" t="s">
        <v>264</v>
      </c>
      <c r="Q797" t="s">
        <v>265</v>
      </c>
      <c r="R797" t="s">
        <v>284</v>
      </c>
      <c r="S797" t="s">
        <v>285</v>
      </c>
      <c r="T797" t="s">
        <v>285</v>
      </c>
      <c r="U797" t="s">
        <v>286</v>
      </c>
      <c r="V797" t="s">
        <v>275</v>
      </c>
      <c r="W797" t="s">
        <v>21</v>
      </c>
      <c r="X797" t="s">
        <v>21</v>
      </c>
      <c r="Y797" t="s">
        <v>276</v>
      </c>
      <c r="Z797">
        <v>5019</v>
      </c>
    </row>
    <row r="798" spans="1:26" hidden="1" x14ac:dyDescent="0.25">
      <c r="A798">
        <f>COUNTIF($P$2:P798,P798)</f>
        <v>122</v>
      </c>
      <c r="B798">
        <f>COUNTIF($A$2:A798,1)</f>
        <v>24</v>
      </c>
      <c r="C798" t="str">
        <f t="shared" si="60"/>
        <v>TCA</v>
      </c>
      <c r="D798" t="str">
        <f t="shared" si="61"/>
        <v>TCAParent</v>
      </c>
      <c r="E798">
        <f>COUNTIF($R$2:R798,R798)</f>
        <v>45</v>
      </c>
      <c r="F798">
        <f>COUNTIF($E$2:E798,1)</f>
        <v>37</v>
      </c>
      <c r="G798" t="str">
        <f t="shared" si="62"/>
        <v>tca.services.pca</v>
      </c>
      <c r="H798" t="str">
        <f t="shared" si="63"/>
        <v>TCAtca.services.pcaParent</v>
      </c>
      <c r="I798" t="str">
        <f t="shared" si="64"/>
        <v>TCAtca.services.pcatca.application.key</v>
      </c>
      <c r="J798">
        <f>IF(I798="",0,COUNTIF($I$2:I798,I798))</f>
        <v>7</v>
      </c>
      <c r="K798">
        <f>COUNTIF($J$2:J798,1)</f>
        <v>130</v>
      </c>
      <c r="N798">
        <v>6</v>
      </c>
      <c r="O798" t="s">
        <v>15</v>
      </c>
      <c r="P798" t="s">
        <v>264</v>
      </c>
      <c r="Q798" t="s">
        <v>265</v>
      </c>
      <c r="R798" t="s">
        <v>284</v>
      </c>
      <c r="S798" t="s">
        <v>285</v>
      </c>
      <c r="T798" t="s">
        <v>285</v>
      </c>
      <c r="U798" t="s">
        <v>286</v>
      </c>
      <c r="V798" t="s">
        <v>275</v>
      </c>
      <c r="W798" t="s">
        <v>21</v>
      </c>
      <c r="X798" t="s">
        <v>21</v>
      </c>
      <c r="Y798" t="s">
        <v>276</v>
      </c>
      <c r="Z798">
        <v>5019</v>
      </c>
    </row>
    <row r="799" spans="1:26" hidden="1" x14ac:dyDescent="0.25">
      <c r="A799">
        <f>COUNTIF($P$2:P799,P799)</f>
        <v>123</v>
      </c>
      <c r="B799">
        <f>COUNTIF($A$2:A799,1)</f>
        <v>24</v>
      </c>
      <c r="C799" t="str">
        <f t="shared" si="60"/>
        <v>TCA</v>
      </c>
      <c r="D799" t="str">
        <f t="shared" si="61"/>
        <v>TCADevice</v>
      </c>
      <c r="E799">
        <f>COUNTIF($R$2:R799,R799)</f>
        <v>46</v>
      </c>
      <c r="F799">
        <f>COUNTIF($E$2:E799,1)</f>
        <v>37</v>
      </c>
      <c r="G799" t="str">
        <f t="shared" si="62"/>
        <v>tca.services.pca</v>
      </c>
      <c r="H799" t="str">
        <f t="shared" si="63"/>
        <v>TCAtca.services.pcaDevice</v>
      </c>
      <c r="I799" t="str">
        <f t="shared" si="64"/>
        <v>TCAtca.services.pcatca.merchant.id</v>
      </c>
      <c r="J799">
        <f>IF(I799="",0,COUNTIF($I$2:I799,I799))</f>
        <v>1</v>
      </c>
      <c r="K799">
        <f>COUNTIF($J$2:J799,1)</f>
        <v>131</v>
      </c>
      <c r="N799">
        <v>1</v>
      </c>
      <c r="O799" t="s">
        <v>31</v>
      </c>
      <c r="P799" t="s">
        <v>264</v>
      </c>
      <c r="Q799" t="s">
        <v>265</v>
      </c>
      <c r="R799" t="s">
        <v>284</v>
      </c>
      <c r="S799" t="s">
        <v>285</v>
      </c>
      <c r="T799" t="s">
        <v>285</v>
      </c>
      <c r="U799" t="s">
        <v>286</v>
      </c>
      <c r="V799" t="s">
        <v>277</v>
      </c>
      <c r="W799" t="s">
        <v>21</v>
      </c>
      <c r="X799" t="s">
        <v>21</v>
      </c>
      <c r="Y799">
        <v>3415643</v>
      </c>
      <c r="Z799">
        <v>5020</v>
      </c>
    </row>
    <row r="800" spans="1:26" hidden="1" x14ac:dyDescent="0.25">
      <c r="A800">
        <f>COUNTIF($P$2:P800,P800)</f>
        <v>124</v>
      </c>
      <c r="B800">
        <f>COUNTIF($A$2:A800,1)</f>
        <v>24</v>
      </c>
      <c r="C800" t="str">
        <f t="shared" si="60"/>
        <v>TCA</v>
      </c>
      <c r="D800" t="str">
        <f t="shared" si="61"/>
        <v>TCAParent</v>
      </c>
      <c r="E800">
        <f>COUNTIF($R$2:R800,R800)</f>
        <v>47</v>
      </c>
      <c r="F800">
        <f>COUNTIF($E$2:E800,1)</f>
        <v>37</v>
      </c>
      <c r="G800" t="str">
        <f t="shared" si="62"/>
        <v>tca.services.pca</v>
      </c>
      <c r="H800" t="str">
        <f t="shared" si="63"/>
        <v>TCAtca.services.pcaParent</v>
      </c>
      <c r="I800" t="str">
        <f t="shared" si="64"/>
        <v>TCAtca.services.pcatca.merchant.id</v>
      </c>
      <c r="J800">
        <f>IF(I800="",0,COUNTIF($I$2:I800,I800))</f>
        <v>2</v>
      </c>
      <c r="K800">
        <f>COUNTIF($J$2:J800,1)</f>
        <v>131</v>
      </c>
      <c r="N800">
        <v>279</v>
      </c>
      <c r="O800" t="s">
        <v>15</v>
      </c>
      <c r="P800" t="s">
        <v>264</v>
      </c>
      <c r="Q800" t="s">
        <v>265</v>
      </c>
      <c r="R800" t="s">
        <v>284</v>
      </c>
      <c r="S800" t="s">
        <v>285</v>
      </c>
      <c r="T800" t="s">
        <v>285</v>
      </c>
      <c r="U800" t="s">
        <v>286</v>
      </c>
      <c r="V800" t="s">
        <v>277</v>
      </c>
      <c r="W800" t="s">
        <v>21</v>
      </c>
      <c r="X800" t="s">
        <v>21</v>
      </c>
      <c r="Y800">
        <v>3415643</v>
      </c>
      <c r="Z800">
        <v>5020</v>
      </c>
    </row>
    <row r="801" spans="1:26" hidden="1" x14ac:dyDescent="0.25">
      <c r="A801">
        <f>COUNTIF($P$2:P801,P801)</f>
        <v>125</v>
      </c>
      <c r="B801">
        <f>COUNTIF($A$2:A801,1)</f>
        <v>24</v>
      </c>
      <c r="C801" t="str">
        <f t="shared" si="60"/>
        <v>TCA</v>
      </c>
      <c r="D801" t="str">
        <f t="shared" si="61"/>
        <v>TCADevice</v>
      </c>
      <c r="E801">
        <f>COUNTIF($R$2:R801,R801)</f>
        <v>48</v>
      </c>
      <c r="F801">
        <f>COUNTIF($E$2:E801,1)</f>
        <v>37</v>
      </c>
      <c r="G801" t="str">
        <f t="shared" si="62"/>
        <v>tca.services.pca</v>
      </c>
      <c r="H801" t="str">
        <f t="shared" si="63"/>
        <v>TCAtca.services.pcaDevice</v>
      </c>
      <c r="I801" t="str">
        <f t="shared" si="64"/>
        <v>TCAtca.services.pcatca.merchant.id</v>
      </c>
      <c r="J801">
        <f>IF(I801="",0,COUNTIF($I$2:I801,I801))</f>
        <v>3</v>
      </c>
      <c r="K801">
        <f>COUNTIF($J$2:J801,1)</f>
        <v>131</v>
      </c>
      <c r="N801">
        <v>85</v>
      </c>
      <c r="O801" t="s">
        <v>31</v>
      </c>
      <c r="P801" t="s">
        <v>264</v>
      </c>
      <c r="Q801" t="s">
        <v>265</v>
      </c>
      <c r="R801" t="s">
        <v>284</v>
      </c>
      <c r="S801" t="s">
        <v>285</v>
      </c>
      <c r="T801" t="s">
        <v>285</v>
      </c>
      <c r="U801" t="s">
        <v>286</v>
      </c>
      <c r="V801" t="s">
        <v>277</v>
      </c>
      <c r="W801" t="s">
        <v>21</v>
      </c>
      <c r="X801" t="s">
        <v>21</v>
      </c>
      <c r="Y801">
        <v>3415643</v>
      </c>
      <c r="Z801">
        <v>5020</v>
      </c>
    </row>
    <row r="802" spans="1:26" hidden="1" x14ac:dyDescent="0.25">
      <c r="A802">
        <f>COUNTIF($P$2:P802,P802)</f>
        <v>126</v>
      </c>
      <c r="B802">
        <f>COUNTIF($A$2:A802,1)</f>
        <v>24</v>
      </c>
      <c r="C802" t="str">
        <f t="shared" si="60"/>
        <v>TCA</v>
      </c>
      <c r="D802" t="str">
        <f t="shared" si="61"/>
        <v>TCAParent</v>
      </c>
      <c r="E802">
        <f>COUNTIF($R$2:R802,R802)</f>
        <v>49</v>
      </c>
      <c r="F802">
        <f>COUNTIF($E$2:E802,1)</f>
        <v>37</v>
      </c>
      <c r="G802" t="str">
        <f t="shared" si="62"/>
        <v>tca.services.pca</v>
      </c>
      <c r="H802" t="str">
        <f t="shared" si="63"/>
        <v>TCAtca.services.pcaParent</v>
      </c>
      <c r="I802" t="str">
        <f t="shared" si="64"/>
        <v>TCAtca.services.pcatca.merchant.id</v>
      </c>
      <c r="J802">
        <f>IF(I802="",0,COUNTIF($I$2:I802,I802))</f>
        <v>4</v>
      </c>
      <c r="K802">
        <f>COUNTIF($J$2:J802,1)</f>
        <v>131</v>
      </c>
      <c r="N802">
        <v>1</v>
      </c>
      <c r="O802" t="s">
        <v>15</v>
      </c>
      <c r="P802" t="s">
        <v>264</v>
      </c>
      <c r="Q802" t="s">
        <v>265</v>
      </c>
      <c r="R802" t="s">
        <v>284</v>
      </c>
      <c r="S802" t="s">
        <v>285</v>
      </c>
      <c r="T802" t="s">
        <v>285</v>
      </c>
      <c r="U802" t="s">
        <v>286</v>
      </c>
      <c r="V802" t="s">
        <v>277</v>
      </c>
      <c r="W802" t="s">
        <v>21</v>
      </c>
      <c r="X802" t="s">
        <v>21</v>
      </c>
      <c r="Y802">
        <v>3415643</v>
      </c>
      <c r="Z802">
        <v>5020</v>
      </c>
    </row>
    <row r="803" spans="1:26" hidden="1" x14ac:dyDescent="0.25">
      <c r="A803">
        <f>COUNTIF($P$2:P803,P803)</f>
        <v>127</v>
      </c>
      <c r="B803">
        <f>COUNTIF($A$2:A803,1)</f>
        <v>24</v>
      </c>
      <c r="C803" t="str">
        <f t="shared" si="60"/>
        <v>TCA</v>
      </c>
      <c r="D803" t="str">
        <f t="shared" si="61"/>
        <v>TCADevice</v>
      </c>
      <c r="E803">
        <f>COUNTIF($R$2:R803,R803)</f>
        <v>50</v>
      </c>
      <c r="F803">
        <f>COUNTIF($E$2:E803,1)</f>
        <v>37</v>
      </c>
      <c r="G803" t="str">
        <f t="shared" si="62"/>
        <v>tca.services.pca</v>
      </c>
      <c r="H803" t="str">
        <f t="shared" si="63"/>
        <v>TCAtca.services.pcaDevice</v>
      </c>
      <c r="I803" t="str">
        <f t="shared" si="64"/>
        <v>TCAtca.services.pcatca.merchant.id</v>
      </c>
      <c r="J803">
        <f>IF(I803="",0,COUNTIF($I$2:I803,I803))</f>
        <v>5</v>
      </c>
      <c r="K803">
        <f>COUNTIF($J$2:J803,1)</f>
        <v>131</v>
      </c>
      <c r="N803">
        <v>45</v>
      </c>
      <c r="O803" t="s">
        <v>31</v>
      </c>
      <c r="P803" t="s">
        <v>264</v>
      </c>
      <c r="Q803" t="s">
        <v>265</v>
      </c>
      <c r="R803" t="s">
        <v>284</v>
      </c>
      <c r="S803" t="s">
        <v>285</v>
      </c>
      <c r="T803" t="s">
        <v>285</v>
      </c>
      <c r="U803" t="s">
        <v>286</v>
      </c>
      <c r="V803" t="s">
        <v>277</v>
      </c>
      <c r="W803" t="s">
        <v>21</v>
      </c>
      <c r="X803" t="s">
        <v>21</v>
      </c>
      <c r="Y803">
        <v>3415643</v>
      </c>
      <c r="Z803">
        <v>5020</v>
      </c>
    </row>
    <row r="804" spans="1:26" hidden="1" x14ac:dyDescent="0.25">
      <c r="A804">
        <f>COUNTIF($P$2:P804,P804)</f>
        <v>128</v>
      </c>
      <c r="B804">
        <f>COUNTIF($A$2:A804,1)</f>
        <v>24</v>
      </c>
      <c r="C804" t="str">
        <f t="shared" si="60"/>
        <v>TCA</v>
      </c>
      <c r="D804" t="str">
        <f t="shared" si="61"/>
        <v>TCAParent</v>
      </c>
      <c r="E804">
        <f>COUNTIF($R$2:R804,R804)</f>
        <v>51</v>
      </c>
      <c r="F804">
        <f>COUNTIF($E$2:E804,1)</f>
        <v>37</v>
      </c>
      <c r="G804" t="str">
        <f t="shared" si="62"/>
        <v>tca.services.pca</v>
      </c>
      <c r="H804" t="str">
        <f t="shared" si="63"/>
        <v>TCAtca.services.pcaParent</v>
      </c>
      <c r="I804" t="str">
        <f t="shared" si="64"/>
        <v>TCAtca.services.pcatca.merchant.id</v>
      </c>
      <c r="J804">
        <f>IF(I804="",0,COUNTIF($I$2:I804,I804))</f>
        <v>6</v>
      </c>
      <c r="K804">
        <f>COUNTIF($J$2:J804,1)</f>
        <v>131</v>
      </c>
      <c r="N804">
        <v>7</v>
      </c>
      <c r="O804" t="s">
        <v>15</v>
      </c>
      <c r="P804" t="s">
        <v>264</v>
      </c>
      <c r="Q804" t="s">
        <v>265</v>
      </c>
      <c r="R804" t="s">
        <v>284</v>
      </c>
      <c r="S804" t="s">
        <v>285</v>
      </c>
      <c r="T804" t="s">
        <v>285</v>
      </c>
      <c r="U804" t="s">
        <v>286</v>
      </c>
      <c r="V804" t="s">
        <v>277</v>
      </c>
      <c r="W804" t="s">
        <v>21</v>
      </c>
      <c r="X804" t="s">
        <v>21</v>
      </c>
      <c r="Y804">
        <v>3415643</v>
      </c>
      <c r="Z804">
        <v>5020</v>
      </c>
    </row>
    <row r="805" spans="1:26" hidden="1" x14ac:dyDescent="0.25">
      <c r="A805">
        <f>COUNTIF($P$2:P805,P805)</f>
        <v>129</v>
      </c>
      <c r="B805">
        <f>COUNTIF($A$2:A805,1)</f>
        <v>24</v>
      </c>
      <c r="C805" t="str">
        <f t="shared" si="60"/>
        <v>TCA</v>
      </c>
      <c r="D805" t="str">
        <f t="shared" si="61"/>
        <v>TCADevice</v>
      </c>
      <c r="E805">
        <f>COUNTIF($R$2:R805,R805)</f>
        <v>52</v>
      </c>
      <c r="F805">
        <f>COUNTIF($E$2:E805,1)</f>
        <v>37</v>
      </c>
      <c r="G805" t="str">
        <f t="shared" si="62"/>
        <v>tca.services.pca</v>
      </c>
      <c r="H805" t="str">
        <f t="shared" si="63"/>
        <v>TCAtca.services.pcaDevice</v>
      </c>
      <c r="I805" t="str">
        <f t="shared" si="64"/>
        <v>TCAtca.services.pcatca.merchant.id</v>
      </c>
      <c r="J805">
        <f>IF(I805="",0,COUNTIF($I$2:I805,I805))</f>
        <v>7</v>
      </c>
      <c r="K805">
        <f>COUNTIF($J$2:J805,1)</f>
        <v>131</v>
      </c>
      <c r="N805">
        <v>1</v>
      </c>
      <c r="O805" t="s">
        <v>31</v>
      </c>
      <c r="P805" t="s">
        <v>264</v>
      </c>
      <c r="Q805" t="s">
        <v>265</v>
      </c>
      <c r="R805" t="s">
        <v>284</v>
      </c>
      <c r="S805" t="s">
        <v>285</v>
      </c>
      <c r="T805" t="s">
        <v>285</v>
      </c>
      <c r="U805" t="s">
        <v>286</v>
      </c>
      <c r="V805" t="s">
        <v>277</v>
      </c>
      <c r="W805" t="s">
        <v>21</v>
      </c>
      <c r="X805" t="s">
        <v>21</v>
      </c>
      <c r="Y805">
        <v>3415643</v>
      </c>
      <c r="Z805">
        <v>5020</v>
      </c>
    </row>
    <row r="806" spans="1:26" hidden="1" x14ac:dyDescent="0.25">
      <c r="A806">
        <f>COUNTIF($P$2:P806,P806)</f>
        <v>130</v>
      </c>
      <c r="B806">
        <f>COUNTIF($A$2:A806,1)</f>
        <v>24</v>
      </c>
      <c r="C806" t="str">
        <f t="shared" si="60"/>
        <v>TCA</v>
      </c>
      <c r="D806" t="str">
        <f t="shared" si="61"/>
        <v>TCAParent</v>
      </c>
      <c r="E806">
        <f>COUNTIF($R$2:R806,R806)</f>
        <v>53</v>
      </c>
      <c r="F806">
        <f>COUNTIF($E$2:E806,1)</f>
        <v>37</v>
      </c>
      <c r="G806" t="str">
        <f t="shared" si="62"/>
        <v>tca.services.pca</v>
      </c>
      <c r="H806" t="str">
        <f t="shared" si="63"/>
        <v>TCAtca.services.pcaParent</v>
      </c>
      <c r="I806" t="str">
        <f t="shared" si="64"/>
        <v>TCAtca.services.pcatca.merchant.username</v>
      </c>
      <c r="J806">
        <f>IF(I806="",0,COUNTIF($I$2:I806,I806))</f>
        <v>1</v>
      </c>
      <c r="K806">
        <f>COUNTIF($J$2:J806,1)</f>
        <v>132</v>
      </c>
      <c r="N806">
        <v>1</v>
      </c>
      <c r="O806" t="s">
        <v>15</v>
      </c>
      <c r="P806" t="s">
        <v>264</v>
      </c>
      <c r="Q806" t="s">
        <v>265</v>
      </c>
      <c r="R806" t="s">
        <v>284</v>
      </c>
      <c r="S806" t="s">
        <v>285</v>
      </c>
      <c r="T806" t="s">
        <v>285</v>
      </c>
      <c r="U806" t="s">
        <v>286</v>
      </c>
      <c r="V806" t="s">
        <v>278</v>
      </c>
      <c r="W806" t="s">
        <v>21</v>
      </c>
      <c r="X806" t="s">
        <v>21</v>
      </c>
      <c r="Y806" t="s">
        <v>279</v>
      </c>
      <c r="Z806">
        <v>5021</v>
      </c>
    </row>
    <row r="807" spans="1:26" hidden="1" x14ac:dyDescent="0.25">
      <c r="A807">
        <f>COUNTIF($P$2:P807,P807)</f>
        <v>131</v>
      </c>
      <c r="B807">
        <f>COUNTIF($A$2:A807,1)</f>
        <v>24</v>
      </c>
      <c r="C807" t="str">
        <f t="shared" si="60"/>
        <v>TCA</v>
      </c>
      <c r="D807" t="str">
        <f t="shared" si="61"/>
        <v>TCADevice</v>
      </c>
      <c r="E807">
        <f>COUNTIF($R$2:R807,R807)</f>
        <v>54</v>
      </c>
      <c r="F807">
        <f>COUNTIF($E$2:E807,1)</f>
        <v>37</v>
      </c>
      <c r="G807" t="str">
        <f t="shared" si="62"/>
        <v>tca.services.pca</v>
      </c>
      <c r="H807" t="str">
        <f t="shared" si="63"/>
        <v>TCAtca.services.pcaDevice</v>
      </c>
      <c r="I807" t="str">
        <f t="shared" si="64"/>
        <v>TCAtca.services.pcatca.merchant.username</v>
      </c>
      <c r="J807">
        <f>IF(I807="",0,COUNTIF($I$2:I807,I807))</f>
        <v>2</v>
      </c>
      <c r="K807">
        <f>COUNTIF($J$2:J807,1)</f>
        <v>132</v>
      </c>
      <c r="N807">
        <v>1</v>
      </c>
      <c r="O807" t="s">
        <v>31</v>
      </c>
      <c r="P807" t="s">
        <v>264</v>
      </c>
      <c r="Q807" t="s">
        <v>265</v>
      </c>
      <c r="R807" t="s">
        <v>284</v>
      </c>
      <c r="S807" t="s">
        <v>285</v>
      </c>
      <c r="T807" t="s">
        <v>285</v>
      </c>
      <c r="U807" t="s">
        <v>286</v>
      </c>
      <c r="V807" t="s">
        <v>278</v>
      </c>
      <c r="W807" t="s">
        <v>21</v>
      </c>
      <c r="X807" t="s">
        <v>21</v>
      </c>
      <c r="Y807" t="s">
        <v>279</v>
      </c>
      <c r="Z807">
        <v>5021</v>
      </c>
    </row>
    <row r="808" spans="1:26" hidden="1" x14ac:dyDescent="0.25">
      <c r="A808">
        <f>COUNTIF($P$2:P808,P808)</f>
        <v>132</v>
      </c>
      <c r="B808">
        <f>COUNTIF($A$2:A808,1)</f>
        <v>24</v>
      </c>
      <c r="C808" t="str">
        <f t="shared" si="60"/>
        <v>TCA</v>
      </c>
      <c r="D808" t="str">
        <f t="shared" si="61"/>
        <v>TCADevice</v>
      </c>
      <c r="E808">
        <f>COUNTIF($R$2:R808,R808)</f>
        <v>55</v>
      </c>
      <c r="F808">
        <f>COUNTIF($E$2:E808,1)</f>
        <v>37</v>
      </c>
      <c r="G808" t="str">
        <f t="shared" si="62"/>
        <v>tca.services.pca</v>
      </c>
      <c r="H808" t="str">
        <f t="shared" si="63"/>
        <v>TCAtca.services.pcaDevice</v>
      </c>
      <c r="I808" t="str">
        <f t="shared" si="64"/>
        <v>TCAtca.services.pcatca.merchant.username</v>
      </c>
      <c r="J808">
        <f>IF(I808="",0,COUNTIF($I$2:I808,I808))</f>
        <v>3</v>
      </c>
      <c r="K808">
        <f>COUNTIF($J$2:J808,1)</f>
        <v>132</v>
      </c>
      <c r="N808">
        <v>45</v>
      </c>
      <c r="O808" t="s">
        <v>31</v>
      </c>
      <c r="P808" t="s">
        <v>264</v>
      </c>
      <c r="Q808" t="s">
        <v>265</v>
      </c>
      <c r="R808" t="s">
        <v>284</v>
      </c>
      <c r="S808" t="s">
        <v>285</v>
      </c>
      <c r="T808" t="s">
        <v>285</v>
      </c>
      <c r="U808" t="s">
        <v>286</v>
      </c>
      <c r="V808" t="s">
        <v>278</v>
      </c>
      <c r="W808" t="s">
        <v>21</v>
      </c>
      <c r="X808" t="s">
        <v>21</v>
      </c>
      <c r="Y808" t="s">
        <v>279</v>
      </c>
      <c r="Z808">
        <v>5021</v>
      </c>
    </row>
    <row r="809" spans="1:26" hidden="1" x14ac:dyDescent="0.25">
      <c r="A809">
        <f>COUNTIF($P$2:P809,P809)</f>
        <v>133</v>
      </c>
      <c r="B809">
        <f>COUNTIF($A$2:A809,1)</f>
        <v>24</v>
      </c>
      <c r="C809" t="str">
        <f t="shared" si="60"/>
        <v>TCA</v>
      </c>
      <c r="D809" t="str">
        <f t="shared" si="61"/>
        <v>TCAParent</v>
      </c>
      <c r="E809">
        <f>COUNTIF($R$2:R809,R809)</f>
        <v>56</v>
      </c>
      <c r="F809">
        <f>COUNTIF($E$2:E809,1)</f>
        <v>37</v>
      </c>
      <c r="G809" t="str">
        <f t="shared" si="62"/>
        <v>tca.services.pca</v>
      </c>
      <c r="H809" t="str">
        <f t="shared" si="63"/>
        <v>TCAtca.services.pcaParent</v>
      </c>
      <c r="I809" t="str">
        <f t="shared" si="64"/>
        <v>TCAtca.services.pcatca.merchant.username</v>
      </c>
      <c r="J809">
        <f>IF(I809="",0,COUNTIF($I$2:I809,I809))</f>
        <v>4</v>
      </c>
      <c r="K809">
        <f>COUNTIF($J$2:J809,1)</f>
        <v>132</v>
      </c>
      <c r="N809">
        <v>6</v>
      </c>
      <c r="O809" t="s">
        <v>15</v>
      </c>
      <c r="P809" t="s">
        <v>264</v>
      </c>
      <c r="Q809" t="s">
        <v>265</v>
      </c>
      <c r="R809" t="s">
        <v>284</v>
      </c>
      <c r="S809" t="s">
        <v>285</v>
      </c>
      <c r="T809" t="s">
        <v>285</v>
      </c>
      <c r="U809" t="s">
        <v>286</v>
      </c>
      <c r="V809" t="s">
        <v>278</v>
      </c>
      <c r="W809" t="s">
        <v>21</v>
      </c>
      <c r="X809" t="s">
        <v>21</v>
      </c>
      <c r="Y809" t="s">
        <v>279</v>
      </c>
      <c r="Z809">
        <v>5021</v>
      </c>
    </row>
    <row r="810" spans="1:26" hidden="1" x14ac:dyDescent="0.25">
      <c r="A810">
        <f>COUNTIF($P$2:P810,P810)</f>
        <v>134</v>
      </c>
      <c r="B810">
        <f>COUNTIF($A$2:A810,1)</f>
        <v>24</v>
      </c>
      <c r="C810" t="str">
        <f t="shared" si="60"/>
        <v>TCA</v>
      </c>
      <c r="D810" t="str">
        <f t="shared" si="61"/>
        <v>TCAParent</v>
      </c>
      <c r="E810">
        <f>COUNTIF($R$2:R810,R810)</f>
        <v>57</v>
      </c>
      <c r="F810">
        <f>COUNTIF($E$2:E810,1)</f>
        <v>37</v>
      </c>
      <c r="G810" t="str">
        <f t="shared" si="62"/>
        <v>tca.services.pca</v>
      </c>
      <c r="H810" t="str">
        <f t="shared" si="63"/>
        <v>TCAtca.services.pcaParent</v>
      </c>
      <c r="I810" t="str">
        <f t="shared" si="64"/>
        <v>TCAtca.services.pcatca.merchant.username</v>
      </c>
      <c r="J810">
        <f>IF(I810="",0,COUNTIF($I$2:I810,I810))</f>
        <v>5</v>
      </c>
      <c r="K810">
        <f>COUNTIF($J$2:J810,1)</f>
        <v>132</v>
      </c>
      <c r="N810">
        <v>279</v>
      </c>
      <c r="O810" t="s">
        <v>15</v>
      </c>
      <c r="P810" t="s">
        <v>264</v>
      </c>
      <c r="Q810" t="s">
        <v>265</v>
      </c>
      <c r="R810" t="s">
        <v>284</v>
      </c>
      <c r="S810" t="s">
        <v>285</v>
      </c>
      <c r="T810" t="s">
        <v>285</v>
      </c>
      <c r="U810" t="s">
        <v>286</v>
      </c>
      <c r="V810" t="s">
        <v>278</v>
      </c>
      <c r="W810" t="s">
        <v>21</v>
      </c>
      <c r="X810" t="s">
        <v>21</v>
      </c>
      <c r="Y810" t="s">
        <v>279</v>
      </c>
      <c r="Z810">
        <v>5021</v>
      </c>
    </row>
    <row r="811" spans="1:26" hidden="1" x14ac:dyDescent="0.25">
      <c r="A811">
        <f>COUNTIF($P$2:P811,P811)</f>
        <v>135</v>
      </c>
      <c r="B811">
        <f>COUNTIF($A$2:A811,1)</f>
        <v>24</v>
      </c>
      <c r="C811" t="str">
        <f t="shared" si="60"/>
        <v>TCA</v>
      </c>
      <c r="D811" t="str">
        <f t="shared" si="61"/>
        <v>TCADevice</v>
      </c>
      <c r="E811">
        <f>COUNTIF($R$2:R811,R811)</f>
        <v>58</v>
      </c>
      <c r="F811">
        <f>COUNTIF($E$2:E811,1)</f>
        <v>37</v>
      </c>
      <c r="G811" t="str">
        <f t="shared" si="62"/>
        <v>tca.services.pca</v>
      </c>
      <c r="H811" t="str">
        <f t="shared" si="63"/>
        <v>TCAtca.services.pcaDevice</v>
      </c>
      <c r="I811" t="str">
        <f t="shared" si="64"/>
        <v>TCAtca.services.pcatca.merchant.username</v>
      </c>
      <c r="J811">
        <f>IF(I811="",0,COUNTIF($I$2:I811,I811))</f>
        <v>6</v>
      </c>
      <c r="K811">
        <f>COUNTIF($J$2:J811,1)</f>
        <v>132</v>
      </c>
      <c r="N811">
        <v>1</v>
      </c>
      <c r="O811" t="s">
        <v>31</v>
      </c>
      <c r="P811" t="s">
        <v>264</v>
      </c>
      <c r="Q811" t="s">
        <v>265</v>
      </c>
      <c r="R811" t="s">
        <v>284</v>
      </c>
      <c r="S811" t="s">
        <v>285</v>
      </c>
      <c r="T811" t="s">
        <v>285</v>
      </c>
      <c r="U811" t="s">
        <v>286</v>
      </c>
      <c r="V811" t="s">
        <v>278</v>
      </c>
      <c r="W811" t="s">
        <v>21</v>
      </c>
      <c r="X811" t="s">
        <v>21</v>
      </c>
      <c r="Y811" t="s">
        <v>279</v>
      </c>
      <c r="Z811">
        <v>5021</v>
      </c>
    </row>
    <row r="812" spans="1:26" hidden="1" x14ac:dyDescent="0.25">
      <c r="A812">
        <f>COUNTIF($P$2:P812,P812)</f>
        <v>136</v>
      </c>
      <c r="B812">
        <f>COUNTIF($A$2:A812,1)</f>
        <v>24</v>
      </c>
      <c r="C812" t="str">
        <f t="shared" si="60"/>
        <v>TCA</v>
      </c>
      <c r="D812" t="str">
        <f t="shared" si="61"/>
        <v>TCADevice</v>
      </c>
      <c r="E812">
        <f>COUNTIF($R$2:R812,R812)</f>
        <v>59</v>
      </c>
      <c r="F812">
        <f>COUNTIF($E$2:E812,1)</f>
        <v>37</v>
      </c>
      <c r="G812" t="str">
        <f t="shared" si="62"/>
        <v>tca.services.pca</v>
      </c>
      <c r="H812" t="str">
        <f t="shared" si="63"/>
        <v>TCAtca.services.pcaDevice</v>
      </c>
      <c r="I812" t="str">
        <f t="shared" si="64"/>
        <v>TCAtca.services.pcatca.merchant.username</v>
      </c>
      <c r="J812">
        <f>IF(I812="",0,COUNTIF($I$2:I812,I812))</f>
        <v>7</v>
      </c>
      <c r="K812">
        <f>COUNTIF($J$2:J812,1)</f>
        <v>132</v>
      </c>
      <c r="N812">
        <v>85</v>
      </c>
      <c r="O812" t="s">
        <v>31</v>
      </c>
      <c r="P812" t="s">
        <v>264</v>
      </c>
      <c r="Q812" t="s">
        <v>265</v>
      </c>
      <c r="R812" t="s">
        <v>284</v>
      </c>
      <c r="S812" t="s">
        <v>285</v>
      </c>
      <c r="T812" t="s">
        <v>285</v>
      </c>
      <c r="U812" t="s">
        <v>286</v>
      </c>
      <c r="V812" t="s">
        <v>278</v>
      </c>
      <c r="W812" t="s">
        <v>21</v>
      </c>
      <c r="X812" t="s">
        <v>21</v>
      </c>
      <c r="Y812" t="s">
        <v>279</v>
      </c>
      <c r="Z812">
        <v>5021</v>
      </c>
    </row>
    <row r="813" spans="1:26" hidden="1" x14ac:dyDescent="0.25">
      <c r="A813">
        <f>COUNTIF($P$2:P813,P813)</f>
        <v>137</v>
      </c>
      <c r="B813">
        <f>COUNTIF($A$2:A813,1)</f>
        <v>24</v>
      </c>
      <c r="C813" t="str">
        <f t="shared" si="60"/>
        <v>TCA</v>
      </c>
      <c r="D813" t="str">
        <f t="shared" si="61"/>
        <v>TCAParent</v>
      </c>
      <c r="E813">
        <f>COUNTIF($R$2:R813,R813)</f>
        <v>60</v>
      </c>
      <c r="F813">
        <f>COUNTIF($E$2:E813,1)</f>
        <v>37</v>
      </c>
      <c r="G813" t="str">
        <f t="shared" si="62"/>
        <v>tca.services.pca</v>
      </c>
      <c r="H813" t="str">
        <f t="shared" si="63"/>
        <v>TCAtca.services.pcaParent</v>
      </c>
      <c r="I813" t="str">
        <f t="shared" si="64"/>
        <v/>
      </c>
      <c r="J813">
        <f>IF(I813="",0,COUNTIF($I$2:I813,I813))</f>
        <v>0</v>
      </c>
      <c r="K813">
        <f>COUNTIF($J$2:J813,1)</f>
        <v>132</v>
      </c>
      <c r="N813">
        <v>35</v>
      </c>
      <c r="O813" t="s">
        <v>15</v>
      </c>
      <c r="P813" t="s">
        <v>264</v>
      </c>
      <c r="Q813" t="s">
        <v>265</v>
      </c>
      <c r="R813" t="s">
        <v>284</v>
      </c>
      <c r="S813" t="s">
        <v>285</v>
      </c>
      <c r="T813" t="s">
        <v>285</v>
      </c>
      <c r="U813" t="s">
        <v>286</v>
      </c>
      <c r="W813" t="s">
        <v>22</v>
      </c>
    </row>
    <row r="814" spans="1:26" hidden="1" x14ac:dyDescent="0.25">
      <c r="A814">
        <f>COUNTIF($P$2:P814,P814)</f>
        <v>138</v>
      </c>
      <c r="B814">
        <f>COUNTIF($A$2:A814,1)</f>
        <v>24</v>
      </c>
      <c r="C814" t="str">
        <f t="shared" si="60"/>
        <v>TCA</v>
      </c>
      <c r="D814" t="str">
        <f t="shared" si="61"/>
        <v>TCADevice</v>
      </c>
      <c r="E814">
        <f>COUNTIF($R$2:R814,R814)</f>
        <v>61</v>
      </c>
      <c r="F814">
        <f>COUNTIF($E$2:E814,1)</f>
        <v>37</v>
      </c>
      <c r="G814" t="str">
        <f t="shared" si="62"/>
        <v>tca.services.pca</v>
      </c>
      <c r="H814" t="str">
        <f t="shared" si="63"/>
        <v>TCAtca.services.pcaDevice</v>
      </c>
      <c r="I814" t="str">
        <f t="shared" si="64"/>
        <v/>
      </c>
      <c r="J814">
        <f>IF(I814="",0,COUNTIF($I$2:I814,I814))</f>
        <v>0</v>
      </c>
      <c r="K814">
        <f>COUNTIF($J$2:J814,1)</f>
        <v>132</v>
      </c>
      <c r="N814">
        <v>1</v>
      </c>
      <c r="O814" t="s">
        <v>31</v>
      </c>
      <c r="P814" t="s">
        <v>264</v>
      </c>
      <c r="Q814" t="s">
        <v>265</v>
      </c>
      <c r="R814" t="s">
        <v>284</v>
      </c>
      <c r="S814" t="s">
        <v>285</v>
      </c>
      <c r="T814" t="s">
        <v>285</v>
      </c>
      <c r="U814" t="s">
        <v>286</v>
      </c>
      <c r="W814" t="s">
        <v>22</v>
      </c>
    </row>
    <row r="815" spans="1:26" hidden="1" x14ac:dyDescent="0.25">
      <c r="A815">
        <f>COUNTIF($P$2:P815,P815)</f>
        <v>139</v>
      </c>
      <c r="B815">
        <f>COUNTIF($A$2:A815,1)</f>
        <v>24</v>
      </c>
      <c r="C815" t="str">
        <f t="shared" si="60"/>
        <v>TCA</v>
      </c>
      <c r="D815" t="str">
        <f t="shared" si="61"/>
        <v>TCAIntegrator</v>
      </c>
      <c r="E815">
        <f>COUNTIF($R$2:R815,R815)</f>
        <v>62</v>
      </c>
      <c r="F815">
        <f>COUNTIF($E$2:E815,1)</f>
        <v>37</v>
      </c>
      <c r="G815" t="str">
        <f t="shared" si="62"/>
        <v>tca.services.pca</v>
      </c>
      <c r="H815" t="str">
        <f t="shared" si="63"/>
        <v>TCAtca.services.pcaIntegrator</v>
      </c>
      <c r="I815" t="str">
        <f t="shared" si="64"/>
        <v/>
      </c>
      <c r="J815">
        <f>IF(I815="",0,COUNTIF($I$2:I815,I815))</f>
        <v>0</v>
      </c>
      <c r="K815">
        <f>COUNTIF($J$2:J815,1)</f>
        <v>132</v>
      </c>
      <c r="N815">
        <v>34</v>
      </c>
      <c r="O815" t="s">
        <v>23</v>
      </c>
      <c r="P815" t="s">
        <v>264</v>
      </c>
      <c r="Q815" t="s">
        <v>265</v>
      </c>
      <c r="R815" t="s">
        <v>284</v>
      </c>
      <c r="S815" t="s">
        <v>285</v>
      </c>
      <c r="T815" t="s">
        <v>285</v>
      </c>
      <c r="U815" t="s">
        <v>286</v>
      </c>
      <c r="W815" t="s">
        <v>22</v>
      </c>
    </row>
    <row r="816" spans="1:26" hidden="1" x14ac:dyDescent="0.25">
      <c r="A816">
        <f>COUNTIF($P$2:P816,P816)</f>
        <v>140</v>
      </c>
      <c r="B816">
        <f>COUNTIF($A$2:A816,1)</f>
        <v>24</v>
      </c>
      <c r="C816" t="str">
        <f t="shared" si="60"/>
        <v>TCA</v>
      </c>
      <c r="D816" t="str">
        <f t="shared" si="61"/>
        <v>TCADevice</v>
      </c>
      <c r="E816">
        <f>COUNTIF($R$2:R816,R816)</f>
        <v>63</v>
      </c>
      <c r="F816">
        <f>COUNTIF($E$2:E816,1)</f>
        <v>37</v>
      </c>
      <c r="G816" t="str">
        <f t="shared" si="62"/>
        <v>tca.services.pca</v>
      </c>
      <c r="H816" t="str">
        <f t="shared" si="63"/>
        <v>TCAtca.services.pcaDevice</v>
      </c>
      <c r="I816" t="str">
        <f t="shared" si="64"/>
        <v/>
      </c>
      <c r="J816">
        <f>IF(I816="",0,COUNTIF($I$2:I816,I816))</f>
        <v>0</v>
      </c>
      <c r="K816">
        <f>COUNTIF($J$2:J816,1)</f>
        <v>132</v>
      </c>
      <c r="N816">
        <v>48</v>
      </c>
      <c r="O816" t="s">
        <v>31</v>
      </c>
      <c r="P816" t="s">
        <v>264</v>
      </c>
      <c r="Q816" t="s">
        <v>265</v>
      </c>
      <c r="R816" t="s">
        <v>284</v>
      </c>
      <c r="S816" t="s">
        <v>285</v>
      </c>
      <c r="T816" t="s">
        <v>285</v>
      </c>
      <c r="U816" t="s">
        <v>286</v>
      </c>
      <c r="W816" t="s">
        <v>22</v>
      </c>
    </row>
    <row r="817" spans="1:26" hidden="1" x14ac:dyDescent="0.25">
      <c r="A817">
        <f>COUNTIF($P$2:P817,P817)</f>
        <v>141</v>
      </c>
      <c r="B817">
        <f>COUNTIF($A$2:A817,1)</f>
        <v>24</v>
      </c>
      <c r="C817" t="str">
        <f t="shared" si="60"/>
        <v>TCA</v>
      </c>
      <c r="D817" t="str">
        <f t="shared" si="61"/>
        <v>TCADevice</v>
      </c>
      <c r="E817">
        <f>COUNTIF($R$2:R817,R817)</f>
        <v>64</v>
      </c>
      <c r="F817">
        <f>COUNTIF($E$2:E817,1)</f>
        <v>37</v>
      </c>
      <c r="G817" t="str">
        <f t="shared" si="62"/>
        <v>tca.services.pca</v>
      </c>
      <c r="H817" t="str">
        <f t="shared" si="63"/>
        <v>TCAtca.services.pcaDevice</v>
      </c>
      <c r="I817" t="str">
        <f t="shared" si="64"/>
        <v/>
      </c>
      <c r="J817">
        <f>IF(I817="",0,COUNTIF($I$2:I817,I817))</f>
        <v>0</v>
      </c>
      <c r="K817">
        <f>COUNTIF($J$2:J817,1)</f>
        <v>132</v>
      </c>
      <c r="N817">
        <v>70</v>
      </c>
      <c r="O817" t="s">
        <v>31</v>
      </c>
      <c r="P817" t="s">
        <v>264</v>
      </c>
      <c r="Q817" t="s">
        <v>265</v>
      </c>
      <c r="R817" t="s">
        <v>284</v>
      </c>
      <c r="S817" t="s">
        <v>285</v>
      </c>
      <c r="T817" t="s">
        <v>285</v>
      </c>
      <c r="U817" t="s">
        <v>286</v>
      </c>
      <c r="W817" t="s">
        <v>22</v>
      </c>
    </row>
    <row r="818" spans="1:26" hidden="1" x14ac:dyDescent="0.25">
      <c r="A818">
        <f>COUNTIF($P$2:P818,P818)</f>
        <v>142</v>
      </c>
      <c r="B818">
        <f>COUNTIF($A$2:A818,1)</f>
        <v>24</v>
      </c>
      <c r="C818" t="str">
        <f t="shared" si="60"/>
        <v>TCA</v>
      </c>
      <c r="D818" t="str">
        <f t="shared" si="61"/>
        <v>TCAParent</v>
      </c>
      <c r="E818">
        <f>COUNTIF($R$2:R818,R818)</f>
        <v>65</v>
      </c>
      <c r="F818">
        <f>COUNTIF($E$2:E818,1)</f>
        <v>37</v>
      </c>
      <c r="G818" t="str">
        <f t="shared" si="62"/>
        <v>tca.services.pca</v>
      </c>
      <c r="H818" t="str">
        <f t="shared" si="63"/>
        <v>TCAtca.services.pcaParent</v>
      </c>
      <c r="I818" t="str">
        <f t="shared" si="64"/>
        <v/>
      </c>
      <c r="J818">
        <f>IF(I818="",0,COUNTIF($I$2:I818,I818))</f>
        <v>0</v>
      </c>
      <c r="K818">
        <f>COUNTIF($J$2:J818,1)</f>
        <v>132</v>
      </c>
      <c r="N818">
        <v>265</v>
      </c>
      <c r="O818" t="s">
        <v>15</v>
      </c>
      <c r="P818" t="s">
        <v>264</v>
      </c>
      <c r="Q818" t="s">
        <v>265</v>
      </c>
      <c r="R818" t="s">
        <v>284</v>
      </c>
      <c r="S818" t="s">
        <v>285</v>
      </c>
      <c r="T818" t="s">
        <v>285</v>
      </c>
      <c r="U818" t="s">
        <v>286</v>
      </c>
      <c r="W818" t="s">
        <v>22</v>
      </c>
    </row>
    <row r="819" spans="1:26" hidden="1" x14ac:dyDescent="0.25">
      <c r="A819">
        <f>COUNTIF($P$2:P819,P819)</f>
        <v>143</v>
      </c>
      <c r="B819">
        <f>COUNTIF($A$2:A819,1)</f>
        <v>24</v>
      </c>
      <c r="C819" t="str">
        <f t="shared" si="60"/>
        <v>TCA</v>
      </c>
      <c r="D819" t="str">
        <f t="shared" si="61"/>
        <v>TCAParent</v>
      </c>
      <c r="E819">
        <f>COUNTIF($R$2:R819,R819)</f>
        <v>66</v>
      </c>
      <c r="F819">
        <f>COUNTIF($E$2:E819,1)</f>
        <v>37</v>
      </c>
      <c r="G819" t="str">
        <f t="shared" si="62"/>
        <v>tca.services.pca</v>
      </c>
      <c r="H819" t="str">
        <f t="shared" si="63"/>
        <v>TCAtca.services.pcaParent</v>
      </c>
      <c r="I819" t="str">
        <f t="shared" si="64"/>
        <v/>
      </c>
      <c r="J819">
        <f>IF(I819="",0,COUNTIF($I$2:I819,I819))</f>
        <v>0</v>
      </c>
      <c r="K819">
        <f>COUNTIF($J$2:J819,1)</f>
        <v>132</v>
      </c>
      <c r="N819">
        <v>1</v>
      </c>
      <c r="O819" t="s">
        <v>15</v>
      </c>
      <c r="P819" t="s">
        <v>264</v>
      </c>
      <c r="Q819" t="s">
        <v>265</v>
      </c>
      <c r="R819" t="s">
        <v>284</v>
      </c>
      <c r="S819" t="s">
        <v>285</v>
      </c>
      <c r="T819" t="s">
        <v>285</v>
      </c>
      <c r="U819" t="s">
        <v>286</v>
      </c>
      <c r="W819" t="s">
        <v>22</v>
      </c>
    </row>
    <row r="820" spans="1:26" hidden="1" x14ac:dyDescent="0.25">
      <c r="A820">
        <f>COUNTIF($P$2:P820,P820)</f>
        <v>144</v>
      </c>
      <c r="B820">
        <f>COUNTIF($A$2:A820,1)</f>
        <v>24</v>
      </c>
      <c r="C820" t="str">
        <f t="shared" si="60"/>
        <v>TCA</v>
      </c>
      <c r="D820" t="str">
        <f t="shared" si="61"/>
        <v>TCADevice</v>
      </c>
      <c r="E820">
        <f>COUNTIF($R$2:R820,R820)</f>
        <v>67</v>
      </c>
      <c r="F820">
        <f>COUNTIF($E$2:E820,1)</f>
        <v>37</v>
      </c>
      <c r="G820" t="str">
        <f t="shared" si="62"/>
        <v>tca.services.pca</v>
      </c>
      <c r="H820" t="str">
        <f t="shared" si="63"/>
        <v>TCAtca.services.pcaDevice</v>
      </c>
      <c r="I820" t="str">
        <f t="shared" si="64"/>
        <v/>
      </c>
      <c r="J820">
        <f>IF(I820="",0,COUNTIF($I$2:I820,I820))</f>
        <v>0</v>
      </c>
      <c r="K820">
        <f>COUNTIF($J$2:J820,1)</f>
        <v>132</v>
      </c>
      <c r="N820">
        <v>1</v>
      </c>
      <c r="O820" t="s">
        <v>31</v>
      </c>
      <c r="P820" t="s">
        <v>264</v>
      </c>
      <c r="Q820" t="s">
        <v>265</v>
      </c>
      <c r="R820" t="s">
        <v>284</v>
      </c>
      <c r="S820" t="s">
        <v>285</v>
      </c>
      <c r="T820" t="s">
        <v>285</v>
      </c>
      <c r="U820" t="s">
        <v>286</v>
      </c>
      <c r="W820" t="s">
        <v>21</v>
      </c>
    </row>
    <row r="821" spans="1:26" hidden="1" x14ac:dyDescent="0.25">
      <c r="A821">
        <f>COUNTIF($P$2:P821,P821)</f>
        <v>145</v>
      </c>
      <c r="B821">
        <f>COUNTIF($A$2:A821,1)</f>
        <v>24</v>
      </c>
      <c r="C821" t="str">
        <f t="shared" si="60"/>
        <v>TCA</v>
      </c>
      <c r="D821" t="str">
        <f t="shared" si="61"/>
        <v>TCAParent</v>
      </c>
      <c r="E821">
        <f>COUNTIF($R$2:R821,R821)</f>
        <v>68</v>
      </c>
      <c r="F821">
        <f>COUNTIF($E$2:E821,1)</f>
        <v>37</v>
      </c>
      <c r="G821" t="str">
        <f t="shared" si="62"/>
        <v>tca.services.pca</v>
      </c>
      <c r="H821" t="str">
        <f t="shared" si="63"/>
        <v>TCAtca.services.pcaParent</v>
      </c>
      <c r="I821" t="str">
        <f t="shared" si="64"/>
        <v/>
      </c>
      <c r="J821">
        <f>IF(I821="",0,COUNTIF($I$2:I821,I821))</f>
        <v>0</v>
      </c>
      <c r="K821">
        <f>COUNTIF($J$2:J821,1)</f>
        <v>132</v>
      </c>
      <c r="N821">
        <v>42</v>
      </c>
      <c r="O821" t="s">
        <v>15</v>
      </c>
      <c r="P821" t="s">
        <v>264</v>
      </c>
      <c r="Q821" t="s">
        <v>265</v>
      </c>
      <c r="R821" t="s">
        <v>284</v>
      </c>
      <c r="S821" t="s">
        <v>285</v>
      </c>
      <c r="T821" t="s">
        <v>285</v>
      </c>
      <c r="U821" t="s">
        <v>286</v>
      </c>
      <c r="W821" t="s">
        <v>21</v>
      </c>
    </row>
    <row r="822" spans="1:26" hidden="1" x14ac:dyDescent="0.25">
      <c r="A822">
        <f>COUNTIF($P$2:P822,P822)</f>
        <v>146</v>
      </c>
      <c r="B822">
        <f>COUNTIF($A$2:A822,1)</f>
        <v>24</v>
      </c>
      <c r="C822" t="str">
        <f t="shared" si="60"/>
        <v>TCA</v>
      </c>
      <c r="D822" t="str">
        <f t="shared" si="61"/>
        <v>TCAIntegrator</v>
      </c>
      <c r="E822">
        <f>COUNTIF($R$2:R822,R822)</f>
        <v>69</v>
      </c>
      <c r="F822">
        <f>COUNTIF($E$2:E822,1)</f>
        <v>37</v>
      </c>
      <c r="G822" t="str">
        <f t="shared" si="62"/>
        <v>tca.services.pca</v>
      </c>
      <c r="H822" t="str">
        <f t="shared" si="63"/>
        <v>TCAtca.services.pcaIntegrator</v>
      </c>
      <c r="I822" t="str">
        <f t="shared" si="64"/>
        <v/>
      </c>
      <c r="J822">
        <f>IF(I822="",0,COUNTIF($I$2:I822,I822))</f>
        <v>0</v>
      </c>
      <c r="K822">
        <f>COUNTIF($J$2:J822,1)</f>
        <v>132</v>
      </c>
      <c r="N822">
        <v>26</v>
      </c>
      <c r="O822" t="s">
        <v>23</v>
      </c>
      <c r="P822" t="s">
        <v>264</v>
      </c>
      <c r="Q822" t="s">
        <v>265</v>
      </c>
      <c r="R822" t="s">
        <v>284</v>
      </c>
      <c r="S822" t="s">
        <v>285</v>
      </c>
      <c r="T822" t="s">
        <v>285</v>
      </c>
      <c r="U822" t="s">
        <v>286</v>
      </c>
      <c r="W822" t="s">
        <v>21</v>
      </c>
    </row>
    <row r="823" spans="1:26" hidden="1" x14ac:dyDescent="0.25">
      <c r="A823">
        <f>COUNTIF($P$2:P823,P823)</f>
        <v>147</v>
      </c>
      <c r="B823">
        <f>COUNTIF($A$2:A823,1)</f>
        <v>24</v>
      </c>
      <c r="C823" t="str">
        <f t="shared" si="60"/>
        <v>TCA</v>
      </c>
      <c r="D823" t="str">
        <f t="shared" si="61"/>
        <v>TCAParent</v>
      </c>
      <c r="E823">
        <f>COUNTIF($R$2:R823,R823)</f>
        <v>70</v>
      </c>
      <c r="F823">
        <f>COUNTIF($E$2:E823,1)</f>
        <v>37</v>
      </c>
      <c r="G823" t="str">
        <f t="shared" si="62"/>
        <v>tca.services.pca</v>
      </c>
      <c r="H823" t="str">
        <f t="shared" si="63"/>
        <v>TCAtca.services.pcaParent</v>
      </c>
      <c r="I823" t="str">
        <f t="shared" si="64"/>
        <v/>
      </c>
      <c r="J823">
        <f>IF(I823="",0,COUNTIF($I$2:I823,I823))</f>
        <v>0</v>
      </c>
      <c r="K823">
        <f>COUNTIF($J$2:J823,1)</f>
        <v>132</v>
      </c>
      <c r="N823">
        <v>2</v>
      </c>
      <c r="O823" t="s">
        <v>15</v>
      </c>
      <c r="P823" t="s">
        <v>264</v>
      </c>
      <c r="Q823" t="s">
        <v>265</v>
      </c>
      <c r="R823" t="s">
        <v>284</v>
      </c>
      <c r="S823" t="s">
        <v>285</v>
      </c>
      <c r="T823" t="s">
        <v>285</v>
      </c>
      <c r="U823" t="s">
        <v>286</v>
      </c>
      <c r="W823" t="s">
        <v>21</v>
      </c>
    </row>
    <row r="824" spans="1:26" hidden="1" x14ac:dyDescent="0.25">
      <c r="A824">
        <f>COUNTIF($P$2:P824,P824)</f>
        <v>148</v>
      </c>
      <c r="B824">
        <f>COUNTIF($A$2:A824,1)</f>
        <v>24</v>
      </c>
      <c r="C824" t="str">
        <f t="shared" si="60"/>
        <v>TCA</v>
      </c>
      <c r="D824" t="str">
        <f t="shared" si="61"/>
        <v>TCADevice</v>
      </c>
      <c r="E824">
        <f>COUNTIF($R$2:R824,R824)</f>
        <v>71</v>
      </c>
      <c r="F824">
        <f>COUNTIF($E$2:E824,1)</f>
        <v>37</v>
      </c>
      <c r="G824" t="str">
        <f t="shared" si="62"/>
        <v>tca.services.pca</v>
      </c>
      <c r="H824" t="str">
        <f t="shared" si="63"/>
        <v>TCAtca.services.pcaDevice</v>
      </c>
      <c r="I824" t="str">
        <f t="shared" si="64"/>
        <v/>
      </c>
      <c r="J824">
        <f>IF(I824="",0,COUNTIF($I$2:I824,I824))</f>
        <v>0</v>
      </c>
      <c r="K824">
        <f>COUNTIF($J$2:J824,1)</f>
        <v>132</v>
      </c>
      <c r="N824">
        <v>4</v>
      </c>
      <c r="O824" t="s">
        <v>31</v>
      </c>
      <c r="P824" t="s">
        <v>264</v>
      </c>
      <c r="Q824" t="s">
        <v>265</v>
      </c>
      <c r="R824" t="s">
        <v>284</v>
      </c>
      <c r="S824" t="s">
        <v>285</v>
      </c>
      <c r="T824" t="s">
        <v>285</v>
      </c>
      <c r="U824" t="s">
        <v>286</v>
      </c>
      <c r="W824" t="s">
        <v>21</v>
      </c>
    </row>
    <row r="825" spans="1:26" hidden="1" x14ac:dyDescent="0.25">
      <c r="A825">
        <f>COUNTIF($P$2:P825,P825)</f>
        <v>149</v>
      </c>
      <c r="B825">
        <f>COUNTIF($A$2:A825,1)</f>
        <v>24</v>
      </c>
      <c r="C825" t="str">
        <f t="shared" si="60"/>
        <v>TCA</v>
      </c>
      <c r="D825" t="str">
        <f t="shared" si="61"/>
        <v>TCADevice</v>
      </c>
      <c r="E825">
        <f>COUNTIF($R$2:R825,R825)</f>
        <v>72</v>
      </c>
      <c r="F825">
        <f>COUNTIF($E$2:E825,1)</f>
        <v>37</v>
      </c>
      <c r="G825" t="str">
        <f t="shared" si="62"/>
        <v>tca.services.pca</v>
      </c>
      <c r="H825" t="str">
        <f t="shared" si="63"/>
        <v>TCAtca.services.pcaDevice</v>
      </c>
      <c r="I825" t="str">
        <f t="shared" si="64"/>
        <v/>
      </c>
      <c r="J825">
        <f>IF(I825="",0,COUNTIF($I$2:I825,I825))</f>
        <v>0</v>
      </c>
      <c r="K825">
        <f>COUNTIF($J$2:J825,1)</f>
        <v>132</v>
      </c>
      <c r="N825">
        <v>44</v>
      </c>
      <c r="O825" t="s">
        <v>31</v>
      </c>
      <c r="P825" t="s">
        <v>264</v>
      </c>
      <c r="Q825" t="s">
        <v>265</v>
      </c>
      <c r="R825" t="s">
        <v>284</v>
      </c>
      <c r="S825" t="s">
        <v>285</v>
      </c>
      <c r="T825" t="s">
        <v>285</v>
      </c>
      <c r="U825" t="s">
        <v>286</v>
      </c>
      <c r="W825" t="s">
        <v>21</v>
      </c>
    </row>
    <row r="826" spans="1:26" hidden="1" x14ac:dyDescent="0.25">
      <c r="A826">
        <f>COUNTIF($P$2:P826,P826)</f>
        <v>150</v>
      </c>
      <c r="B826">
        <f>COUNTIF($A$2:A826,1)</f>
        <v>24</v>
      </c>
      <c r="C826" t="str">
        <f t="shared" si="60"/>
        <v>TCA</v>
      </c>
      <c r="D826" t="str">
        <f t="shared" si="61"/>
        <v>TCAParent</v>
      </c>
      <c r="E826">
        <f>COUNTIF($R$2:R826,R826)</f>
        <v>73</v>
      </c>
      <c r="F826">
        <f>COUNTIF($E$2:E826,1)</f>
        <v>37</v>
      </c>
      <c r="G826" t="str">
        <f t="shared" si="62"/>
        <v>tca.services.pca</v>
      </c>
      <c r="H826" t="str">
        <f t="shared" si="63"/>
        <v>TCAtca.services.pcaParent</v>
      </c>
      <c r="I826" t="str">
        <f t="shared" si="64"/>
        <v/>
      </c>
      <c r="J826">
        <f>IF(I826="",0,COUNTIF($I$2:I826,I826))</f>
        <v>0</v>
      </c>
      <c r="K826">
        <f>COUNTIF($J$2:J826,1)</f>
        <v>132</v>
      </c>
      <c r="N826">
        <v>3</v>
      </c>
      <c r="O826" t="s">
        <v>15</v>
      </c>
      <c r="P826" t="s">
        <v>264</v>
      </c>
      <c r="Q826" t="s">
        <v>265</v>
      </c>
      <c r="R826" t="s">
        <v>284</v>
      </c>
      <c r="S826" t="s">
        <v>285</v>
      </c>
      <c r="T826" t="s">
        <v>285</v>
      </c>
      <c r="U826" t="s">
        <v>286</v>
      </c>
      <c r="W826" t="s">
        <v>21</v>
      </c>
    </row>
    <row r="827" spans="1:26" hidden="1" x14ac:dyDescent="0.25">
      <c r="A827">
        <f>COUNTIF($P$2:P827,P827)</f>
        <v>151</v>
      </c>
      <c r="B827">
        <f>COUNTIF($A$2:A827,1)</f>
        <v>24</v>
      </c>
      <c r="C827" t="str">
        <f t="shared" si="60"/>
        <v>TCA</v>
      </c>
      <c r="D827" t="str">
        <f t="shared" si="61"/>
        <v>TCAParent</v>
      </c>
      <c r="E827">
        <f>COUNTIF($R$2:R827,R827)</f>
        <v>74</v>
      </c>
      <c r="F827">
        <f>COUNTIF($E$2:E827,1)</f>
        <v>37</v>
      </c>
      <c r="G827" t="str">
        <f t="shared" si="62"/>
        <v>tca.services.pca</v>
      </c>
      <c r="H827" t="str">
        <f t="shared" si="63"/>
        <v>TCAtca.services.pcaParent</v>
      </c>
      <c r="I827" t="str">
        <f t="shared" si="64"/>
        <v/>
      </c>
      <c r="J827">
        <f>IF(I827="",0,COUNTIF($I$2:I827,I827))</f>
        <v>0</v>
      </c>
      <c r="K827">
        <f>COUNTIF($J$2:J827,1)</f>
        <v>132</v>
      </c>
      <c r="N827">
        <v>1</v>
      </c>
      <c r="O827" t="s">
        <v>15</v>
      </c>
      <c r="P827" t="s">
        <v>264</v>
      </c>
      <c r="Q827" t="s">
        <v>265</v>
      </c>
      <c r="R827" t="s">
        <v>284</v>
      </c>
      <c r="S827" t="s">
        <v>285</v>
      </c>
      <c r="T827" t="s">
        <v>285</v>
      </c>
      <c r="U827" t="s">
        <v>286</v>
      </c>
      <c r="W827" t="s">
        <v>21</v>
      </c>
    </row>
    <row r="828" spans="1:26" hidden="1" x14ac:dyDescent="0.25">
      <c r="A828">
        <f>COUNTIF($P$2:P828,P828)</f>
        <v>152</v>
      </c>
      <c r="B828">
        <f>COUNTIF($A$2:A828,1)</f>
        <v>24</v>
      </c>
      <c r="C828" t="str">
        <f t="shared" si="60"/>
        <v>TCA</v>
      </c>
      <c r="D828" t="str">
        <f t="shared" si="61"/>
        <v>TCADevice</v>
      </c>
      <c r="E828">
        <f>COUNTIF($R$2:R828,R828)</f>
        <v>1</v>
      </c>
      <c r="F828">
        <f>COUNTIF($E$2:E828,1)</f>
        <v>38</v>
      </c>
      <c r="G828" t="str">
        <f t="shared" si="62"/>
        <v>tca.services.rcp</v>
      </c>
      <c r="H828" t="str">
        <f t="shared" si="63"/>
        <v>TCAtca.services.rcpDevice</v>
      </c>
      <c r="I828" t="str">
        <f t="shared" si="64"/>
        <v>TCAtca.services.rcpapp.mandate.authentication.enabled</v>
      </c>
      <c r="J828">
        <f>IF(I828="",0,COUNTIF($I$2:I828,I828))</f>
        <v>1</v>
      </c>
      <c r="K828">
        <f>COUNTIF($J$2:J828,1)</f>
        <v>133</v>
      </c>
      <c r="N828">
        <v>1</v>
      </c>
      <c r="O828" t="s">
        <v>31</v>
      </c>
      <c r="P828" t="s">
        <v>264</v>
      </c>
      <c r="Q828" t="s">
        <v>265</v>
      </c>
      <c r="R828" t="s">
        <v>290</v>
      </c>
      <c r="S828" t="s">
        <v>291</v>
      </c>
      <c r="T828" t="s">
        <v>291</v>
      </c>
      <c r="U828" t="s">
        <v>292</v>
      </c>
      <c r="V828" t="s">
        <v>268</v>
      </c>
      <c r="W828" t="s">
        <v>21</v>
      </c>
      <c r="X828" t="s">
        <v>21</v>
      </c>
      <c r="Y828" t="b">
        <v>1</v>
      </c>
      <c r="Z828">
        <v>5022</v>
      </c>
    </row>
    <row r="829" spans="1:26" hidden="1" x14ac:dyDescent="0.25">
      <c r="A829">
        <f>COUNTIF($P$2:P829,P829)</f>
        <v>153</v>
      </c>
      <c r="B829">
        <f>COUNTIF($A$2:A829,1)</f>
        <v>24</v>
      </c>
      <c r="C829" t="str">
        <f t="shared" si="60"/>
        <v>TCA</v>
      </c>
      <c r="D829" t="str">
        <f t="shared" si="61"/>
        <v>TCADevice</v>
      </c>
      <c r="E829">
        <f>COUNTIF($R$2:R829,R829)</f>
        <v>2</v>
      </c>
      <c r="F829">
        <f>COUNTIF($E$2:E829,1)</f>
        <v>38</v>
      </c>
      <c r="G829" t="str">
        <f t="shared" si="62"/>
        <v>tca.services.rcp</v>
      </c>
      <c r="H829" t="str">
        <f t="shared" si="63"/>
        <v>TCAtca.services.rcpDevice</v>
      </c>
      <c r="I829" t="str">
        <f t="shared" si="64"/>
        <v>TCAtca.services.rcpapp.mandate.authentication.enabled</v>
      </c>
      <c r="J829">
        <f>IF(I829="",0,COUNTIF($I$2:I829,I829))</f>
        <v>2</v>
      </c>
      <c r="K829">
        <f>COUNTIF($J$2:J829,1)</f>
        <v>133</v>
      </c>
      <c r="N829">
        <v>1</v>
      </c>
      <c r="O829" t="s">
        <v>31</v>
      </c>
      <c r="P829" t="s">
        <v>264</v>
      </c>
      <c r="Q829" t="s">
        <v>265</v>
      </c>
      <c r="R829" t="s">
        <v>290</v>
      </c>
      <c r="S829" t="s">
        <v>291</v>
      </c>
      <c r="T829" t="s">
        <v>291</v>
      </c>
      <c r="U829" t="s">
        <v>292</v>
      </c>
      <c r="V829" t="s">
        <v>268</v>
      </c>
      <c r="W829" t="s">
        <v>21</v>
      </c>
      <c r="X829" t="s">
        <v>21</v>
      </c>
      <c r="Y829" t="b">
        <v>1</v>
      </c>
      <c r="Z829">
        <v>5022</v>
      </c>
    </row>
    <row r="830" spans="1:26" hidden="1" x14ac:dyDescent="0.25">
      <c r="A830">
        <f>COUNTIF($P$2:P830,P830)</f>
        <v>154</v>
      </c>
      <c r="B830">
        <f>COUNTIF($A$2:A830,1)</f>
        <v>24</v>
      </c>
      <c r="C830" t="str">
        <f t="shared" si="60"/>
        <v>TCA</v>
      </c>
      <c r="D830" t="str">
        <f t="shared" si="61"/>
        <v>TCAParent</v>
      </c>
      <c r="E830">
        <f>COUNTIF($R$2:R830,R830)</f>
        <v>3</v>
      </c>
      <c r="F830">
        <f>COUNTIF($E$2:E830,1)</f>
        <v>38</v>
      </c>
      <c r="G830" t="str">
        <f t="shared" si="62"/>
        <v>tca.services.rcp</v>
      </c>
      <c r="H830" t="str">
        <f t="shared" si="63"/>
        <v>TCAtca.services.rcpParent</v>
      </c>
      <c r="I830" t="str">
        <f t="shared" si="64"/>
        <v>TCAtca.services.rcpapp.mandate.authentication.enabled</v>
      </c>
      <c r="J830">
        <f>IF(I830="",0,COUNTIF($I$2:I830,I830))</f>
        <v>3</v>
      </c>
      <c r="K830">
        <f>COUNTIF($J$2:J830,1)</f>
        <v>133</v>
      </c>
      <c r="N830">
        <v>6</v>
      </c>
      <c r="O830" t="s">
        <v>15</v>
      </c>
      <c r="P830" t="s">
        <v>264</v>
      </c>
      <c r="Q830" t="s">
        <v>265</v>
      </c>
      <c r="R830" t="s">
        <v>290</v>
      </c>
      <c r="S830" t="s">
        <v>291</v>
      </c>
      <c r="T830" t="s">
        <v>291</v>
      </c>
      <c r="U830" t="s">
        <v>292</v>
      </c>
      <c r="V830" t="s">
        <v>268</v>
      </c>
      <c r="W830" t="s">
        <v>21</v>
      </c>
      <c r="X830" t="s">
        <v>21</v>
      </c>
      <c r="Y830" t="b">
        <v>1</v>
      </c>
      <c r="Z830">
        <v>5022</v>
      </c>
    </row>
    <row r="831" spans="1:26" hidden="1" x14ac:dyDescent="0.25">
      <c r="A831">
        <f>COUNTIF($P$2:P831,P831)</f>
        <v>155</v>
      </c>
      <c r="B831">
        <f>COUNTIF($A$2:A831,1)</f>
        <v>24</v>
      </c>
      <c r="C831" t="str">
        <f t="shared" si="60"/>
        <v>TCA</v>
      </c>
      <c r="D831" t="str">
        <f t="shared" si="61"/>
        <v>TCADevice</v>
      </c>
      <c r="E831">
        <f>COUNTIF($R$2:R831,R831)</f>
        <v>4</v>
      </c>
      <c r="F831">
        <f>COUNTIF($E$2:E831,1)</f>
        <v>38</v>
      </c>
      <c r="G831" t="str">
        <f t="shared" si="62"/>
        <v>tca.services.rcp</v>
      </c>
      <c r="H831" t="str">
        <f t="shared" si="63"/>
        <v>TCAtca.services.rcpDevice</v>
      </c>
      <c r="I831" t="str">
        <f t="shared" si="64"/>
        <v>TCAtca.services.rcpapp.mandate.authentication.enabled</v>
      </c>
      <c r="J831">
        <f>IF(I831="",0,COUNTIF($I$2:I831,I831))</f>
        <v>4</v>
      </c>
      <c r="K831">
        <f>COUNTIF($J$2:J831,1)</f>
        <v>133</v>
      </c>
      <c r="N831">
        <v>45</v>
      </c>
      <c r="O831" t="s">
        <v>31</v>
      </c>
      <c r="P831" t="s">
        <v>264</v>
      </c>
      <c r="Q831" t="s">
        <v>265</v>
      </c>
      <c r="R831" t="s">
        <v>290</v>
      </c>
      <c r="S831" t="s">
        <v>291</v>
      </c>
      <c r="T831" t="s">
        <v>291</v>
      </c>
      <c r="U831" t="s">
        <v>292</v>
      </c>
      <c r="V831" t="s">
        <v>268</v>
      </c>
      <c r="W831" t="s">
        <v>21</v>
      </c>
      <c r="X831" t="s">
        <v>21</v>
      </c>
      <c r="Y831" t="b">
        <v>1</v>
      </c>
      <c r="Z831">
        <v>5022</v>
      </c>
    </row>
    <row r="832" spans="1:26" hidden="1" x14ac:dyDescent="0.25">
      <c r="A832">
        <f>COUNTIF($P$2:P832,P832)</f>
        <v>156</v>
      </c>
      <c r="B832">
        <f>COUNTIF($A$2:A832,1)</f>
        <v>24</v>
      </c>
      <c r="C832" t="str">
        <f t="shared" si="60"/>
        <v>TCA</v>
      </c>
      <c r="D832" t="str">
        <f t="shared" si="61"/>
        <v>TCAParent</v>
      </c>
      <c r="E832">
        <f>COUNTIF($R$2:R832,R832)</f>
        <v>5</v>
      </c>
      <c r="F832">
        <f>COUNTIF($E$2:E832,1)</f>
        <v>38</v>
      </c>
      <c r="G832" t="str">
        <f t="shared" si="62"/>
        <v>tca.services.rcp</v>
      </c>
      <c r="H832" t="str">
        <f t="shared" si="63"/>
        <v>TCAtca.services.rcpParent</v>
      </c>
      <c r="I832" t="str">
        <f t="shared" si="64"/>
        <v>TCAtca.services.rcpapp.mandate.authentication.enabled</v>
      </c>
      <c r="J832">
        <f>IF(I832="",0,COUNTIF($I$2:I832,I832))</f>
        <v>5</v>
      </c>
      <c r="K832">
        <f>COUNTIF($J$2:J832,1)</f>
        <v>133</v>
      </c>
      <c r="N832">
        <v>1</v>
      </c>
      <c r="O832" t="s">
        <v>15</v>
      </c>
      <c r="P832" t="s">
        <v>264</v>
      </c>
      <c r="Q832" t="s">
        <v>265</v>
      </c>
      <c r="R832" t="s">
        <v>290</v>
      </c>
      <c r="S832" t="s">
        <v>291</v>
      </c>
      <c r="T832" t="s">
        <v>291</v>
      </c>
      <c r="U832" t="s">
        <v>292</v>
      </c>
      <c r="V832" t="s">
        <v>268</v>
      </c>
      <c r="W832" t="s">
        <v>21</v>
      </c>
      <c r="X832" t="s">
        <v>21</v>
      </c>
      <c r="Y832" t="b">
        <v>1</v>
      </c>
      <c r="Z832">
        <v>5022</v>
      </c>
    </row>
    <row r="833" spans="1:26" hidden="1" x14ac:dyDescent="0.25">
      <c r="A833">
        <f>COUNTIF($P$2:P833,P833)</f>
        <v>157</v>
      </c>
      <c r="B833">
        <f>COUNTIF($A$2:A833,1)</f>
        <v>24</v>
      </c>
      <c r="C833" t="str">
        <f t="shared" si="60"/>
        <v>TCA</v>
      </c>
      <c r="D833" t="str">
        <f t="shared" si="61"/>
        <v>TCAParent</v>
      </c>
      <c r="E833">
        <f>COUNTIF($R$2:R833,R833)</f>
        <v>6</v>
      </c>
      <c r="F833">
        <f>COUNTIF($E$2:E833,1)</f>
        <v>38</v>
      </c>
      <c r="G833" t="str">
        <f t="shared" si="62"/>
        <v>tca.services.rcp</v>
      </c>
      <c r="H833" t="str">
        <f t="shared" si="63"/>
        <v>TCAtca.services.rcpParent</v>
      </c>
      <c r="I833" t="str">
        <f t="shared" si="64"/>
        <v>TCAtca.services.rcpapp.mandate.authentication.enabled</v>
      </c>
      <c r="J833">
        <f>IF(I833="",0,COUNTIF($I$2:I833,I833))</f>
        <v>6</v>
      </c>
      <c r="K833">
        <f>COUNTIF($J$2:J833,1)</f>
        <v>133</v>
      </c>
      <c r="N833">
        <v>279</v>
      </c>
      <c r="O833" t="s">
        <v>15</v>
      </c>
      <c r="P833" t="s">
        <v>264</v>
      </c>
      <c r="Q833" t="s">
        <v>265</v>
      </c>
      <c r="R833" t="s">
        <v>290</v>
      </c>
      <c r="S833" t="s">
        <v>291</v>
      </c>
      <c r="T833" t="s">
        <v>291</v>
      </c>
      <c r="U833" t="s">
        <v>292</v>
      </c>
      <c r="V833" t="s">
        <v>268</v>
      </c>
      <c r="W833" t="s">
        <v>21</v>
      </c>
      <c r="X833" t="s">
        <v>21</v>
      </c>
      <c r="Y833" t="b">
        <v>1</v>
      </c>
      <c r="Z833">
        <v>5022</v>
      </c>
    </row>
    <row r="834" spans="1:26" hidden="1" x14ac:dyDescent="0.25">
      <c r="A834">
        <f>COUNTIF($P$2:P834,P834)</f>
        <v>158</v>
      </c>
      <c r="B834">
        <f>COUNTIF($A$2:A834,1)</f>
        <v>24</v>
      </c>
      <c r="C834" t="str">
        <f t="shared" si="60"/>
        <v>TCA</v>
      </c>
      <c r="D834" t="str">
        <f t="shared" si="61"/>
        <v>TCADevice</v>
      </c>
      <c r="E834">
        <f>COUNTIF($R$2:R834,R834)</f>
        <v>7</v>
      </c>
      <c r="F834">
        <f>COUNTIF($E$2:E834,1)</f>
        <v>38</v>
      </c>
      <c r="G834" t="str">
        <f t="shared" si="62"/>
        <v>tca.services.rcp</v>
      </c>
      <c r="H834" t="str">
        <f t="shared" si="63"/>
        <v>TCAtca.services.rcpDevice</v>
      </c>
      <c r="I834" t="str">
        <f t="shared" si="64"/>
        <v>TCAtca.services.rcpapp.mandate.authentication.enabled</v>
      </c>
      <c r="J834">
        <f>IF(I834="",0,COUNTIF($I$2:I834,I834))</f>
        <v>7</v>
      </c>
      <c r="K834">
        <f>COUNTIF($J$2:J834,1)</f>
        <v>133</v>
      </c>
      <c r="N834">
        <v>85</v>
      </c>
      <c r="O834" t="s">
        <v>31</v>
      </c>
      <c r="P834" t="s">
        <v>264</v>
      </c>
      <c r="Q834" t="s">
        <v>265</v>
      </c>
      <c r="R834" t="s">
        <v>290</v>
      </c>
      <c r="S834" t="s">
        <v>291</v>
      </c>
      <c r="T834" t="s">
        <v>291</v>
      </c>
      <c r="U834" t="s">
        <v>292</v>
      </c>
      <c r="V834" t="s">
        <v>268</v>
      </c>
      <c r="W834" t="s">
        <v>21</v>
      </c>
      <c r="X834" t="s">
        <v>21</v>
      </c>
      <c r="Y834" t="b">
        <v>1</v>
      </c>
      <c r="Z834">
        <v>5022</v>
      </c>
    </row>
    <row r="835" spans="1:26" hidden="1" x14ac:dyDescent="0.25">
      <c r="A835">
        <f>COUNTIF($P$2:P835,P835)</f>
        <v>159</v>
      </c>
      <c r="B835">
        <f>COUNTIF($A$2:A835,1)</f>
        <v>24</v>
      </c>
      <c r="C835" t="str">
        <f t="shared" ref="C835:C898" si="65">IF(A835=1,P835,C834)</f>
        <v>TCA</v>
      </c>
      <c r="D835" t="str">
        <f t="shared" ref="D835:D898" si="66">C835&amp;O835</f>
        <v>TCADevice</v>
      </c>
      <c r="E835">
        <f>COUNTIF($R$2:R835,R835)</f>
        <v>8</v>
      </c>
      <c r="F835">
        <f>COUNTIF($E$2:E835,1)</f>
        <v>38</v>
      </c>
      <c r="G835" t="str">
        <f t="shared" ref="G835:G898" si="67">IF(E835=1,R835,G834)</f>
        <v>tca.services.rcp</v>
      </c>
      <c r="H835" t="str">
        <f t="shared" ref="H835:H898" si="68">C835&amp;G835&amp;O835</f>
        <v>TCAtca.services.rcpDevice</v>
      </c>
      <c r="I835" t="str">
        <f t="shared" ref="I835:I898" si="69">IF(V835="","",P835&amp;R835&amp;V835)</f>
        <v>TCAtca.services.rcpapp.mandate.creation.enabled</v>
      </c>
      <c r="J835">
        <f>IF(I835="",0,COUNTIF($I$2:I835,I835))</f>
        <v>1</v>
      </c>
      <c r="K835">
        <f>COUNTIF($J$2:J835,1)</f>
        <v>134</v>
      </c>
      <c r="N835">
        <v>12</v>
      </c>
      <c r="O835" t="s">
        <v>31</v>
      </c>
      <c r="P835" t="s">
        <v>264</v>
      </c>
      <c r="Q835" t="s">
        <v>265</v>
      </c>
      <c r="R835" t="s">
        <v>290</v>
      </c>
      <c r="S835" t="s">
        <v>291</v>
      </c>
      <c r="T835" t="s">
        <v>291</v>
      </c>
      <c r="U835" t="s">
        <v>292</v>
      </c>
      <c r="V835" t="s">
        <v>177</v>
      </c>
      <c r="W835" t="s">
        <v>21</v>
      </c>
      <c r="X835" t="s">
        <v>21</v>
      </c>
      <c r="Y835" t="b">
        <v>1</v>
      </c>
      <c r="Z835">
        <v>4990</v>
      </c>
    </row>
    <row r="836" spans="1:26" hidden="1" x14ac:dyDescent="0.25">
      <c r="A836">
        <f>COUNTIF($P$2:P836,P836)</f>
        <v>160</v>
      </c>
      <c r="B836">
        <f>COUNTIF($A$2:A836,1)</f>
        <v>24</v>
      </c>
      <c r="C836" t="str">
        <f t="shared" si="65"/>
        <v>TCA</v>
      </c>
      <c r="D836" t="str">
        <f t="shared" si="66"/>
        <v>TCADevice</v>
      </c>
      <c r="E836">
        <f>COUNTIF($R$2:R836,R836)</f>
        <v>9</v>
      </c>
      <c r="F836">
        <f>COUNTIF($E$2:E836,1)</f>
        <v>38</v>
      </c>
      <c r="G836" t="str">
        <f t="shared" si="67"/>
        <v>tca.services.rcp</v>
      </c>
      <c r="H836" t="str">
        <f t="shared" si="68"/>
        <v>TCAtca.services.rcpDevice</v>
      </c>
      <c r="I836" t="str">
        <f t="shared" si="69"/>
        <v>TCAtca.services.rcpapp.mandate.creation.fields</v>
      </c>
      <c r="J836">
        <f>IF(I836="",0,COUNTIF($I$2:I836,I836))</f>
        <v>1</v>
      </c>
      <c r="K836">
        <f>COUNTIF($J$2:J836,1)</f>
        <v>135</v>
      </c>
      <c r="N836">
        <v>12</v>
      </c>
      <c r="O836" t="s">
        <v>31</v>
      </c>
      <c r="P836" t="s">
        <v>264</v>
      </c>
      <c r="Q836" t="s">
        <v>265</v>
      </c>
      <c r="R836" t="s">
        <v>290</v>
      </c>
      <c r="S836" t="s">
        <v>291</v>
      </c>
      <c r="T836" t="s">
        <v>291</v>
      </c>
      <c r="U836" t="s">
        <v>292</v>
      </c>
      <c r="V836" t="s">
        <v>269</v>
      </c>
      <c r="W836" t="s">
        <v>21</v>
      </c>
      <c r="X836" t="s">
        <v>21</v>
      </c>
      <c r="Y836" t="s">
        <v>270</v>
      </c>
      <c r="Z836">
        <v>4998</v>
      </c>
    </row>
    <row r="837" spans="1:26" hidden="1" x14ac:dyDescent="0.25">
      <c r="A837">
        <f>COUNTIF($P$2:P837,P837)</f>
        <v>161</v>
      </c>
      <c r="B837">
        <f>COUNTIF($A$2:A837,1)</f>
        <v>24</v>
      </c>
      <c r="C837" t="str">
        <f t="shared" si="65"/>
        <v>TCA</v>
      </c>
      <c r="D837" t="str">
        <f t="shared" si="66"/>
        <v>TCAParent</v>
      </c>
      <c r="E837">
        <f>COUNTIF($R$2:R837,R837)</f>
        <v>10</v>
      </c>
      <c r="F837">
        <f>COUNTIF($E$2:E837,1)</f>
        <v>38</v>
      </c>
      <c r="G837" t="str">
        <f t="shared" si="67"/>
        <v>tca.services.rcp</v>
      </c>
      <c r="H837" t="str">
        <f t="shared" si="68"/>
        <v>TCAtca.services.rcpParent</v>
      </c>
      <c r="I837" t="str">
        <f t="shared" si="69"/>
        <v>TCAtca.services.rcpapp.manual.payments.enabled</v>
      </c>
      <c r="J837">
        <f>IF(I837="",0,COUNTIF($I$2:I837,I837))</f>
        <v>1</v>
      </c>
      <c r="K837">
        <f>COUNTIF($J$2:J837,1)</f>
        <v>136</v>
      </c>
      <c r="N837">
        <v>273</v>
      </c>
      <c r="O837" t="s">
        <v>15</v>
      </c>
      <c r="P837" t="s">
        <v>264</v>
      </c>
      <c r="Q837" t="s">
        <v>265</v>
      </c>
      <c r="R837" t="s">
        <v>290</v>
      </c>
      <c r="S837" t="s">
        <v>291</v>
      </c>
      <c r="T837" t="s">
        <v>291</v>
      </c>
      <c r="U837" t="s">
        <v>292</v>
      </c>
      <c r="V837" t="s">
        <v>271</v>
      </c>
      <c r="W837" t="s">
        <v>21</v>
      </c>
      <c r="X837" t="s">
        <v>21</v>
      </c>
      <c r="Y837" t="b">
        <v>1</v>
      </c>
      <c r="Z837">
        <v>5024</v>
      </c>
    </row>
    <row r="838" spans="1:26" hidden="1" x14ac:dyDescent="0.25">
      <c r="A838">
        <f>COUNTIF($P$2:P838,P838)</f>
        <v>162</v>
      </c>
      <c r="B838">
        <f>COUNTIF($A$2:A838,1)</f>
        <v>24</v>
      </c>
      <c r="C838" t="str">
        <f t="shared" si="65"/>
        <v>TCA</v>
      </c>
      <c r="D838" t="str">
        <f t="shared" si="66"/>
        <v>TCADevice</v>
      </c>
      <c r="E838">
        <f>COUNTIF($R$2:R838,R838)</f>
        <v>11</v>
      </c>
      <c r="F838">
        <f>COUNTIF($E$2:E838,1)</f>
        <v>38</v>
      </c>
      <c r="G838" t="str">
        <f t="shared" si="67"/>
        <v>tca.services.rcp</v>
      </c>
      <c r="H838" t="str">
        <f t="shared" si="68"/>
        <v>TCAtca.services.rcpDevice</v>
      </c>
      <c r="I838" t="str">
        <f t="shared" si="69"/>
        <v>TCAtca.services.rcpapp.manual.payments.enabled</v>
      </c>
      <c r="J838">
        <f>IF(I838="",0,COUNTIF($I$2:I838,I838))</f>
        <v>2</v>
      </c>
      <c r="K838">
        <f>COUNTIF($J$2:J838,1)</f>
        <v>136</v>
      </c>
      <c r="N838">
        <v>44</v>
      </c>
      <c r="O838" t="s">
        <v>31</v>
      </c>
      <c r="P838" t="s">
        <v>264</v>
      </c>
      <c r="Q838" t="s">
        <v>265</v>
      </c>
      <c r="R838" t="s">
        <v>290</v>
      </c>
      <c r="S838" t="s">
        <v>291</v>
      </c>
      <c r="T838" t="s">
        <v>291</v>
      </c>
      <c r="U838" t="s">
        <v>292</v>
      </c>
      <c r="V838" t="s">
        <v>271</v>
      </c>
      <c r="W838" t="s">
        <v>21</v>
      </c>
      <c r="X838" t="s">
        <v>21</v>
      </c>
      <c r="Y838" t="b">
        <v>1</v>
      </c>
      <c r="Z838">
        <v>5024</v>
      </c>
    </row>
    <row r="839" spans="1:26" hidden="1" x14ac:dyDescent="0.25">
      <c r="A839">
        <f>COUNTIF($P$2:P839,P839)</f>
        <v>163</v>
      </c>
      <c r="B839">
        <f>COUNTIF($A$2:A839,1)</f>
        <v>24</v>
      </c>
      <c r="C839" t="str">
        <f t="shared" si="65"/>
        <v>TCA</v>
      </c>
      <c r="D839" t="str">
        <f t="shared" si="66"/>
        <v>TCADevice</v>
      </c>
      <c r="E839">
        <f>COUNTIF($R$2:R839,R839)</f>
        <v>12</v>
      </c>
      <c r="F839">
        <f>COUNTIF($E$2:E839,1)</f>
        <v>38</v>
      </c>
      <c r="G839" t="str">
        <f t="shared" si="67"/>
        <v>tca.services.rcp</v>
      </c>
      <c r="H839" t="str">
        <f t="shared" si="68"/>
        <v>TCAtca.services.rcpDevice</v>
      </c>
      <c r="I839" t="str">
        <f t="shared" si="69"/>
        <v>TCAtca.services.rcpapp.manual.payments.enabled</v>
      </c>
      <c r="J839">
        <f>IF(I839="",0,COUNTIF($I$2:I839,I839))</f>
        <v>3</v>
      </c>
      <c r="K839">
        <f>COUNTIF($J$2:J839,1)</f>
        <v>136</v>
      </c>
      <c r="N839">
        <v>1</v>
      </c>
      <c r="O839" t="s">
        <v>31</v>
      </c>
      <c r="P839" t="s">
        <v>264</v>
      </c>
      <c r="Q839" t="s">
        <v>265</v>
      </c>
      <c r="R839" t="s">
        <v>290</v>
      </c>
      <c r="S839" t="s">
        <v>291</v>
      </c>
      <c r="T839" t="s">
        <v>291</v>
      </c>
      <c r="U839" t="s">
        <v>292</v>
      </c>
      <c r="V839" t="s">
        <v>271</v>
      </c>
      <c r="W839" t="s">
        <v>21</v>
      </c>
      <c r="X839" t="s">
        <v>21</v>
      </c>
      <c r="Y839" t="b">
        <v>1</v>
      </c>
      <c r="Z839">
        <v>5024</v>
      </c>
    </row>
    <row r="840" spans="1:26" hidden="1" x14ac:dyDescent="0.25">
      <c r="A840">
        <f>COUNTIF($P$2:P840,P840)</f>
        <v>164</v>
      </c>
      <c r="B840">
        <f>COUNTIF($A$2:A840,1)</f>
        <v>24</v>
      </c>
      <c r="C840" t="str">
        <f t="shared" si="65"/>
        <v>TCA</v>
      </c>
      <c r="D840" t="str">
        <f t="shared" si="66"/>
        <v>TCADevice</v>
      </c>
      <c r="E840">
        <f>COUNTIF($R$2:R840,R840)</f>
        <v>13</v>
      </c>
      <c r="F840">
        <f>COUNTIF($E$2:E840,1)</f>
        <v>38</v>
      </c>
      <c r="G840" t="str">
        <f t="shared" si="67"/>
        <v>tca.services.rcp</v>
      </c>
      <c r="H840" t="str">
        <f t="shared" si="68"/>
        <v>TCAtca.services.rcpDevice</v>
      </c>
      <c r="I840" t="str">
        <f t="shared" si="69"/>
        <v>TCAtca.services.rcpapp.manual.payments.enabled</v>
      </c>
      <c r="J840">
        <f>IF(I840="",0,COUNTIF($I$2:I840,I840))</f>
        <v>4</v>
      </c>
      <c r="K840">
        <f>COUNTIF($J$2:J840,1)</f>
        <v>136</v>
      </c>
      <c r="N840">
        <v>32</v>
      </c>
      <c r="O840" t="s">
        <v>31</v>
      </c>
      <c r="P840" t="s">
        <v>264</v>
      </c>
      <c r="Q840" t="s">
        <v>265</v>
      </c>
      <c r="R840" t="s">
        <v>290</v>
      </c>
      <c r="S840" t="s">
        <v>291</v>
      </c>
      <c r="T840" t="s">
        <v>291</v>
      </c>
      <c r="U840" t="s">
        <v>292</v>
      </c>
      <c r="V840" t="s">
        <v>271</v>
      </c>
      <c r="W840" t="s">
        <v>21</v>
      </c>
      <c r="X840" t="s">
        <v>21</v>
      </c>
      <c r="Y840" t="b">
        <v>1</v>
      </c>
      <c r="Z840">
        <v>5024</v>
      </c>
    </row>
    <row r="841" spans="1:26" hidden="1" x14ac:dyDescent="0.25">
      <c r="A841">
        <f>COUNTIF($P$2:P841,P841)</f>
        <v>165</v>
      </c>
      <c r="B841">
        <f>COUNTIF($A$2:A841,1)</f>
        <v>24</v>
      </c>
      <c r="C841" t="str">
        <f t="shared" si="65"/>
        <v>TCA</v>
      </c>
      <c r="D841" t="str">
        <f t="shared" si="66"/>
        <v>TCAParent</v>
      </c>
      <c r="E841">
        <f>COUNTIF($R$2:R841,R841)</f>
        <v>14</v>
      </c>
      <c r="F841">
        <f>COUNTIF($E$2:E841,1)</f>
        <v>38</v>
      </c>
      <c r="G841" t="str">
        <f t="shared" si="67"/>
        <v>tca.services.rcp</v>
      </c>
      <c r="H841" t="str">
        <f t="shared" si="68"/>
        <v>TCAtca.services.rcpParent</v>
      </c>
      <c r="I841" t="str">
        <f t="shared" si="69"/>
        <v>TCAtca.services.rcpapp.manual.payments.enabled</v>
      </c>
      <c r="J841">
        <f>IF(I841="",0,COUNTIF($I$2:I841,I841))</f>
        <v>5</v>
      </c>
      <c r="K841">
        <f>COUNTIF($J$2:J841,1)</f>
        <v>136</v>
      </c>
      <c r="N841">
        <v>3</v>
      </c>
      <c r="O841" t="s">
        <v>15</v>
      </c>
      <c r="P841" t="s">
        <v>264</v>
      </c>
      <c r="Q841" t="s">
        <v>265</v>
      </c>
      <c r="R841" t="s">
        <v>290</v>
      </c>
      <c r="S841" t="s">
        <v>291</v>
      </c>
      <c r="T841" t="s">
        <v>291</v>
      </c>
      <c r="U841" t="s">
        <v>292</v>
      </c>
      <c r="V841" t="s">
        <v>271</v>
      </c>
      <c r="W841" t="s">
        <v>21</v>
      </c>
      <c r="X841" t="s">
        <v>21</v>
      </c>
      <c r="Y841" t="b">
        <v>1</v>
      </c>
      <c r="Z841">
        <v>5024</v>
      </c>
    </row>
    <row r="842" spans="1:26" hidden="1" x14ac:dyDescent="0.25">
      <c r="A842">
        <f>COUNTIF($P$2:P842,P842)</f>
        <v>166</v>
      </c>
      <c r="B842">
        <f>COUNTIF($A$2:A842,1)</f>
        <v>24</v>
      </c>
      <c r="C842" t="str">
        <f t="shared" si="65"/>
        <v>TCA</v>
      </c>
      <c r="D842" t="str">
        <f t="shared" si="66"/>
        <v>TCADevice</v>
      </c>
      <c r="E842">
        <f>COUNTIF($R$2:R842,R842)</f>
        <v>15</v>
      </c>
      <c r="F842">
        <f>COUNTIF($E$2:E842,1)</f>
        <v>38</v>
      </c>
      <c r="G842" t="str">
        <f t="shared" si="67"/>
        <v>tca.services.rcp</v>
      </c>
      <c r="H842" t="str">
        <f t="shared" si="68"/>
        <v>TCAtca.services.rcpDevice</v>
      </c>
      <c r="I842" t="str">
        <f t="shared" si="69"/>
        <v>TCAtca.services.rcpapp.payments.enabled</v>
      </c>
      <c r="J842">
        <f>IF(I842="",0,COUNTIF($I$2:I842,I842))</f>
        <v>1</v>
      </c>
      <c r="K842">
        <f>COUNTIF($J$2:J842,1)</f>
        <v>137</v>
      </c>
      <c r="N842">
        <v>1</v>
      </c>
      <c r="O842" t="s">
        <v>31</v>
      </c>
      <c r="P842" t="s">
        <v>264</v>
      </c>
      <c r="Q842" t="s">
        <v>265</v>
      </c>
      <c r="R842" t="s">
        <v>290</v>
      </c>
      <c r="S842" t="s">
        <v>291</v>
      </c>
      <c r="T842" t="s">
        <v>291</v>
      </c>
      <c r="U842" t="s">
        <v>292</v>
      </c>
      <c r="V842" t="s">
        <v>272</v>
      </c>
      <c r="W842" t="s">
        <v>21</v>
      </c>
      <c r="X842" t="s">
        <v>21</v>
      </c>
      <c r="Y842" t="b">
        <v>0</v>
      </c>
      <c r="Z842">
        <v>5023</v>
      </c>
    </row>
    <row r="843" spans="1:26" hidden="1" x14ac:dyDescent="0.25">
      <c r="A843">
        <f>COUNTIF($P$2:P843,P843)</f>
        <v>167</v>
      </c>
      <c r="B843">
        <f>COUNTIF($A$2:A843,1)</f>
        <v>24</v>
      </c>
      <c r="C843" t="str">
        <f t="shared" si="65"/>
        <v>TCA</v>
      </c>
      <c r="D843" t="str">
        <f t="shared" si="66"/>
        <v>TCAParent</v>
      </c>
      <c r="E843">
        <f>COUNTIF($R$2:R843,R843)</f>
        <v>16</v>
      </c>
      <c r="F843">
        <f>COUNTIF($E$2:E843,1)</f>
        <v>38</v>
      </c>
      <c r="G843" t="str">
        <f t="shared" si="67"/>
        <v>tca.services.rcp</v>
      </c>
      <c r="H843" t="str">
        <f t="shared" si="68"/>
        <v>TCAtca.services.rcpParent</v>
      </c>
      <c r="I843" t="str">
        <f t="shared" si="69"/>
        <v>TCAtca.services.rcpapp.payments.enabled</v>
      </c>
      <c r="J843">
        <f>IF(I843="",0,COUNTIF($I$2:I843,I843))</f>
        <v>2</v>
      </c>
      <c r="K843">
        <f>COUNTIF($J$2:J843,1)</f>
        <v>137</v>
      </c>
      <c r="N843">
        <v>279</v>
      </c>
      <c r="O843" t="s">
        <v>15</v>
      </c>
      <c r="P843" t="s">
        <v>264</v>
      </c>
      <c r="Q843" t="s">
        <v>265</v>
      </c>
      <c r="R843" t="s">
        <v>290</v>
      </c>
      <c r="S843" t="s">
        <v>291</v>
      </c>
      <c r="T843" t="s">
        <v>291</v>
      </c>
      <c r="U843" t="s">
        <v>292</v>
      </c>
      <c r="V843" t="s">
        <v>272</v>
      </c>
      <c r="W843" t="s">
        <v>21</v>
      </c>
      <c r="X843" t="s">
        <v>21</v>
      </c>
      <c r="Y843" t="b">
        <v>0</v>
      </c>
      <c r="Z843">
        <v>5023</v>
      </c>
    </row>
    <row r="844" spans="1:26" hidden="1" x14ac:dyDescent="0.25">
      <c r="A844">
        <f>COUNTIF($P$2:P844,P844)</f>
        <v>168</v>
      </c>
      <c r="B844">
        <f>COUNTIF($A$2:A844,1)</f>
        <v>24</v>
      </c>
      <c r="C844" t="str">
        <f t="shared" si="65"/>
        <v>TCA</v>
      </c>
      <c r="D844" t="str">
        <f t="shared" si="66"/>
        <v>TCADevice</v>
      </c>
      <c r="E844">
        <f>COUNTIF($R$2:R844,R844)</f>
        <v>17</v>
      </c>
      <c r="F844">
        <f>COUNTIF($E$2:E844,1)</f>
        <v>38</v>
      </c>
      <c r="G844" t="str">
        <f t="shared" si="67"/>
        <v>tca.services.rcp</v>
      </c>
      <c r="H844" t="str">
        <f t="shared" si="68"/>
        <v>TCAtca.services.rcpDevice</v>
      </c>
      <c r="I844" t="str">
        <f t="shared" si="69"/>
        <v>TCAtca.services.rcpapp.payments.enabled</v>
      </c>
      <c r="J844">
        <f>IF(I844="",0,COUNTIF($I$2:I844,I844))</f>
        <v>3</v>
      </c>
      <c r="K844">
        <f>COUNTIF($J$2:J844,1)</f>
        <v>137</v>
      </c>
      <c r="N844">
        <v>86</v>
      </c>
      <c r="O844" t="s">
        <v>31</v>
      </c>
      <c r="P844" t="s">
        <v>264</v>
      </c>
      <c r="Q844" t="s">
        <v>265</v>
      </c>
      <c r="R844" t="s">
        <v>290</v>
      </c>
      <c r="S844" t="s">
        <v>291</v>
      </c>
      <c r="T844" t="s">
        <v>291</v>
      </c>
      <c r="U844" t="s">
        <v>292</v>
      </c>
      <c r="V844" t="s">
        <v>272</v>
      </c>
      <c r="W844" t="s">
        <v>21</v>
      </c>
      <c r="X844" t="s">
        <v>21</v>
      </c>
      <c r="Y844" t="b">
        <v>0</v>
      </c>
      <c r="Z844">
        <v>5023</v>
      </c>
    </row>
    <row r="845" spans="1:26" hidden="1" x14ac:dyDescent="0.25">
      <c r="A845">
        <f>COUNTIF($P$2:P845,P845)</f>
        <v>169</v>
      </c>
      <c r="B845">
        <f>COUNTIF($A$2:A845,1)</f>
        <v>24</v>
      </c>
      <c r="C845" t="str">
        <f t="shared" si="65"/>
        <v>TCA</v>
      </c>
      <c r="D845" t="str">
        <f t="shared" si="66"/>
        <v>TCAParent</v>
      </c>
      <c r="E845">
        <f>COUNTIF($R$2:R845,R845)</f>
        <v>18</v>
      </c>
      <c r="F845">
        <f>COUNTIF($E$2:E845,1)</f>
        <v>38</v>
      </c>
      <c r="G845" t="str">
        <f t="shared" si="67"/>
        <v>tca.services.rcp</v>
      </c>
      <c r="H845" t="str">
        <f t="shared" si="68"/>
        <v>TCAtca.services.rcpParent</v>
      </c>
      <c r="I845" t="str">
        <f t="shared" si="69"/>
        <v>TCAtca.services.rcpapp.payments.enabled</v>
      </c>
      <c r="J845">
        <f>IF(I845="",0,COUNTIF($I$2:I845,I845))</f>
        <v>4</v>
      </c>
      <c r="K845">
        <f>COUNTIF($J$2:J845,1)</f>
        <v>137</v>
      </c>
      <c r="N845">
        <v>1</v>
      </c>
      <c r="O845" t="s">
        <v>15</v>
      </c>
      <c r="P845" t="s">
        <v>264</v>
      </c>
      <c r="Q845" t="s">
        <v>265</v>
      </c>
      <c r="R845" t="s">
        <v>290</v>
      </c>
      <c r="S845" t="s">
        <v>291</v>
      </c>
      <c r="T845" t="s">
        <v>291</v>
      </c>
      <c r="U845" t="s">
        <v>292</v>
      </c>
      <c r="V845" t="s">
        <v>272</v>
      </c>
      <c r="W845" t="s">
        <v>21</v>
      </c>
      <c r="X845" t="s">
        <v>21</v>
      </c>
      <c r="Y845" t="b">
        <v>0</v>
      </c>
      <c r="Z845">
        <v>5023</v>
      </c>
    </row>
    <row r="846" spans="1:26" hidden="1" x14ac:dyDescent="0.25">
      <c r="A846">
        <f>COUNTIF($P$2:P846,P846)</f>
        <v>170</v>
      </c>
      <c r="B846">
        <f>COUNTIF($A$2:A846,1)</f>
        <v>24</v>
      </c>
      <c r="C846" t="str">
        <f t="shared" si="65"/>
        <v>TCA</v>
      </c>
      <c r="D846" t="str">
        <f t="shared" si="66"/>
        <v>TCADevice</v>
      </c>
      <c r="E846">
        <f>COUNTIF($R$2:R846,R846)</f>
        <v>19</v>
      </c>
      <c r="F846">
        <f>COUNTIF($E$2:E846,1)</f>
        <v>38</v>
      </c>
      <c r="G846" t="str">
        <f t="shared" si="67"/>
        <v>tca.services.rcp</v>
      </c>
      <c r="H846" t="str">
        <f t="shared" si="68"/>
        <v>TCAtca.services.rcpDevice</v>
      </c>
      <c r="I846" t="str">
        <f t="shared" si="69"/>
        <v>TCAtca.services.rcpapp.payments.enabled</v>
      </c>
      <c r="J846">
        <f>IF(I846="",0,COUNTIF($I$2:I846,I846))</f>
        <v>5</v>
      </c>
      <c r="K846">
        <f>COUNTIF($J$2:J846,1)</f>
        <v>137</v>
      </c>
      <c r="N846">
        <v>45</v>
      </c>
      <c r="O846" t="s">
        <v>31</v>
      </c>
      <c r="P846" t="s">
        <v>264</v>
      </c>
      <c r="Q846" t="s">
        <v>265</v>
      </c>
      <c r="R846" t="s">
        <v>290</v>
      </c>
      <c r="S846" t="s">
        <v>291</v>
      </c>
      <c r="T846" t="s">
        <v>291</v>
      </c>
      <c r="U846" t="s">
        <v>292</v>
      </c>
      <c r="V846" t="s">
        <v>272</v>
      </c>
      <c r="W846" t="s">
        <v>21</v>
      </c>
      <c r="X846" t="s">
        <v>21</v>
      </c>
      <c r="Y846" t="b">
        <v>0</v>
      </c>
      <c r="Z846">
        <v>5023</v>
      </c>
    </row>
    <row r="847" spans="1:26" hidden="1" x14ac:dyDescent="0.25">
      <c r="A847">
        <f>COUNTIF($P$2:P847,P847)</f>
        <v>171</v>
      </c>
      <c r="B847">
        <f>COUNTIF($A$2:A847,1)</f>
        <v>24</v>
      </c>
      <c r="C847" t="str">
        <f t="shared" si="65"/>
        <v>TCA</v>
      </c>
      <c r="D847" t="str">
        <f t="shared" si="66"/>
        <v>TCADevice</v>
      </c>
      <c r="E847">
        <f>COUNTIF($R$2:R847,R847)</f>
        <v>20</v>
      </c>
      <c r="F847">
        <f>COUNTIF($E$2:E847,1)</f>
        <v>38</v>
      </c>
      <c r="G847" t="str">
        <f t="shared" si="67"/>
        <v>tca.services.rcp</v>
      </c>
      <c r="H847" t="str">
        <f t="shared" si="68"/>
        <v>TCAtca.services.rcpDevice</v>
      </c>
      <c r="I847" t="str">
        <f t="shared" si="69"/>
        <v>TCAtca.services.rcpapp.payments.enabled</v>
      </c>
      <c r="J847">
        <f>IF(I847="",0,COUNTIF($I$2:I847,I847))</f>
        <v>6</v>
      </c>
      <c r="K847">
        <f>COUNTIF($J$2:J847,1)</f>
        <v>137</v>
      </c>
      <c r="N847">
        <v>1</v>
      </c>
      <c r="O847" t="s">
        <v>31</v>
      </c>
      <c r="P847" t="s">
        <v>264</v>
      </c>
      <c r="Q847" t="s">
        <v>265</v>
      </c>
      <c r="R847" t="s">
        <v>290</v>
      </c>
      <c r="S847" t="s">
        <v>291</v>
      </c>
      <c r="T847" t="s">
        <v>291</v>
      </c>
      <c r="U847" t="s">
        <v>292</v>
      </c>
      <c r="V847" t="s">
        <v>272</v>
      </c>
      <c r="W847" t="s">
        <v>21</v>
      </c>
      <c r="X847" t="s">
        <v>21</v>
      </c>
      <c r="Y847" t="b">
        <v>0</v>
      </c>
      <c r="Z847">
        <v>5023</v>
      </c>
    </row>
    <row r="848" spans="1:26" hidden="1" x14ac:dyDescent="0.25">
      <c r="A848">
        <f>COUNTIF($P$2:P848,P848)</f>
        <v>172</v>
      </c>
      <c r="B848">
        <f>COUNTIF($A$2:A848,1)</f>
        <v>24</v>
      </c>
      <c r="C848" t="str">
        <f t="shared" si="65"/>
        <v>TCA</v>
      </c>
      <c r="D848" t="str">
        <f t="shared" si="66"/>
        <v>TCAParent</v>
      </c>
      <c r="E848">
        <f>COUNTIF($R$2:R848,R848)</f>
        <v>21</v>
      </c>
      <c r="F848">
        <f>COUNTIF($E$2:E848,1)</f>
        <v>38</v>
      </c>
      <c r="G848" t="str">
        <f t="shared" si="67"/>
        <v>tca.services.rcp</v>
      </c>
      <c r="H848" t="str">
        <f t="shared" si="68"/>
        <v>TCAtca.services.rcpParent</v>
      </c>
      <c r="I848" t="str">
        <f t="shared" si="69"/>
        <v>TCAtca.services.rcpapp.payments.enabled</v>
      </c>
      <c r="J848">
        <f>IF(I848="",0,COUNTIF($I$2:I848,I848))</f>
        <v>7</v>
      </c>
      <c r="K848">
        <f>COUNTIF($J$2:J848,1)</f>
        <v>137</v>
      </c>
      <c r="N848">
        <v>6</v>
      </c>
      <c r="O848" t="s">
        <v>15</v>
      </c>
      <c r="P848" t="s">
        <v>264</v>
      </c>
      <c r="Q848" t="s">
        <v>265</v>
      </c>
      <c r="R848" t="s">
        <v>290</v>
      </c>
      <c r="S848" t="s">
        <v>291</v>
      </c>
      <c r="T848" t="s">
        <v>291</v>
      </c>
      <c r="U848" t="s">
        <v>292</v>
      </c>
      <c r="V848" t="s">
        <v>272</v>
      </c>
      <c r="W848" t="s">
        <v>21</v>
      </c>
      <c r="X848" t="s">
        <v>21</v>
      </c>
      <c r="Y848" t="b">
        <v>0</v>
      </c>
      <c r="Z848">
        <v>5023</v>
      </c>
    </row>
    <row r="849" spans="1:26" hidden="1" x14ac:dyDescent="0.25">
      <c r="A849">
        <f>COUNTIF($P$2:P849,P849)</f>
        <v>173</v>
      </c>
      <c r="B849">
        <f>COUNTIF($A$2:A849,1)</f>
        <v>24</v>
      </c>
      <c r="C849" t="str">
        <f t="shared" si="65"/>
        <v>TCA</v>
      </c>
      <c r="D849" t="str">
        <f t="shared" si="66"/>
        <v>TCADevice</v>
      </c>
      <c r="E849">
        <f>COUNTIF($R$2:R849,R849)</f>
        <v>22</v>
      </c>
      <c r="F849">
        <f>COUNTIF($E$2:E849,1)</f>
        <v>38</v>
      </c>
      <c r="G849" t="str">
        <f t="shared" si="67"/>
        <v>tca.services.rcp</v>
      </c>
      <c r="H849" t="str">
        <f t="shared" si="68"/>
        <v>TCAtca.services.rcpDevice</v>
      </c>
      <c r="I849" t="str">
        <f t="shared" si="69"/>
        <v>TCAtca.services.rcpapp.transaction.history.enabled</v>
      </c>
      <c r="J849">
        <f>IF(I849="",0,COUNTIF($I$2:I849,I849))</f>
        <v>1</v>
      </c>
      <c r="K849">
        <f>COUNTIF($J$2:J849,1)</f>
        <v>138</v>
      </c>
      <c r="N849">
        <v>1</v>
      </c>
      <c r="O849" t="s">
        <v>31</v>
      </c>
      <c r="P849" t="s">
        <v>264</v>
      </c>
      <c r="Q849" t="s">
        <v>265</v>
      </c>
      <c r="R849" t="s">
        <v>290</v>
      </c>
      <c r="S849" t="s">
        <v>291</v>
      </c>
      <c r="T849" t="s">
        <v>291</v>
      </c>
      <c r="U849" t="s">
        <v>292</v>
      </c>
      <c r="V849" t="s">
        <v>178</v>
      </c>
      <c r="W849" t="s">
        <v>21</v>
      </c>
      <c r="X849" t="s">
        <v>21</v>
      </c>
      <c r="Y849" t="b">
        <v>1</v>
      </c>
      <c r="Z849">
        <v>5025</v>
      </c>
    </row>
    <row r="850" spans="1:26" hidden="1" x14ac:dyDescent="0.25">
      <c r="A850">
        <f>COUNTIF($P$2:P850,P850)</f>
        <v>174</v>
      </c>
      <c r="B850">
        <f>COUNTIF($A$2:A850,1)</f>
        <v>24</v>
      </c>
      <c r="C850" t="str">
        <f t="shared" si="65"/>
        <v>TCA</v>
      </c>
      <c r="D850" t="str">
        <f t="shared" si="66"/>
        <v>TCADevice</v>
      </c>
      <c r="E850">
        <f>COUNTIF($R$2:R850,R850)</f>
        <v>23</v>
      </c>
      <c r="F850">
        <f>COUNTIF($E$2:E850,1)</f>
        <v>38</v>
      </c>
      <c r="G850" t="str">
        <f t="shared" si="67"/>
        <v>tca.services.rcp</v>
      </c>
      <c r="H850" t="str">
        <f t="shared" si="68"/>
        <v>TCAtca.services.rcpDevice</v>
      </c>
      <c r="I850" t="str">
        <f t="shared" si="69"/>
        <v>TCAtca.services.rcpapp.transaction.history.enabled</v>
      </c>
      <c r="J850">
        <f>IF(I850="",0,COUNTIF($I$2:I850,I850))</f>
        <v>2</v>
      </c>
      <c r="K850">
        <f>COUNTIF($J$2:J850,1)</f>
        <v>138</v>
      </c>
      <c r="N850">
        <v>44</v>
      </c>
      <c r="O850" t="s">
        <v>31</v>
      </c>
      <c r="P850" t="s">
        <v>264</v>
      </c>
      <c r="Q850" t="s">
        <v>265</v>
      </c>
      <c r="R850" t="s">
        <v>290</v>
      </c>
      <c r="S850" t="s">
        <v>291</v>
      </c>
      <c r="T850" t="s">
        <v>291</v>
      </c>
      <c r="U850" t="s">
        <v>292</v>
      </c>
      <c r="V850" t="s">
        <v>178</v>
      </c>
      <c r="W850" t="s">
        <v>21</v>
      </c>
      <c r="X850" t="s">
        <v>21</v>
      </c>
      <c r="Y850" t="b">
        <v>1</v>
      </c>
      <c r="Z850">
        <v>5025</v>
      </c>
    </row>
    <row r="851" spans="1:26" hidden="1" x14ac:dyDescent="0.25">
      <c r="A851">
        <f>COUNTIF($P$2:P851,P851)</f>
        <v>175</v>
      </c>
      <c r="B851">
        <f>COUNTIF($A$2:A851,1)</f>
        <v>24</v>
      </c>
      <c r="C851" t="str">
        <f t="shared" si="65"/>
        <v>TCA</v>
      </c>
      <c r="D851" t="str">
        <f t="shared" si="66"/>
        <v>TCADevice</v>
      </c>
      <c r="E851">
        <f>COUNTIF($R$2:R851,R851)</f>
        <v>24</v>
      </c>
      <c r="F851">
        <f>COUNTIF($E$2:E851,1)</f>
        <v>38</v>
      </c>
      <c r="G851" t="str">
        <f t="shared" si="67"/>
        <v>tca.services.rcp</v>
      </c>
      <c r="H851" t="str">
        <f t="shared" si="68"/>
        <v>TCAtca.services.rcpDevice</v>
      </c>
      <c r="I851" t="str">
        <f t="shared" si="69"/>
        <v>TCAtca.services.rcpapp.transaction.history.enabled</v>
      </c>
      <c r="J851">
        <f>IF(I851="",0,COUNTIF($I$2:I851,I851))</f>
        <v>3</v>
      </c>
      <c r="K851">
        <f>COUNTIF($J$2:J851,1)</f>
        <v>138</v>
      </c>
      <c r="N851">
        <v>31</v>
      </c>
      <c r="O851" t="s">
        <v>31</v>
      </c>
      <c r="P851" t="s">
        <v>264</v>
      </c>
      <c r="Q851" t="s">
        <v>265</v>
      </c>
      <c r="R851" t="s">
        <v>290</v>
      </c>
      <c r="S851" t="s">
        <v>291</v>
      </c>
      <c r="T851" t="s">
        <v>291</v>
      </c>
      <c r="U851" t="s">
        <v>292</v>
      </c>
      <c r="V851" t="s">
        <v>178</v>
      </c>
      <c r="W851" t="s">
        <v>21</v>
      </c>
      <c r="X851" t="s">
        <v>21</v>
      </c>
      <c r="Y851" t="b">
        <v>1</v>
      </c>
      <c r="Z851">
        <v>5025</v>
      </c>
    </row>
    <row r="852" spans="1:26" hidden="1" x14ac:dyDescent="0.25">
      <c r="A852">
        <f>COUNTIF($P$2:P852,P852)</f>
        <v>176</v>
      </c>
      <c r="B852">
        <f>COUNTIF($A$2:A852,1)</f>
        <v>24</v>
      </c>
      <c r="C852" t="str">
        <f t="shared" si="65"/>
        <v>TCA</v>
      </c>
      <c r="D852" t="str">
        <f t="shared" si="66"/>
        <v>TCAParent</v>
      </c>
      <c r="E852">
        <f>COUNTIF($R$2:R852,R852)</f>
        <v>25</v>
      </c>
      <c r="F852">
        <f>COUNTIF($E$2:E852,1)</f>
        <v>38</v>
      </c>
      <c r="G852" t="str">
        <f t="shared" si="67"/>
        <v>tca.services.rcp</v>
      </c>
      <c r="H852" t="str">
        <f t="shared" si="68"/>
        <v>TCAtca.services.rcpParent</v>
      </c>
      <c r="I852" t="str">
        <f t="shared" si="69"/>
        <v>TCAtca.services.rcpapp.transaction.history.enabled</v>
      </c>
      <c r="J852">
        <f>IF(I852="",0,COUNTIF($I$2:I852,I852))</f>
        <v>4</v>
      </c>
      <c r="K852">
        <f>COUNTIF($J$2:J852,1)</f>
        <v>138</v>
      </c>
      <c r="N852">
        <v>274</v>
      </c>
      <c r="O852" t="s">
        <v>15</v>
      </c>
      <c r="P852" t="s">
        <v>264</v>
      </c>
      <c r="Q852" t="s">
        <v>265</v>
      </c>
      <c r="R852" t="s">
        <v>290</v>
      </c>
      <c r="S852" t="s">
        <v>291</v>
      </c>
      <c r="T852" t="s">
        <v>291</v>
      </c>
      <c r="U852" t="s">
        <v>292</v>
      </c>
      <c r="V852" t="s">
        <v>178</v>
      </c>
      <c r="W852" t="s">
        <v>21</v>
      </c>
      <c r="X852" t="s">
        <v>21</v>
      </c>
      <c r="Y852" t="b">
        <v>1</v>
      </c>
      <c r="Z852">
        <v>5025</v>
      </c>
    </row>
    <row r="853" spans="1:26" hidden="1" x14ac:dyDescent="0.25">
      <c r="A853">
        <f>COUNTIF($P$2:P853,P853)</f>
        <v>177</v>
      </c>
      <c r="B853">
        <f>COUNTIF($A$2:A853,1)</f>
        <v>24</v>
      </c>
      <c r="C853" t="str">
        <f t="shared" si="65"/>
        <v>TCA</v>
      </c>
      <c r="D853" t="str">
        <f t="shared" si="66"/>
        <v>TCAParent</v>
      </c>
      <c r="E853">
        <f>COUNTIF($R$2:R853,R853)</f>
        <v>26</v>
      </c>
      <c r="F853">
        <f>COUNTIF($E$2:E853,1)</f>
        <v>38</v>
      </c>
      <c r="G853" t="str">
        <f t="shared" si="67"/>
        <v>tca.services.rcp</v>
      </c>
      <c r="H853" t="str">
        <f t="shared" si="68"/>
        <v>TCAtca.services.rcpParent</v>
      </c>
      <c r="I853" t="str">
        <f t="shared" si="69"/>
        <v>TCAtca.services.rcpapp.transaction.history.enabled</v>
      </c>
      <c r="J853">
        <f>IF(I853="",0,COUNTIF($I$2:I853,I853))</f>
        <v>5</v>
      </c>
      <c r="K853">
        <f>COUNTIF($J$2:J853,1)</f>
        <v>138</v>
      </c>
      <c r="N853">
        <v>3</v>
      </c>
      <c r="O853" t="s">
        <v>15</v>
      </c>
      <c r="P853" t="s">
        <v>264</v>
      </c>
      <c r="Q853" t="s">
        <v>265</v>
      </c>
      <c r="R853" t="s">
        <v>290</v>
      </c>
      <c r="S853" t="s">
        <v>291</v>
      </c>
      <c r="T853" t="s">
        <v>291</v>
      </c>
      <c r="U853" t="s">
        <v>292</v>
      </c>
      <c r="V853" t="s">
        <v>178</v>
      </c>
      <c r="W853" t="s">
        <v>21</v>
      </c>
      <c r="X853" t="s">
        <v>21</v>
      </c>
      <c r="Y853" t="b">
        <v>1</v>
      </c>
      <c r="Z853">
        <v>5025</v>
      </c>
    </row>
    <row r="854" spans="1:26" hidden="1" x14ac:dyDescent="0.25">
      <c r="A854">
        <f>COUNTIF($P$2:P854,P854)</f>
        <v>178</v>
      </c>
      <c r="B854">
        <f>COUNTIF($A$2:A854,1)</f>
        <v>24</v>
      </c>
      <c r="C854" t="str">
        <f t="shared" si="65"/>
        <v>TCA</v>
      </c>
      <c r="D854" t="str">
        <f t="shared" si="66"/>
        <v>TCAParent</v>
      </c>
      <c r="E854">
        <f>COUNTIF($R$2:R854,R854)</f>
        <v>27</v>
      </c>
      <c r="F854">
        <f>COUNTIF($E$2:E854,1)</f>
        <v>38</v>
      </c>
      <c r="G854" t="str">
        <f t="shared" si="67"/>
        <v>tca.services.rcp</v>
      </c>
      <c r="H854" t="str">
        <f t="shared" si="68"/>
        <v>TCAtca.services.rcpParent</v>
      </c>
      <c r="I854" t="str">
        <f t="shared" si="69"/>
        <v>TCAtca.services.rcpiveri.auth.app.id</v>
      </c>
      <c r="J854">
        <f>IF(I854="",0,COUNTIF($I$2:I854,I854))</f>
        <v>1</v>
      </c>
      <c r="K854">
        <f>COUNTIF($J$2:J854,1)</f>
        <v>139</v>
      </c>
      <c r="N854">
        <v>1</v>
      </c>
      <c r="O854" t="s">
        <v>15</v>
      </c>
      <c r="P854" t="s">
        <v>264</v>
      </c>
      <c r="Q854" t="s">
        <v>265</v>
      </c>
      <c r="R854" t="s">
        <v>290</v>
      </c>
      <c r="S854" t="s">
        <v>291</v>
      </c>
      <c r="T854" t="s">
        <v>291</v>
      </c>
      <c r="U854" t="s">
        <v>292</v>
      </c>
      <c r="V854" t="s">
        <v>293</v>
      </c>
      <c r="W854" t="s">
        <v>22</v>
      </c>
      <c r="X854" t="s">
        <v>22</v>
      </c>
      <c r="Y854" t="s">
        <v>294</v>
      </c>
      <c r="Z854">
        <v>43</v>
      </c>
    </row>
    <row r="855" spans="1:26" hidden="1" x14ac:dyDescent="0.25">
      <c r="A855">
        <f>COUNTIF($P$2:P855,P855)</f>
        <v>179</v>
      </c>
      <c r="B855">
        <f>COUNTIF($A$2:A855,1)</f>
        <v>24</v>
      </c>
      <c r="C855" t="str">
        <f t="shared" si="65"/>
        <v>TCA</v>
      </c>
      <c r="D855" t="str">
        <f t="shared" si="66"/>
        <v>TCAParent</v>
      </c>
      <c r="E855">
        <f>COUNTIF($R$2:R855,R855)</f>
        <v>28</v>
      </c>
      <c r="F855">
        <f>COUNTIF($E$2:E855,1)</f>
        <v>38</v>
      </c>
      <c r="G855" t="str">
        <f t="shared" si="67"/>
        <v>tca.services.rcp</v>
      </c>
      <c r="H855" t="str">
        <f t="shared" si="68"/>
        <v>TCAtca.services.rcpParent</v>
      </c>
      <c r="I855" t="str">
        <f t="shared" si="69"/>
        <v>TCAtca.services.rcpiveri.auth.certificate.id</v>
      </c>
      <c r="J855">
        <f>IF(I855="",0,COUNTIF($I$2:I855,I855))</f>
        <v>1</v>
      </c>
      <c r="K855">
        <f>COUNTIF($J$2:J855,1)</f>
        <v>140</v>
      </c>
      <c r="N855">
        <v>1</v>
      </c>
      <c r="O855" t="s">
        <v>15</v>
      </c>
      <c r="P855" t="s">
        <v>264</v>
      </c>
      <c r="Q855" t="s">
        <v>265</v>
      </c>
      <c r="R855" t="s">
        <v>290</v>
      </c>
      <c r="S855" t="s">
        <v>291</v>
      </c>
      <c r="T855" t="s">
        <v>291</v>
      </c>
      <c r="U855" t="s">
        <v>292</v>
      </c>
      <c r="V855" t="s">
        <v>295</v>
      </c>
      <c r="W855" t="s">
        <v>22</v>
      </c>
      <c r="X855" t="s">
        <v>22</v>
      </c>
      <c r="Y855" t="s">
        <v>296</v>
      </c>
      <c r="Z855">
        <v>42</v>
      </c>
    </row>
    <row r="856" spans="1:26" hidden="1" x14ac:dyDescent="0.25">
      <c r="A856">
        <f>COUNTIF($P$2:P856,P856)</f>
        <v>180</v>
      </c>
      <c r="B856">
        <f>COUNTIF($A$2:A856,1)</f>
        <v>24</v>
      </c>
      <c r="C856" t="str">
        <f t="shared" si="65"/>
        <v>TCA</v>
      </c>
      <c r="D856" t="str">
        <f t="shared" si="66"/>
        <v>TCADevice</v>
      </c>
      <c r="E856">
        <f>COUNTIF($R$2:R856,R856)</f>
        <v>29</v>
      </c>
      <c r="F856">
        <f>COUNTIF($E$2:E856,1)</f>
        <v>38</v>
      </c>
      <c r="G856" t="str">
        <f t="shared" si="67"/>
        <v>tca.services.rcp</v>
      </c>
      <c r="H856" t="str">
        <f t="shared" si="68"/>
        <v>TCAtca.services.rcpDevice</v>
      </c>
      <c r="I856" t="str">
        <f t="shared" si="69"/>
        <v>TCAtca.services.rcpmanual.payments.reference.config</v>
      </c>
      <c r="J856">
        <f>IF(I856="",0,COUNTIF($I$2:I856,I856))</f>
        <v>1</v>
      </c>
      <c r="K856">
        <f>COUNTIF($J$2:J856,1)</f>
        <v>141</v>
      </c>
      <c r="N856">
        <v>16</v>
      </c>
      <c r="O856" t="s">
        <v>31</v>
      </c>
      <c r="P856" t="s">
        <v>264</v>
      </c>
      <c r="Q856" t="s">
        <v>265</v>
      </c>
      <c r="R856" t="s">
        <v>290</v>
      </c>
      <c r="S856" t="s">
        <v>291</v>
      </c>
      <c r="T856" t="s">
        <v>291</v>
      </c>
      <c r="U856" t="s">
        <v>292</v>
      </c>
      <c r="V856" t="s">
        <v>273</v>
      </c>
      <c r="W856" t="s">
        <v>21</v>
      </c>
      <c r="X856" t="s">
        <v>21</v>
      </c>
      <c r="Y856" t="s">
        <v>274</v>
      </c>
      <c r="Z856">
        <v>4994</v>
      </c>
    </row>
    <row r="857" spans="1:26" hidden="1" x14ac:dyDescent="0.25">
      <c r="A857">
        <f>COUNTIF($P$2:P857,P857)</f>
        <v>181</v>
      </c>
      <c r="B857">
        <f>COUNTIF($A$2:A857,1)</f>
        <v>24</v>
      </c>
      <c r="C857" t="str">
        <f t="shared" si="65"/>
        <v>TCA</v>
      </c>
      <c r="D857" t="str">
        <f t="shared" si="66"/>
        <v>TCAIntegrator</v>
      </c>
      <c r="E857">
        <f>COUNTIF($R$2:R857,R857)</f>
        <v>30</v>
      </c>
      <c r="F857">
        <f>COUNTIF($E$2:E857,1)</f>
        <v>38</v>
      </c>
      <c r="G857" t="str">
        <f t="shared" si="67"/>
        <v>tca.services.rcp</v>
      </c>
      <c r="H857" t="str">
        <f t="shared" si="68"/>
        <v>TCAtca.services.rcpIntegrator</v>
      </c>
      <c r="I857" t="str">
        <f t="shared" si="69"/>
        <v>TCAtca.services.rcpocs.ed.mandate.default.details</v>
      </c>
      <c r="J857">
        <f>IF(I857="",0,COUNTIF($I$2:I857,I857))</f>
        <v>1</v>
      </c>
      <c r="K857">
        <f>COUNTIF($J$2:J857,1)</f>
        <v>142</v>
      </c>
      <c r="N857">
        <v>9</v>
      </c>
      <c r="O857" t="s">
        <v>23</v>
      </c>
      <c r="P857" t="s">
        <v>264</v>
      </c>
      <c r="Q857" t="s">
        <v>265</v>
      </c>
      <c r="R857" t="s">
        <v>290</v>
      </c>
      <c r="S857" t="s">
        <v>291</v>
      </c>
      <c r="T857" t="s">
        <v>291</v>
      </c>
      <c r="U857" t="s">
        <v>292</v>
      </c>
      <c r="V857" t="s">
        <v>189</v>
      </c>
      <c r="W857" t="s">
        <v>21</v>
      </c>
      <c r="X857" t="s">
        <v>21</v>
      </c>
      <c r="Y857" t="s">
        <v>190</v>
      </c>
      <c r="Z857">
        <v>4988</v>
      </c>
    </row>
    <row r="858" spans="1:26" hidden="1" x14ac:dyDescent="0.25">
      <c r="A858">
        <f>COUNTIF($P$2:P858,P858)</f>
        <v>182</v>
      </c>
      <c r="B858">
        <f>COUNTIF($A$2:A858,1)</f>
        <v>24</v>
      </c>
      <c r="C858" t="str">
        <f t="shared" si="65"/>
        <v>TCA</v>
      </c>
      <c r="D858" t="str">
        <f t="shared" si="66"/>
        <v>TCAParent</v>
      </c>
      <c r="E858">
        <f>COUNTIF($R$2:R858,R858)</f>
        <v>31</v>
      </c>
      <c r="F858">
        <f>COUNTIF($E$2:E858,1)</f>
        <v>38</v>
      </c>
      <c r="G858" t="str">
        <f t="shared" si="67"/>
        <v>tca.services.rcp</v>
      </c>
      <c r="H858" t="str">
        <f t="shared" si="68"/>
        <v>TCAtca.services.rcpParent</v>
      </c>
      <c r="I858" t="str">
        <f t="shared" si="69"/>
        <v>TCAtca.services.rcptca.application.key</v>
      </c>
      <c r="J858">
        <f>IF(I858="",0,COUNTIF($I$2:I858,I858))</f>
        <v>1</v>
      </c>
      <c r="K858">
        <f>COUNTIF($J$2:J858,1)</f>
        <v>143</v>
      </c>
      <c r="N858">
        <v>6</v>
      </c>
      <c r="O858" t="s">
        <v>15</v>
      </c>
      <c r="P858" t="s">
        <v>264</v>
      </c>
      <c r="Q858" t="s">
        <v>265</v>
      </c>
      <c r="R858" t="s">
        <v>290</v>
      </c>
      <c r="S858" t="s">
        <v>291</v>
      </c>
      <c r="T858" t="s">
        <v>291</v>
      </c>
      <c r="U858" t="s">
        <v>292</v>
      </c>
      <c r="V858" t="s">
        <v>275</v>
      </c>
      <c r="W858" t="s">
        <v>21</v>
      </c>
      <c r="X858" t="s">
        <v>21</v>
      </c>
      <c r="Y858" t="s">
        <v>276</v>
      </c>
      <c r="Z858">
        <v>5019</v>
      </c>
    </row>
    <row r="859" spans="1:26" hidden="1" x14ac:dyDescent="0.25">
      <c r="A859">
        <f>COUNTIF($P$2:P859,P859)</f>
        <v>183</v>
      </c>
      <c r="B859">
        <f>COUNTIF($A$2:A859,1)</f>
        <v>24</v>
      </c>
      <c r="C859" t="str">
        <f t="shared" si="65"/>
        <v>TCA</v>
      </c>
      <c r="D859" t="str">
        <f t="shared" si="66"/>
        <v>TCADevice</v>
      </c>
      <c r="E859">
        <f>COUNTIF($R$2:R859,R859)</f>
        <v>32</v>
      </c>
      <c r="F859">
        <f>COUNTIF($E$2:E859,1)</f>
        <v>38</v>
      </c>
      <c r="G859" t="str">
        <f t="shared" si="67"/>
        <v>tca.services.rcp</v>
      </c>
      <c r="H859" t="str">
        <f t="shared" si="68"/>
        <v>TCAtca.services.rcpDevice</v>
      </c>
      <c r="I859" t="str">
        <f t="shared" si="69"/>
        <v>TCAtca.services.rcptca.application.key</v>
      </c>
      <c r="J859">
        <f>IF(I859="",0,COUNTIF($I$2:I859,I859))</f>
        <v>2</v>
      </c>
      <c r="K859">
        <f>COUNTIF($J$2:J859,1)</f>
        <v>143</v>
      </c>
      <c r="N859">
        <v>1</v>
      </c>
      <c r="O859" t="s">
        <v>31</v>
      </c>
      <c r="P859" t="s">
        <v>264</v>
      </c>
      <c r="Q859" t="s">
        <v>265</v>
      </c>
      <c r="R859" t="s">
        <v>290</v>
      </c>
      <c r="S859" t="s">
        <v>291</v>
      </c>
      <c r="T859" t="s">
        <v>291</v>
      </c>
      <c r="U859" t="s">
        <v>292</v>
      </c>
      <c r="V859" t="s">
        <v>275</v>
      </c>
      <c r="W859" t="s">
        <v>21</v>
      </c>
      <c r="X859" t="s">
        <v>21</v>
      </c>
      <c r="Y859" t="s">
        <v>276</v>
      </c>
      <c r="Z859">
        <v>5019</v>
      </c>
    </row>
    <row r="860" spans="1:26" hidden="1" x14ac:dyDescent="0.25">
      <c r="A860">
        <f>COUNTIF($P$2:P860,P860)</f>
        <v>184</v>
      </c>
      <c r="B860">
        <f>COUNTIF($A$2:A860,1)</f>
        <v>24</v>
      </c>
      <c r="C860" t="str">
        <f t="shared" si="65"/>
        <v>TCA</v>
      </c>
      <c r="D860" t="str">
        <f t="shared" si="66"/>
        <v>TCADevice</v>
      </c>
      <c r="E860">
        <f>COUNTIF($R$2:R860,R860)</f>
        <v>33</v>
      </c>
      <c r="F860">
        <f>COUNTIF($E$2:E860,1)</f>
        <v>38</v>
      </c>
      <c r="G860" t="str">
        <f t="shared" si="67"/>
        <v>tca.services.rcp</v>
      </c>
      <c r="H860" t="str">
        <f t="shared" si="68"/>
        <v>TCAtca.services.rcpDevice</v>
      </c>
      <c r="I860" t="str">
        <f t="shared" si="69"/>
        <v>TCAtca.services.rcptca.application.key</v>
      </c>
      <c r="J860">
        <f>IF(I860="",0,COUNTIF($I$2:I860,I860))</f>
        <v>3</v>
      </c>
      <c r="K860">
        <f>COUNTIF($J$2:J860,1)</f>
        <v>143</v>
      </c>
      <c r="N860">
        <v>1</v>
      </c>
      <c r="O860" t="s">
        <v>31</v>
      </c>
      <c r="P860" t="s">
        <v>264</v>
      </c>
      <c r="Q860" t="s">
        <v>265</v>
      </c>
      <c r="R860" t="s">
        <v>290</v>
      </c>
      <c r="S860" t="s">
        <v>291</v>
      </c>
      <c r="T860" t="s">
        <v>291</v>
      </c>
      <c r="U860" t="s">
        <v>292</v>
      </c>
      <c r="V860" t="s">
        <v>275</v>
      </c>
      <c r="W860" t="s">
        <v>21</v>
      </c>
      <c r="X860" t="s">
        <v>21</v>
      </c>
      <c r="Y860" t="s">
        <v>276</v>
      </c>
      <c r="Z860">
        <v>5019</v>
      </c>
    </row>
    <row r="861" spans="1:26" hidden="1" x14ac:dyDescent="0.25">
      <c r="A861">
        <f>COUNTIF($P$2:P861,P861)</f>
        <v>185</v>
      </c>
      <c r="B861">
        <f>COUNTIF($A$2:A861,1)</f>
        <v>24</v>
      </c>
      <c r="C861" t="str">
        <f t="shared" si="65"/>
        <v>TCA</v>
      </c>
      <c r="D861" t="str">
        <f t="shared" si="66"/>
        <v>TCADevice</v>
      </c>
      <c r="E861">
        <f>COUNTIF($R$2:R861,R861)</f>
        <v>34</v>
      </c>
      <c r="F861">
        <f>COUNTIF($E$2:E861,1)</f>
        <v>38</v>
      </c>
      <c r="G861" t="str">
        <f t="shared" si="67"/>
        <v>tca.services.rcp</v>
      </c>
      <c r="H861" t="str">
        <f t="shared" si="68"/>
        <v>TCAtca.services.rcpDevice</v>
      </c>
      <c r="I861" t="str">
        <f t="shared" si="69"/>
        <v>TCAtca.services.rcptca.application.key</v>
      </c>
      <c r="J861">
        <f>IF(I861="",0,COUNTIF($I$2:I861,I861))</f>
        <v>4</v>
      </c>
      <c r="K861">
        <f>COUNTIF($J$2:J861,1)</f>
        <v>143</v>
      </c>
      <c r="N861">
        <v>45</v>
      </c>
      <c r="O861" t="s">
        <v>31</v>
      </c>
      <c r="P861" t="s">
        <v>264</v>
      </c>
      <c r="Q861" t="s">
        <v>265</v>
      </c>
      <c r="R861" t="s">
        <v>290</v>
      </c>
      <c r="S861" t="s">
        <v>291</v>
      </c>
      <c r="T861" t="s">
        <v>291</v>
      </c>
      <c r="U861" t="s">
        <v>292</v>
      </c>
      <c r="V861" t="s">
        <v>275</v>
      </c>
      <c r="W861" t="s">
        <v>21</v>
      </c>
      <c r="X861" t="s">
        <v>21</v>
      </c>
      <c r="Y861" t="s">
        <v>276</v>
      </c>
      <c r="Z861">
        <v>5019</v>
      </c>
    </row>
    <row r="862" spans="1:26" hidden="1" x14ac:dyDescent="0.25">
      <c r="A862">
        <f>COUNTIF($P$2:P862,P862)</f>
        <v>186</v>
      </c>
      <c r="B862">
        <f>COUNTIF($A$2:A862,1)</f>
        <v>24</v>
      </c>
      <c r="C862" t="str">
        <f t="shared" si="65"/>
        <v>TCA</v>
      </c>
      <c r="D862" t="str">
        <f t="shared" si="66"/>
        <v>TCAParent</v>
      </c>
      <c r="E862">
        <f>COUNTIF($R$2:R862,R862)</f>
        <v>35</v>
      </c>
      <c r="F862">
        <f>COUNTIF($E$2:E862,1)</f>
        <v>38</v>
      </c>
      <c r="G862" t="str">
        <f t="shared" si="67"/>
        <v>tca.services.rcp</v>
      </c>
      <c r="H862" t="str">
        <f t="shared" si="68"/>
        <v>TCAtca.services.rcpParent</v>
      </c>
      <c r="I862" t="str">
        <f t="shared" si="69"/>
        <v>TCAtca.services.rcptca.application.key</v>
      </c>
      <c r="J862">
        <f>IF(I862="",0,COUNTIF($I$2:I862,I862))</f>
        <v>5</v>
      </c>
      <c r="K862">
        <f>COUNTIF($J$2:J862,1)</f>
        <v>143</v>
      </c>
      <c r="N862">
        <v>1</v>
      </c>
      <c r="O862" t="s">
        <v>15</v>
      </c>
      <c r="P862" t="s">
        <v>264</v>
      </c>
      <c r="Q862" t="s">
        <v>265</v>
      </c>
      <c r="R862" t="s">
        <v>290</v>
      </c>
      <c r="S862" t="s">
        <v>291</v>
      </c>
      <c r="T862" t="s">
        <v>291</v>
      </c>
      <c r="U862" t="s">
        <v>292</v>
      </c>
      <c r="V862" t="s">
        <v>275</v>
      </c>
      <c r="W862" t="s">
        <v>21</v>
      </c>
      <c r="X862" t="s">
        <v>21</v>
      </c>
      <c r="Y862" t="s">
        <v>276</v>
      </c>
      <c r="Z862">
        <v>5019</v>
      </c>
    </row>
    <row r="863" spans="1:26" hidden="1" x14ac:dyDescent="0.25">
      <c r="A863">
        <f>COUNTIF($P$2:P863,P863)</f>
        <v>187</v>
      </c>
      <c r="B863">
        <f>COUNTIF($A$2:A863,1)</f>
        <v>24</v>
      </c>
      <c r="C863" t="str">
        <f t="shared" si="65"/>
        <v>TCA</v>
      </c>
      <c r="D863" t="str">
        <f t="shared" si="66"/>
        <v>TCADevice</v>
      </c>
      <c r="E863">
        <f>COUNTIF($R$2:R863,R863)</f>
        <v>36</v>
      </c>
      <c r="F863">
        <f>COUNTIF($E$2:E863,1)</f>
        <v>38</v>
      </c>
      <c r="G863" t="str">
        <f t="shared" si="67"/>
        <v>tca.services.rcp</v>
      </c>
      <c r="H863" t="str">
        <f t="shared" si="68"/>
        <v>TCAtca.services.rcpDevice</v>
      </c>
      <c r="I863" t="str">
        <f t="shared" si="69"/>
        <v>TCAtca.services.rcptca.application.key</v>
      </c>
      <c r="J863">
        <f>IF(I863="",0,COUNTIF($I$2:I863,I863))</f>
        <v>6</v>
      </c>
      <c r="K863">
        <f>COUNTIF($J$2:J863,1)</f>
        <v>143</v>
      </c>
      <c r="N863">
        <v>85</v>
      </c>
      <c r="O863" t="s">
        <v>31</v>
      </c>
      <c r="P863" t="s">
        <v>264</v>
      </c>
      <c r="Q863" t="s">
        <v>265</v>
      </c>
      <c r="R863" t="s">
        <v>290</v>
      </c>
      <c r="S863" t="s">
        <v>291</v>
      </c>
      <c r="T863" t="s">
        <v>291</v>
      </c>
      <c r="U863" t="s">
        <v>292</v>
      </c>
      <c r="V863" t="s">
        <v>275</v>
      </c>
      <c r="W863" t="s">
        <v>21</v>
      </c>
      <c r="X863" t="s">
        <v>21</v>
      </c>
      <c r="Y863" t="s">
        <v>276</v>
      </c>
      <c r="Z863">
        <v>5019</v>
      </c>
    </row>
    <row r="864" spans="1:26" hidden="1" x14ac:dyDescent="0.25">
      <c r="A864">
        <f>COUNTIF($P$2:P864,P864)</f>
        <v>188</v>
      </c>
      <c r="B864">
        <f>COUNTIF($A$2:A864,1)</f>
        <v>24</v>
      </c>
      <c r="C864" t="str">
        <f t="shared" si="65"/>
        <v>TCA</v>
      </c>
      <c r="D864" t="str">
        <f t="shared" si="66"/>
        <v>TCAParent</v>
      </c>
      <c r="E864">
        <f>COUNTIF($R$2:R864,R864)</f>
        <v>37</v>
      </c>
      <c r="F864">
        <f>COUNTIF($E$2:E864,1)</f>
        <v>38</v>
      </c>
      <c r="G864" t="str">
        <f t="shared" si="67"/>
        <v>tca.services.rcp</v>
      </c>
      <c r="H864" t="str">
        <f t="shared" si="68"/>
        <v>TCAtca.services.rcpParent</v>
      </c>
      <c r="I864" t="str">
        <f t="shared" si="69"/>
        <v>TCAtca.services.rcptca.application.key</v>
      </c>
      <c r="J864">
        <f>IF(I864="",0,COUNTIF($I$2:I864,I864))</f>
        <v>7</v>
      </c>
      <c r="K864">
        <f>COUNTIF($J$2:J864,1)</f>
        <v>143</v>
      </c>
      <c r="N864">
        <v>279</v>
      </c>
      <c r="O864" t="s">
        <v>15</v>
      </c>
      <c r="P864" t="s">
        <v>264</v>
      </c>
      <c r="Q864" t="s">
        <v>265</v>
      </c>
      <c r="R864" t="s">
        <v>290</v>
      </c>
      <c r="S864" t="s">
        <v>291</v>
      </c>
      <c r="T864" t="s">
        <v>291</v>
      </c>
      <c r="U864" t="s">
        <v>292</v>
      </c>
      <c r="V864" t="s">
        <v>275</v>
      </c>
      <c r="W864" t="s">
        <v>21</v>
      </c>
      <c r="X864" t="s">
        <v>21</v>
      </c>
      <c r="Y864" t="s">
        <v>276</v>
      </c>
      <c r="Z864">
        <v>5019</v>
      </c>
    </row>
    <row r="865" spans="1:26" hidden="1" x14ac:dyDescent="0.25">
      <c r="A865">
        <f>COUNTIF($P$2:P865,P865)</f>
        <v>189</v>
      </c>
      <c r="B865">
        <f>COUNTIF($A$2:A865,1)</f>
        <v>24</v>
      </c>
      <c r="C865" t="str">
        <f t="shared" si="65"/>
        <v>TCA</v>
      </c>
      <c r="D865" t="str">
        <f t="shared" si="66"/>
        <v>TCAParent</v>
      </c>
      <c r="E865">
        <f>COUNTIF($R$2:R865,R865)</f>
        <v>38</v>
      </c>
      <c r="F865">
        <f>COUNTIF($E$2:E865,1)</f>
        <v>38</v>
      </c>
      <c r="G865" t="str">
        <f t="shared" si="67"/>
        <v>tca.services.rcp</v>
      </c>
      <c r="H865" t="str">
        <f t="shared" si="68"/>
        <v>TCAtca.services.rcpParent</v>
      </c>
      <c r="I865" t="str">
        <f t="shared" si="69"/>
        <v>TCAtca.services.rcptca.merchant.id</v>
      </c>
      <c r="J865">
        <f>IF(I865="",0,COUNTIF($I$2:I865,I865))</f>
        <v>1</v>
      </c>
      <c r="K865">
        <f>COUNTIF($J$2:J865,1)</f>
        <v>144</v>
      </c>
      <c r="N865">
        <v>7</v>
      </c>
      <c r="O865" t="s">
        <v>15</v>
      </c>
      <c r="P865" t="s">
        <v>264</v>
      </c>
      <c r="Q865" t="s">
        <v>265</v>
      </c>
      <c r="R865" t="s">
        <v>290</v>
      </c>
      <c r="S865" t="s">
        <v>291</v>
      </c>
      <c r="T865" t="s">
        <v>291</v>
      </c>
      <c r="U865" t="s">
        <v>292</v>
      </c>
      <c r="V865" t="s">
        <v>277</v>
      </c>
      <c r="W865" t="s">
        <v>21</v>
      </c>
      <c r="X865" t="s">
        <v>21</v>
      </c>
      <c r="Y865">
        <v>3415643</v>
      </c>
      <c r="Z865">
        <v>5020</v>
      </c>
    </row>
    <row r="866" spans="1:26" hidden="1" x14ac:dyDescent="0.25">
      <c r="A866">
        <f>COUNTIF($P$2:P866,P866)</f>
        <v>190</v>
      </c>
      <c r="B866">
        <f>COUNTIF($A$2:A866,1)</f>
        <v>24</v>
      </c>
      <c r="C866" t="str">
        <f t="shared" si="65"/>
        <v>TCA</v>
      </c>
      <c r="D866" t="str">
        <f t="shared" si="66"/>
        <v>TCAParent</v>
      </c>
      <c r="E866">
        <f>COUNTIF($R$2:R866,R866)</f>
        <v>39</v>
      </c>
      <c r="F866">
        <f>COUNTIF($E$2:E866,1)</f>
        <v>38</v>
      </c>
      <c r="G866" t="str">
        <f t="shared" si="67"/>
        <v>tca.services.rcp</v>
      </c>
      <c r="H866" t="str">
        <f t="shared" si="68"/>
        <v>TCAtca.services.rcpParent</v>
      </c>
      <c r="I866" t="str">
        <f t="shared" si="69"/>
        <v>TCAtca.services.rcptca.merchant.id</v>
      </c>
      <c r="J866">
        <f>IF(I866="",0,COUNTIF($I$2:I866,I866))</f>
        <v>2</v>
      </c>
      <c r="K866">
        <f>COUNTIF($J$2:J866,1)</f>
        <v>144</v>
      </c>
      <c r="N866">
        <v>279</v>
      </c>
      <c r="O866" t="s">
        <v>15</v>
      </c>
      <c r="P866" t="s">
        <v>264</v>
      </c>
      <c r="Q866" t="s">
        <v>265</v>
      </c>
      <c r="R866" t="s">
        <v>290</v>
      </c>
      <c r="S866" t="s">
        <v>291</v>
      </c>
      <c r="T866" t="s">
        <v>291</v>
      </c>
      <c r="U866" t="s">
        <v>292</v>
      </c>
      <c r="V866" t="s">
        <v>277</v>
      </c>
      <c r="W866" t="s">
        <v>21</v>
      </c>
      <c r="X866" t="s">
        <v>21</v>
      </c>
      <c r="Y866">
        <v>3415643</v>
      </c>
      <c r="Z866">
        <v>5020</v>
      </c>
    </row>
    <row r="867" spans="1:26" hidden="1" x14ac:dyDescent="0.25">
      <c r="A867">
        <f>COUNTIF($P$2:P867,P867)</f>
        <v>191</v>
      </c>
      <c r="B867">
        <f>COUNTIF($A$2:A867,1)</f>
        <v>24</v>
      </c>
      <c r="C867" t="str">
        <f t="shared" si="65"/>
        <v>TCA</v>
      </c>
      <c r="D867" t="str">
        <f t="shared" si="66"/>
        <v>TCADevice</v>
      </c>
      <c r="E867">
        <f>COUNTIF($R$2:R867,R867)</f>
        <v>40</v>
      </c>
      <c r="F867">
        <f>COUNTIF($E$2:E867,1)</f>
        <v>38</v>
      </c>
      <c r="G867" t="str">
        <f t="shared" si="67"/>
        <v>tca.services.rcp</v>
      </c>
      <c r="H867" t="str">
        <f t="shared" si="68"/>
        <v>TCAtca.services.rcpDevice</v>
      </c>
      <c r="I867" t="str">
        <f t="shared" si="69"/>
        <v>TCAtca.services.rcptca.merchant.id</v>
      </c>
      <c r="J867">
        <f>IF(I867="",0,COUNTIF($I$2:I867,I867))</f>
        <v>3</v>
      </c>
      <c r="K867">
        <f>COUNTIF($J$2:J867,1)</f>
        <v>144</v>
      </c>
      <c r="N867">
        <v>85</v>
      </c>
      <c r="O867" t="s">
        <v>31</v>
      </c>
      <c r="P867" t="s">
        <v>264</v>
      </c>
      <c r="Q867" t="s">
        <v>265</v>
      </c>
      <c r="R867" t="s">
        <v>290</v>
      </c>
      <c r="S867" t="s">
        <v>291</v>
      </c>
      <c r="T867" t="s">
        <v>291</v>
      </c>
      <c r="U867" t="s">
        <v>292</v>
      </c>
      <c r="V867" t="s">
        <v>277</v>
      </c>
      <c r="W867" t="s">
        <v>21</v>
      </c>
      <c r="X867" t="s">
        <v>21</v>
      </c>
      <c r="Y867">
        <v>3415643</v>
      </c>
      <c r="Z867">
        <v>5020</v>
      </c>
    </row>
    <row r="868" spans="1:26" hidden="1" x14ac:dyDescent="0.25">
      <c r="A868">
        <f>COUNTIF($P$2:P868,P868)</f>
        <v>192</v>
      </c>
      <c r="B868">
        <f>COUNTIF($A$2:A868,1)</f>
        <v>24</v>
      </c>
      <c r="C868" t="str">
        <f t="shared" si="65"/>
        <v>TCA</v>
      </c>
      <c r="D868" t="str">
        <f t="shared" si="66"/>
        <v>TCAParent</v>
      </c>
      <c r="E868">
        <f>COUNTIF($R$2:R868,R868)</f>
        <v>41</v>
      </c>
      <c r="F868">
        <f>COUNTIF($E$2:E868,1)</f>
        <v>38</v>
      </c>
      <c r="G868" t="str">
        <f t="shared" si="67"/>
        <v>tca.services.rcp</v>
      </c>
      <c r="H868" t="str">
        <f t="shared" si="68"/>
        <v>TCAtca.services.rcpParent</v>
      </c>
      <c r="I868" t="str">
        <f t="shared" si="69"/>
        <v>TCAtca.services.rcptca.merchant.id</v>
      </c>
      <c r="J868">
        <f>IF(I868="",0,COUNTIF($I$2:I868,I868))</f>
        <v>4</v>
      </c>
      <c r="K868">
        <f>COUNTIF($J$2:J868,1)</f>
        <v>144</v>
      </c>
      <c r="N868">
        <v>1</v>
      </c>
      <c r="O868" t="s">
        <v>15</v>
      </c>
      <c r="P868" t="s">
        <v>264</v>
      </c>
      <c r="Q868" t="s">
        <v>265</v>
      </c>
      <c r="R868" t="s">
        <v>290</v>
      </c>
      <c r="S868" t="s">
        <v>291</v>
      </c>
      <c r="T868" t="s">
        <v>291</v>
      </c>
      <c r="U868" t="s">
        <v>292</v>
      </c>
      <c r="V868" t="s">
        <v>277</v>
      </c>
      <c r="W868" t="s">
        <v>21</v>
      </c>
      <c r="X868" t="s">
        <v>21</v>
      </c>
      <c r="Y868">
        <v>3415643</v>
      </c>
      <c r="Z868">
        <v>5020</v>
      </c>
    </row>
    <row r="869" spans="1:26" hidden="1" x14ac:dyDescent="0.25">
      <c r="A869">
        <f>COUNTIF($P$2:P869,P869)</f>
        <v>193</v>
      </c>
      <c r="B869">
        <f>COUNTIF($A$2:A869,1)</f>
        <v>24</v>
      </c>
      <c r="C869" t="str">
        <f t="shared" si="65"/>
        <v>TCA</v>
      </c>
      <c r="D869" t="str">
        <f t="shared" si="66"/>
        <v>TCADevice</v>
      </c>
      <c r="E869">
        <f>COUNTIF($R$2:R869,R869)</f>
        <v>42</v>
      </c>
      <c r="F869">
        <f>COUNTIF($E$2:E869,1)</f>
        <v>38</v>
      </c>
      <c r="G869" t="str">
        <f t="shared" si="67"/>
        <v>tca.services.rcp</v>
      </c>
      <c r="H869" t="str">
        <f t="shared" si="68"/>
        <v>TCAtca.services.rcpDevice</v>
      </c>
      <c r="I869" t="str">
        <f t="shared" si="69"/>
        <v>TCAtca.services.rcptca.merchant.id</v>
      </c>
      <c r="J869">
        <f>IF(I869="",0,COUNTIF($I$2:I869,I869))</f>
        <v>5</v>
      </c>
      <c r="K869">
        <f>COUNTIF($J$2:J869,1)</f>
        <v>144</v>
      </c>
      <c r="N869">
        <v>45</v>
      </c>
      <c r="O869" t="s">
        <v>31</v>
      </c>
      <c r="P869" t="s">
        <v>264</v>
      </c>
      <c r="Q869" t="s">
        <v>265</v>
      </c>
      <c r="R869" t="s">
        <v>290</v>
      </c>
      <c r="S869" t="s">
        <v>291</v>
      </c>
      <c r="T869" t="s">
        <v>291</v>
      </c>
      <c r="U869" t="s">
        <v>292</v>
      </c>
      <c r="V869" t="s">
        <v>277</v>
      </c>
      <c r="W869" t="s">
        <v>21</v>
      </c>
      <c r="X869" t="s">
        <v>21</v>
      </c>
      <c r="Y869">
        <v>3415643</v>
      </c>
      <c r="Z869">
        <v>5020</v>
      </c>
    </row>
    <row r="870" spans="1:26" hidden="1" x14ac:dyDescent="0.25">
      <c r="A870">
        <f>COUNTIF($P$2:P870,P870)</f>
        <v>194</v>
      </c>
      <c r="B870">
        <f>COUNTIF($A$2:A870,1)</f>
        <v>24</v>
      </c>
      <c r="C870" t="str">
        <f t="shared" si="65"/>
        <v>TCA</v>
      </c>
      <c r="D870" t="str">
        <f t="shared" si="66"/>
        <v>TCADevice</v>
      </c>
      <c r="E870">
        <f>COUNTIF($R$2:R870,R870)</f>
        <v>43</v>
      </c>
      <c r="F870">
        <f>COUNTIF($E$2:E870,1)</f>
        <v>38</v>
      </c>
      <c r="G870" t="str">
        <f t="shared" si="67"/>
        <v>tca.services.rcp</v>
      </c>
      <c r="H870" t="str">
        <f t="shared" si="68"/>
        <v>TCAtca.services.rcpDevice</v>
      </c>
      <c r="I870" t="str">
        <f t="shared" si="69"/>
        <v>TCAtca.services.rcptca.merchant.id</v>
      </c>
      <c r="J870">
        <f>IF(I870="",0,COUNTIF($I$2:I870,I870))</f>
        <v>6</v>
      </c>
      <c r="K870">
        <f>COUNTIF($J$2:J870,1)</f>
        <v>144</v>
      </c>
      <c r="N870">
        <v>1</v>
      </c>
      <c r="O870" t="s">
        <v>31</v>
      </c>
      <c r="P870" t="s">
        <v>264</v>
      </c>
      <c r="Q870" t="s">
        <v>265</v>
      </c>
      <c r="R870" t="s">
        <v>290</v>
      </c>
      <c r="S870" t="s">
        <v>291</v>
      </c>
      <c r="T870" t="s">
        <v>291</v>
      </c>
      <c r="U870" t="s">
        <v>292</v>
      </c>
      <c r="V870" t="s">
        <v>277</v>
      </c>
      <c r="W870" t="s">
        <v>21</v>
      </c>
      <c r="X870" t="s">
        <v>21</v>
      </c>
      <c r="Y870">
        <v>3415643</v>
      </c>
      <c r="Z870">
        <v>5020</v>
      </c>
    </row>
    <row r="871" spans="1:26" hidden="1" x14ac:dyDescent="0.25">
      <c r="A871">
        <f>COUNTIF($P$2:P871,P871)</f>
        <v>195</v>
      </c>
      <c r="B871">
        <f>COUNTIF($A$2:A871,1)</f>
        <v>24</v>
      </c>
      <c r="C871" t="str">
        <f t="shared" si="65"/>
        <v>TCA</v>
      </c>
      <c r="D871" t="str">
        <f t="shared" si="66"/>
        <v>TCADevice</v>
      </c>
      <c r="E871">
        <f>COUNTIF($R$2:R871,R871)</f>
        <v>44</v>
      </c>
      <c r="F871">
        <f>COUNTIF($E$2:E871,1)</f>
        <v>38</v>
      </c>
      <c r="G871" t="str">
        <f t="shared" si="67"/>
        <v>tca.services.rcp</v>
      </c>
      <c r="H871" t="str">
        <f t="shared" si="68"/>
        <v>TCAtca.services.rcpDevice</v>
      </c>
      <c r="I871" t="str">
        <f t="shared" si="69"/>
        <v>TCAtca.services.rcptca.merchant.id</v>
      </c>
      <c r="J871">
        <f>IF(I871="",0,COUNTIF($I$2:I871,I871))</f>
        <v>7</v>
      </c>
      <c r="K871">
        <f>COUNTIF($J$2:J871,1)</f>
        <v>144</v>
      </c>
      <c r="N871">
        <v>1</v>
      </c>
      <c r="O871" t="s">
        <v>31</v>
      </c>
      <c r="P871" t="s">
        <v>264</v>
      </c>
      <c r="Q871" t="s">
        <v>265</v>
      </c>
      <c r="R871" t="s">
        <v>290</v>
      </c>
      <c r="S871" t="s">
        <v>291</v>
      </c>
      <c r="T871" t="s">
        <v>291</v>
      </c>
      <c r="U871" t="s">
        <v>292</v>
      </c>
      <c r="V871" t="s">
        <v>277</v>
      </c>
      <c r="W871" t="s">
        <v>21</v>
      </c>
      <c r="X871" t="s">
        <v>21</v>
      </c>
      <c r="Y871">
        <v>3415643</v>
      </c>
      <c r="Z871">
        <v>5020</v>
      </c>
    </row>
    <row r="872" spans="1:26" hidden="1" x14ac:dyDescent="0.25">
      <c r="A872">
        <f>COUNTIF($P$2:P872,P872)</f>
        <v>196</v>
      </c>
      <c r="B872">
        <f>COUNTIF($A$2:A872,1)</f>
        <v>24</v>
      </c>
      <c r="C872" t="str">
        <f t="shared" si="65"/>
        <v>TCA</v>
      </c>
      <c r="D872" t="str">
        <f t="shared" si="66"/>
        <v>TCAParent</v>
      </c>
      <c r="E872">
        <f>COUNTIF($R$2:R872,R872)</f>
        <v>45</v>
      </c>
      <c r="F872">
        <f>COUNTIF($E$2:E872,1)</f>
        <v>38</v>
      </c>
      <c r="G872" t="str">
        <f t="shared" si="67"/>
        <v>tca.services.rcp</v>
      </c>
      <c r="H872" t="str">
        <f t="shared" si="68"/>
        <v>TCAtca.services.rcpParent</v>
      </c>
      <c r="I872" t="str">
        <f t="shared" si="69"/>
        <v>TCAtca.services.rcptca.merchant.username</v>
      </c>
      <c r="J872">
        <f>IF(I872="",0,COUNTIF($I$2:I872,I872))</f>
        <v>1</v>
      </c>
      <c r="K872">
        <f>COUNTIF($J$2:J872,1)</f>
        <v>145</v>
      </c>
      <c r="N872">
        <v>279</v>
      </c>
      <c r="O872" t="s">
        <v>15</v>
      </c>
      <c r="P872" t="s">
        <v>264</v>
      </c>
      <c r="Q872" t="s">
        <v>265</v>
      </c>
      <c r="R872" t="s">
        <v>290</v>
      </c>
      <c r="S872" t="s">
        <v>291</v>
      </c>
      <c r="T872" t="s">
        <v>291</v>
      </c>
      <c r="U872" t="s">
        <v>292</v>
      </c>
      <c r="V872" t="s">
        <v>278</v>
      </c>
      <c r="W872" t="s">
        <v>21</v>
      </c>
      <c r="X872" t="s">
        <v>21</v>
      </c>
      <c r="Y872" t="s">
        <v>279</v>
      </c>
      <c r="Z872">
        <v>5021</v>
      </c>
    </row>
    <row r="873" spans="1:26" hidden="1" x14ac:dyDescent="0.25">
      <c r="A873">
        <f>COUNTIF($P$2:P873,P873)</f>
        <v>197</v>
      </c>
      <c r="B873">
        <f>COUNTIF($A$2:A873,1)</f>
        <v>24</v>
      </c>
      <c r="C873" t="str">
        <f t="shared" si="65"/>
        <v>TCA</v>
      </c>
      <c r="D873" t="str">
        <f t="shared" si="66"/>
        <v>TCADevice</v>
      </c>
      <c r="E873">
        <f>COUNTIF($R$2:R873,R873)</f>
        <v>46</v>
      </c>
      <c r="F873">
        <f>COUNTIF($E$2:E873,1)</f>
        <v>38</v>
      </c>
      <c r="G873" t="str">
        <f t="shared" si="67"/>
        <v>tca.services.rcp</v>
      </c>
      <c r="H873" t="str">
        <f t="shared" si="68"/>
        <v>TCAtca.services.rcpDevice</v>
      </c>
      <c r="I873" t="str">
        <f t="shared" si="69"/>
        <v>TCAtca.services.rcptca.merchant.username</v>
      </c>
      <c r="J873">
        <f>IF(I873="",0,COUNTIF($I$2:I873,I873))</f>
        <v>2</v>
      </c>
      <c r="K873">
        <f>COUNTIF($J$2:J873,1)</f>
        <v>145</v>
      </c>
      <c r="N873">
        <v>1</v>
      </c>
      <c r="O873" t="s">
        <v>31</v>
      </c>
      <c r="P873" t="s">
        <v>264</v>
      </c>
      <c r="Q873" t="s">
        <v>265</v>
      </c>
      <c r="R873" t="s">
        <v>290</v>
      </c>
      <c r="S873" t="s">
        <v>291</v>
      </c>
      <c r="T873" t="s">
        <v>291</v>
      </c>
      <c r="U873" t="s">
        <v>292</v>
      </c>
      <c r="V873" t="s">
        <v>278</v>
      </c>
      <c r="W873" t="s">
        <v>21</v>
      </c>
      <c r="X873" t="s">
        <v>21</v>
      </c>
      <c r="Y873" t="s">
        <v>279</v>
      </c>
      <c r="Z873">
        <v>5021</v>
      </c>
    </row>
    <row r="874" spans="1:26" hidden="1" x14ac:dyDescent="0.25">
      <c r="A874">
        <f>COUNTIF($P$2:P874,P874)</f>
        <v>198</v>
      </c>
      <c r="B874">
        <f>COUNTIF($A$2:A874,1)</f>
        <v>24</v>
      </c>
      <c r="C874" t="str">
        <f t="shared" si="65"/>
        <v>TCA</v>
      </c>
      <c r="D874" t="str">
        <f t="shared" si="66"/>
        <v>TCAParent</v>
      </c>
      <c r="E874">
        <f>COUNTIF($R$2:R874,R874)</f>
        <v>47</v>
      </c>
      <c r="F874">
        <f>COUNTIF($E$2:E874,1)</f>
        <v>38</v>
      </c>
      <c r="G874" t="str">
        <f t="shared" si="67"/>
        <v>tca.services.rcp</v>
      </c>
      <c r="H874" t="str">
        <f t="shared" si="68"/>
        <v>TCAtca.services.rcpParent</v>
      </c>
      <c r="I874" t="str">
        <f t="shared" si="69"/>
        <v>TCAtca.services.rcptca.merchant.username</v>
      </c>
      <c r="J874">
        <f>IF(I874="",0,COUNTIF($I$2:I874,I874))</f>
        <v>3</v>
      </c>
      <c r="K874">
        <f>COUNTIF($J$2:J874,1)</f>
        <v>145</v>
      </c>
      <c r="N874">
        <v>6</v>
      </c>
      <c r="O874" t="s">
        <v>15</v>
      </c>
      <c r="P874" t="s">
        <v>264</v>
      </c>
      <c r="Q874" t="s">
        <v>265</v>
      </c>
      <c r="R874" t="s">
        <v>290</v>
      </c>
      <c r="S874" t="s">
        <v>291</v>
      </c>
      <c r="T874" t="s">
        <v>291</v>
      </c>
      <c r="U874" t="s">
        <v>292</v>
      </c>
      <c r="V874" t="s">
        <v>278</v>
      </c>
      <c r="W874" t="s">
        <v>21</v>
      </c>
      <c r="X874" t="s">
        <v>21</v>
      </c>
      <c r="Y874" t="s">
        <v>279</v>
      </c>
      <c r="Z874">
        <v>5021</v>
      </c>
    </row>
    <row r="875" spans="1:26" hidden="1" x14ac:dyDescent="0.25">
      <c r="A875">
        <f>COUNTIF($P$2:P875,P875)</f>
        <v>199</v>
      </c>
      <c r="B875">
        <f>COUNTIF($A$2:A875,1)</f>
        <v>24</v>
      </c>
      <c r="C875" t="str">
        <f t="shared" si="65"/>
        <v>TCA</v>
      </c>
      <c r="D875" t="str">
        <f t="shared" si="66"/>
        <v>TCADevice</v>
      </c>
      <c r="E875">
        <f>COUNTIF($R$2:R875,R875)</f>
        <v>48</v>
      </c>
      <c r="F875">
        <f>COUNTIF($E$2:E875,1)</f>
        <v>38</v>
      </c>
      <c r="G875" t="str">
        <f t="shared" si="67"/>
        <v>tca.services.rcp</v>
      </c>
      <c r="H875" t="str">
        <f t="shared" si="68"/>
        <v>TCAtca.services.rcpDevice</v>
      </c>
      <c r="I875" t="str">
        <f t="shared" si="69"/>
        <v>TCAtca.services.rcptca.merchant.username</v>
      </c>
      <c r="J875">
        <f>IF(I875="",0,COUNTIF($I$2:I875,I875))</f>
        <v>4</v>
      </c>
      <c r="K875">
        <f>COUNTIF($J$2:J875,1)</f>
        <v>145</v>
      </c>
      <c r="N875">
        <v>45</v>
      </c>
      <c r="O875" t="s">
        <v>31</v>
      </c>
      <c r="P875" t="s">
        <v>264</v>
      </c>
      <c r="Q875" t="s">
        <v>265</v>
      </c>
      <c r="R875" t="s">
        <v>290</v>
      </c>
      <c r="S875" t="s">
        <v>291</v>
      </c>
      <c r="T875" t="s">
        <v>291</v>
      </c>
      <c r="U875" t="s">
        <v>292</v>
      </c>
      <c r="V875" t="s">
        <v>278</v>
      </c>
      <c r="W875" t="s">
        <v>21</v>
      </c>
      <c r="X875" t="s">
        <v>21</v>
      </c>
      <c r="Y875" t="s">
        <v>279</v>
      </c>
      <c r="Z875">
        <v>5021</v>
      </c>
    </row>
    <row r="876" spans="1:26" hidden="1" x14ac:dyDescent="0.25">
      <c r="A876">
        <f>COUNTIF($P$2:P876,P876)</f>
        <v>200</v>
      </c>
      <c r="B876">
        <f>COUNTIF($A$2:A876,1)</f>
        <v>24</v>
      </c>
      <c r="C876" t="str">
        <f t="shared" si="65"/>
        <v>TCA</v>
      </c>
      <c r="D876" t="str">
        <f t="shared" si="66"/>
        <v>TCAParent</v>
      </c>
      <c r="E876">
        <f>COUNTIF($R$2:R876,R876)</f>
        <v>49</v>
      </c>
      <c r="F876">
        <f>COUNTIF($E$2:E876,1)</f>
        <v>38</v>
      </c>
      <c r="G876" t="str">
        <f t="shared" si="67"/>
        <v>tca.services.rcp</v>
      </c>
      <c r="H876" t="str">
        <f t="shared" si="68"/>
        <v>TCAtca.services.rcpParent</v>
      </c>
      <c r="I876" t="str">
        <f t="shared" si="69"/>
        <v>TCAtca.services.rcptca.merchant.username</v>
      </c>
      <c r="J876">
        <f>IF(I876="",0,COUNTIF($I$2:I876,I876))</f>
        <v>5</v>
      </c>
      <c r="K876">
        <f>COUNTIF($J$2:J876,1)</f>
        <v>145</v>
      </c>
      <c r="N876">
        <v>1</v>
      </c>
      <c r="O876" t="s">
        <v>15</v>
      </c>
      <c r="P876" t="s">
        <v>264</v>
      </c>
      <c r="Q876" t="s">
        <v>265</v>
      </c>
      <c r="R876" t="s">
        <v>290</v>
      </c>
      <c r="S876" t="s">
        <v>291</v>
      </c>
      <c r="T876" t="s">
        <v>291</v>
      </c>
      <c r="U876" t="s">
        <v>292</v>
      </c>
      <c r="V876" t="s">
        <v>278</v>
      </c>
      <c r="W876" t="s">
        <v>21</v>
      </c>
      <c r="X876" t="s">
        <v>21</v>
      </c>
      <c r="Y876" t="s">
        <v>279</v>
      </c>
      <c r="Z876">
        <v>5021</v>
      </c>
    </row>
    <row r="877" spans="1:26" hidden="1" x14ac:dyDescent="0.25">
      <c r="A877">
        <f>COUNTIF($P$2:P877,P877)</f>
        <v>201</v>
      </c>
      <c r="B877">
        <f>COUNTIF($A$2:A877,1)</f>
        <v>24</v>
      </c>
      <c r="C877" t="str">
        <f t="shared" si="65"/>
        <v>TCA</v>
      </c>
      <c r="D877" t="str">
        <f t="shared" si="66"/>
        <v>TCADevice</v>
      </c>
      <c r="E877">
        <f>COUNTIF($R$2:R877,R877)</f>
        <v>50</v>
      </c>
      <c r="F877">
        <f>COUNTIF($E$2:E877,1)</f>
        <v>38</v>
      </c>
      <c r="G877" t="str">
        <f t="shared" si="67"/>
        <v>tca.services.rcp</v>
      </c>
      <c r="H877" t="str">
        <f t="shared" si="68"/>
        <v>TCAtca.services.rcpDevice</v>
      </c>
      <c r="I877" t="str">
        <f t="shared" si="69"/>
        <v>TCAtca.services.rcptca.merchant.username</v>
      </c>
      <c r="J877">
        <f>IF(I877="",0,COUNTIF($I$2:I877,I877))</f>
        <v>6</v>
      </c>
      <c r="K877">
        <f>COUNTIF($J$2:J877,1)</f>
        <v>145</v>
      </c>
      <c r="N877">
        <v>85</v>
      </c>
      <c r="O877" t="s">
        <v>31</v>
      </c>
      <c r="P877" t="s">
        <v>264</v>
      </c>
      <c r="Q877" t="s">
        <v>265</v>
      </c>
      <c r="R877" t="s">
        <v>290</v>
      </c>
      <c r="S877" t="s">
        <v>291</v>
      </c>
      <c r="T877" t="s">
        <v>291</v>
      </c>
      <c r="U877" t="s">
        <v>292</v>
      </c>
      <c r="V877" t="s">
        <v>278</v>
      </c>
      <c r="W877" t="s">
        <v>21</v>
      </c>
      <c r="X877" t="s">
        <v>21</v>
      </c>
      <c r="Y877" t="s">
        <v>279</v>
      </c>
      <c r="Z877">
        <v>5021</v>
      </c>
    </row>
    <row r="878" spans="1:26" hidden="1" x14ac:dyDescent="0.25">
      <c r="A878">
        <f>COUNTIF($P$2:P878,P878)</f>
        <v>202</v>
      </c>
      <c r="B878">
        <f>COUNTIF($A$2:A878,1)</f>
        <v>24</v>
      </c>
      <c r="C878" t="str">
        <f t="shared" si="65"/>
        <v>TCA</v>
      </c>
      <c r="D878" t="str">
        <f t="shared" si="66"/>
        <v>TCADevice</v>
      </c>
      <c r="E878">
        <f>COUNTIF($R$2:R878,R878)</f>
        <v>51</v>
      </c>
      <c r="F878">
        <f>COUNTIF($E$2:E878,1)</f>
        <v>38</v>
      </c>
      <c r="G878" t="str">
        <f t="shared" si="67"/>
        <v>tca.services.rcp</v>
      </c>
      <c r="H878" t="str">
        <f t="shared" si="68"/>
        <v>TCAtca.services.rcpDevice</v>
      </c>
      <c r="I878" t="str">
        <f t="shared" si="69"/>
        <v>TCAtca.services.rcptca.merchant.username</v>
      </c>
      <c r="J878">
        <f>IF(I878="",0,COUNTIF($I$2:I878,I878))</f>
        <v>7</v>
      </c>
      <c r="K878">
        <f>COUNTIF($J$2:J878,1)</f>
        <v>145</v>
      </c>
      <c r="N878">
        <v>1</v>
      </c>
      <c r="O878" t="s">
        <v>31</v>
      </c>
      <c r="P878" t="s">
        <v>264</v>
      </c>
      <c r="Q878" t="s">
        <v>265</v>
      </c>
      <c r="R878" t="s">
        <v>290</v>
      </c>
      <c r="S878" t="s">
        <v>291</v>
      </c>
      <c r="T878" t="s">
        <v>291</v>
      </c>
      <c r="U878" t="s">
        <v>292</v>
      </c>
      <c r="V878" t="s">
        <v>278</v>
      </c>
      <c r="W878" t="s">
        <v>21</v>
      </c>
      <c r="X878" t="s">
        <v>21</v>
      </c>
      <c r="Y878" t="s">
        <v>279</v>
      </c>
      <c r="Z878">
        <v>5021</v>
      </c>
    </row>
    <row r="879" spans="1:26" hidden="1" x14ac:dyDescent="0.25">
      <c r="A879">
        <f>COUNTIF($P$2:P879,P879)</f>
        <v>203</v>
      </c>
      <c r="B879">
        <f>COUNTIF($A$2:A879,1)</f>
        <v>24</v>
      </c>
      <c r="C879" t="str">
        <f t="shared" si="65"/>
        <v>TCA</v>
      </c>
      <c r="D879" t="str">
        <f t="shared" si="66"/>
        <v>TCAIntegrator</v>
      </c>
      <c r="E879">
        <f>COUNTIF($R$2:R879,R879)</f>
        <v>52</v>
      </c>
      <c r="F879">
        <f>COUNTIF($E$2:E879,1)</f>
        <v>38</v>
      </c>
      <c r="G879" t="str">
        <f t="shared" si="67"/>
        <v>tca.services.rcp</v>
      </c>
      <c r="H879" t="str">
        <f t="shared" si="68"/>
        <v>TCAtca.services.rcpIntegrator</v>
      </c>
      <c r="I879" t="str">
        <f t="shared" si="69"/>
        <v/>
      </c>
      <c r="J879">
        <f>IF(I879="",0,COUNTIF($I$2:I879,I879))</f>
        <v>0</v>
      </c>
      <c r="K879">
        <f>COUNTIF($J$2:J879,1)</f>
        <v>145</v>
      </c>
      <c r="N879">
        <v>26</v>
      </c>
      <c r="O879" t="s">
        <v>23</v>
      </c>
      <c r="P879" t="s">
        <v>264</v>
      </c>
      <c r="Q879" t="s">
        <v>265</v>
      </c>
      <c r="R879" t="s">
        <v>290</v>
      </c>
      <c r="S879" t="s">
        <v>291</v>
      </c>
      <c r="T879" t="s">
        <v>291</v>
      </c>
      <c r="U879" t="s">
        <v>292</v>
      </c>
      <c r="W879" t="s">
        <v>21</v>
      </c>
    </row>
    <row r="880" spans="1:26" hidden="1" x14ac:dyDescent="0.25">
      <c r="A880">
        <f>COUNTIF($P$2:P880,P880)</f>
        <v>204</v>
      </c>
      <c r="B880">
        <f>COUNTIF($A$2:A880,1)</f>
        <v>24</v>
      </c>
      <c r="C880" t="str">
        <f t="shared" si="65"/>
        <v>TCA</v>
      </c>
      <c r="D880" t="str">
        <f t="shared" si="66"/>
        <v>TCADevice</v>
      </c>
      <c r="E880">
        <f>COUNTIF($R$2:R880,R880)</f>
        <v>53</v>
      </c>
      <c r="F880">
        <f>COUNTIF($E$2:E880,1)</f>
        <v>38</v>
      </c>
      <c r="G880" t="str">
        <f t="shared" si="67"/>
        <v>tca.services.rcp</v>
      </c>
      <c r="H880" t="str">
        <f t="shared" si="68"/>
        <v>TCAtca.services.rcpDevice</v>
      </c>
      <c r="I880" t="str">
        <f t="shared" si="69"/>
        <v/>
      </c>
      <c r="J880">
        <f>IF(I880="",0,COUNTIF($I$2:I880,I880))</f>
        <v>0</v>
      </c>
      <c r="K880">
        <f>COUNTIF($J$2:J880,1)</f>
        <v>145</v>
      </c>
      <c r="N880">
        <v>4</v>
      </c>
      <c r="O880" t="s">
        <v>31</v>
      </c>
      <c r="P880" t="s">
        <v>264</v>
      </c>
      <c r="Q880" t="s">
        <v>265</v>
      </c>
      <c r="R880" t="s">
        <v>290</v>
      </c>
      <c r="S880" t="s">
        <v>291</v>
      </c>
      <c r="T880" t="s">
        <v>291</v>
      </c>
      <c r="U880" t="s">
        <v>292</v>
      </c>
      <c r="W880" t="s">
        <v>21</v>
      </c>
    </row>
    <row r="881" spans="1:26" hidden="1" x14ac:dyDescent="0.25">
      <c r="A881">
        <f>COUNTIF($P$2:P881,P881)</f>
        <v>205</v>
      </c>
      <c r="B881">
        <f>COUNTIF($A$2:A881,1)</f>
        <v>24</v>
      </c>
      <c r="C881" t="str">
        <f t="shared" si="65"/>
        <v>TCA</v>
      </c>
      <c r="D881" t="str">
        <f t="shared" si="66"/>
        <v>TCADevice</v>
      </c>
      <c r="E881">
        <f>COUNTIF($R$2:R881,R881)</f>
        <v>54</v>
      </c>
      <c r="F881">
        <f>COUNTIF($E$2:E881,1)</f>
        <v>38</v>
      </c>
      <c r="G881" t="str">
        <f t="shared" si="67"/>
        <v>tca.services.rcp</v>
      </c>
      <c r="H881" t="str">
        <f t="shared" si="68"/>
        <v>TCAtca.services.rcpDevice</v>
      </c>
      <c r="I881" t="str">
        <f t="shared" si="69"/>
        <v/>
      </c>
      <c r="J881">
        <f>IF(I881="",0,COUNTIF($I$2:I881,I881))</f>
        <v>0</v>
      </c>
      <c r="K881">
        <f>COUNTIF($J$2:J881,1)</f>
        <v>145</v>
      </c>
      <c r="N881">
        <v>44</v>
      </c>
      <c r="O881" t="s">
        <v>31</v>
      </c>
      <c r="P881" t="s">
        <v>264</v>
      </c>
      <c r="Q881" t="s">
        <v>265</v>
      </c>
      <c r="R881" t="s">
        <v>290</v>
      </c>
      <c r="S881" t="s">
        <v>291</v>
      </c>
      <c r="T881" t="s">
        <v>291</v>
      </c>
      <c r="U881" t="s">
        <v>292</v>
      </c>
      <c r="W881" t="s">
        <v>21</v>
      </c>
    </row>
    <row r="882" spans="1:26" hidden="1" x14ac:dyDescent="0.25">
      <c r="A882">
        <f>COUNTIF($P$2:P882,P882)</f>
        <v>206</v>
      </c>
      <c r="B882">
        <f>COUNTIF($A$2:A882,1)</f>
        <v>24</v>
      </c>
      <c r="C882" t="str">
        <f t="shared" si="65"/>
        <v>TCA</v>
      </c>
      <c r="D882" t="str">
        <f t="shared" si="66"/>
        <v>TCAParent</v>
      </c>
      <c r="E882">
        <f>COUNTIF($R$2:R882,R882)</f>
        <v>55</v>
      </c>
      <c r="F882">
        <f>COUNTIF($E$2:E882,1)</f>
        <v>38</v>
      </c>
      <c r="G882" t="str">
        <f t="shared" si="67"/>
        <v>tca.services.rcp</v>
      </c>
      <c r="H882" t="str">
        <f t="shared" si="68"/>
        <v>TCAtca.services.rcpParent</v>
      </c>
      <c r="I882" t="str">
        <f t="shared" si="69"/>
        <v/>
      </c>
      <c r="J882">
        <f>IF(I882="",0,COUNTIF($I$2:I882,I882))</f>
        <v>0</v>
      </c>
      <c r="K882">
        <f>COUNTIF($J$2:J882,1)</f>
        <v>145</v>
      </c>
      <c r="N882">
        <v>3</v>
      </c>
      <c r="O882" t="s">
        <v>15</v>
      </c>
      <c r="P882" t="s">
        <v>264</v>
      </c>
      <c r="Q882" t="s">
        <v>265</v>
      </c>
      <c r="R882" t="s">
        <v>290</v>
      </c>
      <c r="S882" t="s">
        <v>291</v>
      </c>
      <c r="T882" t="s">
        <v>291</v>
      </c>
      <c r="U882" t="s">
        <v>292</v>
      </c>
      <c r="W882" t="s">
        <v>21</v>
      </c>
    </row>
    <row r="883" spans="1:26" hidden="1" x14ac:dyDescent="0.25">
      <c r="A883">
        <f>COUNTIF($P$2:P883,P883)</f>
        <v>207</v>
      </c>
      <c r="B883">
        <f>COUNTIF($A$2:A883,1)</f>
        <v>24</v>
      </c>
      <c r="C883" t="str">
        <f t="shared" si="65"/>
        <v>TCA</v>
      </c>
      <c r="D883" t="str">
        <f t="shared" si="66"/>
        <v>TCAParent</v>
      </c>
      <c r="E883">
        <f>COUNTIF($R$2:R883,R883)</f>
        <v>56</v>
      </c>
      <c r="F883">
        <f>COUNTIF($E$2:E883,1)</f>
        <v>38</v>
      </c>
      <c r="G883" t="str">
        <f t="shared" si="67"/>
        <v>tca.services.rcp</v>
      </c>
      <c r="H883" t="str">
        <f t="shared" si="68"/>
        <v>TCAtca.services.rcpParent</v>
      </c>
      <c r="I883" t="str">
        <f t="shared" si="69"/>
        <v/>
      </c>
      <c r="J883">
        <f>IF(I883="",0,COUNTIF($I$2:I883,I883))</f>
        <v>0</v>
      </c>
      <c r="K883">
        <f>COUNTIF($J$2:J883,1)</f>
        <v>145</v>
      </c>
      <c r="N883">
        <v>1</v>
      </c>
      <c r="O883" t="s">
        <v>15</v>
      </c>
      <c r="P883" t="s">
        <v>264</v>
      </c>
      <c r="Q883" t="s">
        <v>265</v>
      </c>
      <c r="R883" t="s">
        <v>290</v>
      </c>
      <c r="S883" t="s">
        <v>291</v>
      </c>
      <c r="T883" t="s">
        <v>291</v>
      </c>
      <c r="U883" t="s">
        <v>292</v>
      </c>
      <c r="W883" t="s">
        <v>21</v>
      </c>
    </row>
    <row r="884" spans="1:26" hidden="1" x14ac:dyDescent="0.25">
      <c r="A884">
        <f>COUNTIF($P$2:P884,P884)</f>
        <v>208</v>
      </c>
      <c r="B884">
        <f>COUNTIF($A$2:A884,1)</f>
        <v>24</v>
      </c>
      <c r="C884" t="str">
        <f t="shared" si="65"/>
        <v>TCA</v>
      </c>
      <c r="D884" t="str">
        <f t="shared" si="66"/>
        <v>TCAParent</v>
      </c>
      <c r="E884">
        <f>COUNTIF($R$2:R884,R884)</f>
        <v>57</v>
      </c>
      <c r="F884">
        <f>COUNTIF($E$2:E884,1)</f>
        <v>38</v>
      </c>
      <c r="G884" t="str">
        <f t="shared" si="67"/>
        <v>tca.services.rcp</v>
      </c>
      <c r="H884" t="str">
        <f t="shared" si="68"/>
        <v>TCAtca.services.rcpParent</v>
      </c>
      <c r="I884" t="str">
        <f t="shared" si="69"/>
        <v/>
      </c>
      <c r="J884">
        <f>IF(I884="",0,COUNTIF($I$2:I884,I884))</f>
        <v>0</v>
      </c>
      <c r="K884">
        <f>COUNTIF($J$2:J884,1)</f>
        <v>145</v>
      </c>
      <c r="N884">
        <v>265</v>
      </c>
      <c r="O884" t="s">
        <v>15</v>
      </c>
      <c r="P884" t="s">
        <v>264</v>
      </c>
      <c r="Q884" t="s">
        <v>265</v>
      </c>
      <c r="R884" t="s">
        <v>290</v>
      </c>
      <c r="S884" t="s">
        <v>291</v>
      </c>
      <c r="T884" t="s">
        <v>291</v>
      </c>
      <c r="U884" t="s">
        <v>292</v>
      </c>
      <c r="W884" t="s">
        <v>22</v>
      </c>
    </row>
    <row r="885" spans="1:26" hidden="1" x14ac:dyDescent="0.25">
      <c r="A885">
        <f>COUNTIF($P$2:P885,P885)</f>
        <v>209</v>
      </c>
      <c r="B885">
        <f>COUNTIF($A$2:A885,1)</f>
        <v>24</v>
      </c>
      <c r="C885" t="str">
        <f t="shared" si="65"/>
        <v>TCA</v>
      </c>
      <c r="D885" t="str">
        <f t="shared" si="66"/>
        <v>TCADevice</v>
      </c>
      <c r="E885">
        <f>COUNTIF($R$2:R885,R885)</f>
        <v>58</v>
      </c>
      <c r="F885">
        <f>COUNTIF($E$2:E885,1)</f>
        <v>38</v>
      </c>
      <c r="G885" t="str">
        <f t="shared" si="67"/>
        <v>tca.services.rcp</v>
      </c>
      <c r="H885" t="str">
        <f t="shared" si="68"/>
        <v>TCAtca.services.rcpDevice</v>
      </c>
      <c r="I885" t="str">
        <f t="shared" si="69"/>
        <v/>
      </c>
      <c r="J885">
        <f>IF(I885="",0,COUNTIF($I$2:I885,I885))</f>
        <v>0</v>
      </c>
      <c r="K885">
        <f>COUNTIF($J$2:J885,1)</f>
        <v>145</v>
      </c>
      <c r="N885">
        <v>1</v>
      </c>
      <c r="O885" t="s">
        <v>31</v>
      </c>
      <c r="P885" t="s">
        <v>264</v>
      </c>
      <c r="Q885" t="s">
        <v>265</v>
      </c>
      <c r="R885" t="s">
        <v>290</v>
      </c>
      <c r="S885" t="s">
        <v>291</v>
      </c>
      <c r="T885" t="s">
        <v>291</v>
      </c>
      <c r="U885" t="s">
        <v>292</v>
      </c>
      <c r="W885" t="s">
        <v>21</v>
      </c>
    </row>
    <row r="886" spans="1:26" hidden="1" x14ac:dyDescent="0.25">
      <c r="A886">
        <f>COUNTIF($P$2:P886,P886)</f>
        <v>210</v>
      </c>
      <c r="B886">
        <f>COUNTIF($A$2:A886,1)</f>
        <v>24</v>
      </c>
      <c r="C886" t="str">
        <f t="shared" si="65"/>
        <v>TCA</v>
      </c>
      <c r="D886" t="str">
        <f t="shared" si="66"/>
        <v>TCAIntegrator</v>
      </c>
      <c r="E886">
        <f>COUNTIF($R$2:R886,R886)</f>
        <v>59</v>
      </c>
      <c r="F886">
        <f>COUNTIF($E$2:E886,1)</f>
        <v>38</v>
      </c>
      <c r="G886" t="str">
        <f t="shared" si="67"/>
        <v>tca.services.rcp</v>
      </c>
      <c r="H886" t="str">
        <f t="shared" si="68"/>
        <v>TCAtca.services.rcpIntegrator</v>
      </c>
      <c r="I886" t="str">
        <f t="shared" si="69"/>
        <v/>
      </c>
      <c r="J886">
        <f>IF(I886="",0,COUNTIF($I$2:I886,I886))</f>
        <v>0</v>
      </c>
      <c r="K886">
        <f>COUNTIF($J$2:J886,1)</f>
        <v>145</v>
      </c>
      <c r="N886">
        <v>33</v>
      </c>
      <c r="O886" t="s">
        <v>23</v>
      </c>
      <c r="P886" t="s">
        <v>264</v>
      </c>
      <c r="Q886" t="s">
        <v>265</v>
      </c>
      <c r="R886" t="s">
        <v>290</v>
      </c>
      <c r="S886" t="s">
        <v>291</v>
      </c>
      <c r="T886" t="s">
        <v>291</v>
      </c>
      <c r="U886" t="s">
        <v>292</v>
      </c>
      <c r="W886" t="s">
        <v>22</v>
      </c>
    </row>
    <row r="887" spans="1:26" hidden="1" x14ac:dyDescent="0.25">
      <c r="A887">
        <f>COUNTIF($P$2:P887,P887)</f>
        <v>211</v>
      </c>
      <c r="B887">
        <f>COUNTIF($A$2:A887,1)</f>
        <v>24</v>
      </c>
      <c r="C887" t="str">
        <f t="shared" si="65"/>
        <v>TCA</v>
      </c>
      <c r="D887" t="str">
        <f t="shared" si="66"/>
        <v>TCAParent</v>
      </c>
      <c r="E887">
        <f>COUNTIF($R$2:R887,R887)</f>
        <v>60</v>
      </c>
      <c r="F887">
        <f>COUNTIF($E$2:E887,1)</f>
        <v>38</v>
      </c>
      <c r="G887" t="str">
        <f t="shared" si="67"/>
        <v>tca.services.rcp</v>
      </c>
      <c r="H887" t="str">
        <f t="shared" si="68"/>
        <v>TCAtca.services.rcpParent</v>
      </c>
      <c r="I887" t="str">
        <f t="shared" si="69"/>
        <v/>
      </c>
      <c r="J887">
        <f>IF(I887="",0,COUNTIF($I$2:I887,I887))</f>
        <v>0</v>
      </c>
      <c r="K887">
        <f>COUNTIF($J$2:J887,1)</f>
        <v>145</v>
      </c>
      <c r="N887">
        <v>35</v>
      </c>
      <c r="O887" t="s">
        <v>15</v>
      </c>
      <c r="P887" t="s">
        <v>264</v>
      </c>
      <c r="Q887" t="s">
        <v>265</v>
      </c>
      <c r="R887" t="s">
        <v>290</v>
      </c>
      <c r="S887" t="s">
        <v>291</v>
      </c>
      <c r="T887" t="s">
        <v>291</v>
      </c>
      <c r="U887" t="s">
        <v>292</v>
      </c>
      <c r="W887" t="s">
        <v>22</v>
      </c>
    </row>
    <row r="888" spans="1:26" hidden="1" x14ac:dyDescent="0.25">
      <c r="A888">
        <f>COUNTIF($P$2:P888,P888)</f>
        <v>212</v>
      </c>
      <c r="B888">
        <f>COUNTIF($A$2:A888,1)</f>
        <v>24</v>
      </c>
      <c r="C888" t="str">
        <f t="shared" si="65"/>
        <v>TCA</v>
      </c>
      <c r="D888" t="str">
        <f t="shared" si="66"/>
        <v>TCADevice</v>
      </c>
      <c r="E888">
        <f>COUNTIF($R$2:R888,R888)</f>
        <v>61</v>
      </c>
      <c r="F888">
        <f>COUNTIF($E$2:E888,1)</f>
        <v>38</v>
      </c>
      <c r="G888" t="str">
        <f t="shared" si="67"/>
        <v>tca.services.rcp</v>
      </c>
      <c r="H888" t="str">
        <f t="shared" si="68"/>
        <v>TCAtca.services.rcpDevice</v>
      </c>
      <c r="I888" t="str">
        <f t="shared" si="69"/>
        <v/>
      </c>
      <c r="J888">
        <f>IF(I888="",0,COUNTIF($I$2:I888,I888))</f>
        <v>0</v>
      </c>
      <c r="K888">
        <f>COUNTIF($J$2:J888,1)</f>
        <v>145</v>
      </c>
      <c r="N888">
        <v>35</v>
      </c>
      <c r="O888" t="s">
        <v>31</v>
      </c>
      <c r="P888" t="s">
        <v>264</v>
      </c>
      <c r="Q888" t="s">
        <v>265</v>
      </c>
      <c r="R888" t="s">
        <v>290</v>
      </c>
      <c r="S888" t="s">
        <v>291</v>
      </c>
      <c r="T888" t="s">
        <v>291</v>
      </c>
      <c r="U888" t="s">
        <v>292</v>
      </c>
      <c r="W888" t="s">
        <v>22</v>
      </c>
    </row>
    <row r="889" spans="1:26" hidden="1" x14ac:dyDescent="0.25">
      <c r="A889">
        <f>COUNTIF($P$2:P889,P889)</f>
        <v>213</v>
      </c>
      <c r="B889">
        <f>COUNTIF($A$2:A889,1)</f>
        <v>24</v>
      </c>
      <c r="C889" t="str">
        <f t="shared" si="65"/>
        <v>TCA</v>
      </c>
      <c r="D889" t="str">
        <f t="shared" si="66"/>
        <v>TCAParent</v>
      </c>
      <c r="E889">
        <f>COUNTIF($R$2:R889,R889)</f>
        <v>62</v>
      </c>
      <c r="F889">
        <f>COUNTIF($E$2:E889,1)</f>
        <v>38</v>
      </c>
      <c r="G889" t="str">
        <f t="shared" si="67"/>
        <v>tca.services.rcp</v>
      </c>
      <c r="H889" t="str">
        <f t="shared" si="68"/>
        <v>TCAtca.services.rcpParent</v>
      </c>
      <c r="I889" t="str">
        <f t="shared" si="69"/>
        <v/>
      </c>
      <c r="J889">
        <f>IF(I889="",0,COUNTIF($I$2:I889,I889))</f>
        <v>0</v>
      </c>
      <c r="K889">
        <f>COUNTIF($J$2:J889,1)</f>
        <v>145</v>
      </c>
      <c r="N889">
        <v>42</v>
      </c>
      <c r="O889" t="s">
        <v>15</v>
      </c>
      <c r="P889" t="s">
        <v>264</v>
      </c>
      <c r="Q889" t="s">
        <v>265</v>
      </c>
      <c r="R889" t="s">
        <v>290</v>
      </c>
      <c r="S889" t="s">
        <v>291</v>
      </c>
      <c r="T889" t="s">
        <v>291</v>
      </c>
      <c r="U889" t="s">
        <v>292</v>
      </c>
      <c r="W889" t="s">
        <v>21</v>
      </c>
    </row>
    <row r="890" spans="1:26" hidden="1" x14ac:dyDescent="0.25">
      <c r="A890">
        <f>COUNTIF($P$2:P890,P890)</f>
        <v>214</v>
      </c>
      <c r="B890">
        <f>COUNTIF($A$2:A890,1)</f>
        <v>24</v>
      </c>
      <c r="C890" t="str">
        <f t="shared" si="65"/>
        <v>TCA</v>
      </c>
      <c r="D890" t="str">
        <f t="shared" si="66"/>
        <v>TCAParent</v>
      </c>
      <c r="E890">
        <f>COUNTIF($R$2:R890,R890)</f>
        <v>63</v>
      </c>
      <c r="F890">
        <f>COUNTIF($E$2:E890,1)</f>
        <v>38</v>
      </c>
      <c r="G890" t="str">
        <f t="shared" si="67"/>
        <v>tca.services.rcp</v>
      </c>
      <c r="H890" t="str">
        <f t="shared" si="68"/>
        <v>TCAtca.services.rcpParent</v>
      </c>
      <c r="I890" t="str">
        <f t="shared" si="69"/>
        <v/>
      </c>
      <c r="J890">
        <f>IF(I890="",0,COUNTIF($I$2:I890,I890))</f>
        <v>0</v>
      </c>
      <c r="K890">
        <f>COUNTIF($J$2:J890,1)</f>
        <v>145</v>
      </c>
      <c r="N890">
        <v>2</v>
      </c>
      <c r="O890" t="s">
        <v>15</v>
      </c>
      <c r="P890" t="s">
        <v>264</v>
      </c>
      <c r="Q890" t="s">
        <v>265</v>
      </c>
      <c r="R890" t="s">
        <v>290</v>
      </c>
      <c r="S890" t="s">
        <v>291</v>
      </c>
      <c r="T890" t="s">
        <v>291</v>
      </c>
      <c r="U890" t="s">
        <v>292</v>
      </c>
      <c r="W890" t="s">
        <v>21</v>
      </c>
    </row>
    <row r="891" spans="1:26" hidden="1" x14ac:dyDescent="0.25">
      <c r="A891">
        <f>COUNTIF($P$2:P891,P891)</f>
        <v>1</v>
      </c>
      <c r="B891">
        <f>COUNTIF($A$2:A891,1)</f>
        <v>25</v>
      </c>
      <c r="C891" t="str">
        <f t="shared" si="65"/>
        <v>VMS</v>
      </c>
      <c r="D891" t="str">
        <f t="shared" si="66"/>
        <v>VMSIntegrator</v>
      </c>
      <c r="E891">
        <f>COUNTIF($R$2:R891,R891)</f>
        <v>1</v>
      </c>
      <c r="F891">
        <f>COUNTIF($E$2:E891,1)</f>
        <v>39</v>
      </c>
      <c r="G891" t="str">
        <f t="shared" si="67"/>
        <v>verifyme.services.verifyme</v>
      </c>
      <c r="H891" t="str">
        <f t="shared" si="68"/>
        <v>VMSverifyme.services.verifymeIntegrator</v>
      </c>
      <c r="I891" t="str">
        <f t="shared" si="69"/>
        <v>VMSverifyme.services.verifymeentity.avs.webhook.url</v>
      </c>
      <c r="J891">
        <f>IF(I891="",0,COUNTIF($I$2:I891,I891))</f>
        <v>1</v>
      </c>
      <c r="K891">
        <f>COUNTIF($J$2:J891,1)</f>
        <v>146</v>
      </c>
      <c r="N891">
        <v>1</v>
      </c>
      <c r="O891" t="s">
        <v>23</v>
      </c>
      <c r="P891" t="s">
        <v>297</v>
      </c>
      <c r="Q891" t="s">
        <v>298</v>
      </c>
      <c r="R891" t="s">
        <v>299</v>
      </c>
      <c r="S891" t="s">
        <v>300</v>
      </c>
      <c r="T891" t="s">
        <v>301</v>
      </c>
      <c r="U891" t="s">
        <v>20</v>
      </c>
      <c r="V891" t="s">
        <v>302</v>
      </c>
      <c r="W891" t="s">
        <v>22</v>
      </c>
      <c r="X891" t="s">
        <v>22</v>
      </c>
      <c r="Y891" t="s">
        <v>303</v>
      </c>
      <c r="Z891">
        <v>460</v>
      </c>
    </row>
    <row r="892" spans="1:26" hidden="1" x14ac:dyDescent="0.25">
      <c r="A892">
        <f>COUNTIF($P$2:P892,P892)</f>
        <v>2</v>
      </c>
      <c r="B892">
        <f>COUNTIF($A$2:A892,1)</f>
        <v>25</v>
      </c>
      <c r="C892" t="str">
        <f t="shared" si="65"/>
        <v>VMS</v>
      </c>
      <c r="D892" t="str">
        <f t="shared" si="66"/>
        <v>VMSIntegrator</v>
      </c>
      <c r="E892">
        <f>COUNTIF($R$2:R892,R892)</f>
        <v>2</v>
      </c>
      <c r="F892">
        <f>COUNTIF($E$2:E892,1)</f>
        <v>39</v>
      </c>
      <c r="G892" t="str">
        <f t="shared" si="67"/>
        <v>verifyme.services.verifyme</v>
      </c>
      <c r="H892" t="str">
        <f t="shared" si="68"/>
        <v>VMSverifyme.services.verifymeIntegrator</v>
      </c>
      <c r="I892" t="str">
        <f t="shared" si="69"/>
        <v>VMSverifyme.services.verifymeentity.bss.redirect.url</v>
      </c>
      <c r="J892">
        <f>IF(I892="",0,COUNTIF($I$2:I892,I892))</f>
        <v>1</v>
      </c>
      <c r="K892">
        <f>COUNTIF($J$2:J892,1)</f>
        <v>147</v>
      </c>
      <c r="N892">
        <v>1</v>
      </c>
      <c r="O892" t="s">
        <v>23</v>
      </c>
      <c r="P892" t="s">
        <v>297</v>
      </c>
      <c r="Q892" t="s">
        <v>298</v>
      </c>
      <c r="R892" t="s">
        <v>299</v>
      </c>
      <c r="S892" t="s">
        <v>300</v>
      </c>
      <c r="T892" t="s">
        <v>301</v>
      </c>
      <c r="U892" t="s">
        <v>20</v>
      </c>
      <c r="V892" t="s">
        <v>304</v>
      </c>
      <c r="W892" t="s">
        <v>22</v>
      </c>
      <c r="X892" t="s">
        <v>22</v>
      </c>
      <c r="Y892" t="s">
        <v>305</v>
      </c>
      <c r="Z892">
        <v>464</v>
      </c>
    </row>
    <row r="893" spans="1:26" hidden="1" x14ac:dyDescent="0.25">
      <c r="A893">
        <f>COUNTIF($P$2:P893,P893)</f>
        <v>3</v>
      </c>
      <c r="B893">
        <f>COUNTIF($A$2:A893,1)</f>
        <v>25</v>
      </c>
      <c r="C893" t="str">
        <f t="shared" si="65"/>
        <v>VMS</v>
      </c>
      <c r="D893" t="str">
        <f t="shared" si="66"/>
        <v>VMSIntegrator</v>
      </c>
      <c r="E893">
        <f>COUNTIF($R$2:R893,R893)</f>
        <v>3</v>
      </c>
      <c r="F893">
        <f>COUNTIF($E$2:E893,1)</f>
        <v>39</v>
      </c>
      <c r="G893" t="str">
        <f t="shared" si="67"/>
        <v>verifyme.services.verifyme</v>
      </c>
      <c r="H893" t="str">
        <f t="shared" si="68"/>
        <v>VMSverifyme.services.verifymeIntegrator</v>
      </c>
      <c r="I893" t="str">
        <f t="shared" si="69"/>
        <v>VMSverifyme.services.verifymeentity.bss.webhook.url</v>
      </c>
      <c r="J893">
        <f>IF(I893="",0,COUNTIF($I$2:I893,I893))</f>
        <v>1</v>
      </c>
      <c r="K893">
        <f>COUNTIF($J$2:J893,1)</f>
        <v>148</v>
      </c>
      <c r="N893">
        <v>1</v>
      </c>
      <c r="O893" t="s">
        <v>23</v>
      </c>
      <c r="P893" t="s">
        <v>297</v>
      </c>
      <c r="Q893" t="s">
        <v>298</v>
      </c>
      <c r="R893" t="s">
        <v>299</v>
      </c>
      <c r="S893" t="s">
        <v>300</v>
      </c>
      <c r="T893" t="s">
        <v>301</v>
      </c>
      <c r="U893" t="s">
        <v>20</v>
      </c>
      <c r="V893" t="s">
        <v>306</v>
      </c>
      <c r="W893" t="s">
        <v>22</v>
      </c>
      <c r="X893" t="s">
        <v>22</v>
      </c>
      <c r="Y893" t="s">
        <v>307</v>
      </c>
      <c r="Z893">
        <v>462</v>
      </c>
    </row>
    <row r="894" spans="1:26" hidden="1" x14ac:dyDescent="0.25">
      <c r="A894">
        <f>COUNTIF($P$2:P894,P894)</f>
        <v>4</v>
      </c>
      <c r="B894">
        <f>COUNTIF($A$2:A894,1)</f>
        <v>25</v>
      </c>
      <c r="C894" t="str">
        <f t="shared" si="65"/>
        <v>VMS</v>
      </c>
      <c r="D894" t="str">
        <f t="shared" si="66"/>
        <v>VMSIntegrator</v>
      </c>
      <c r="E894">
        <f>COUNTIF($R$2:R894,R894)</f>
        <v>4</v>
      </c>
      <c r="F894">
        <f>COUNTIF($E$2:E894,1)</f>
        <v>39</v>
      </c>
      <c r="G894" t="str">
        <f t="shared" si="67"/>
        <v>verifyme.services.verifyme</v>
      </c>
      <c r="H894" t="str">
        <f t="shared" si="68"/>
        <v>VMSverifyme.services.verifymeIntegrator</v>
      </c>
      <c r="I894" t="str">
        <f t="shared" si="69"/>
        <v>VMSverifyme.services.verifymeentity.client.secret</v>
      </c>
      <c r="J894">
        <f>IF(I894="",0,COUNTIF($I$2:I894,I894))</f>
        <v>1</v>
      </c>
      <c r="K894">
        <f>COUNTIF($J$2:J894,1)</f>
        <v>149</v>
      </c>
      <c r="N894">
        <v>1</v>
      </c>
      <c r="O894" t="s">
        <v>23</v>
      </c>
      <c r="P894" t="s">
        <v>297</v>
      </c>
      <c r="Q894" t="s">
        <v>298</v>
      </c>
      <c r="R894" t="s">
        <v>299</v>
      </c>
      <c r="S894" t="s">
        <v>300</v>
      </c>
      <c r="T894" t="s">
        <v>301</v>
      </c>
      <c r="U894" t="s">
        <v>20</v>
      </c>
      <c r="V894" t="s">
        <v>308</v>
      </c>
      <c r="W894" t="s">
        <v>22</v>
      </c>
      <c r="X894" t="s">
        <v>22</v>
      </c>
      <c r="Y894" t="s">
        <v>309</v>
      </c>
      <c r="Z894">
        <v>459</v>
      </c>
    </row>
    <row r="895" spans="1:26" hidden="1" x14ac:dyDescent="0.25">
      <c r="A895">
        <f>COUNTIF($P$2:P895,P895)</f>
        <v>5</v>
      </c>
      <c r="B895">
        <f>COUNTIF($A$2:A895,1)</f>
        <v>25</v>
      </c>
      <c r="C895" t="str">
        <f t="shared" si="65"/>
        <v>VMS</v>
      </c>
      <c r="D895" t="str">
        <f t="shared" si="66"/>
        <v>VMSIntegrator</v>
      </c>
      <c r="E895">
        <f>COUNTIF($R$2:R895,R895)</f>
        <v>5</v>
      </c>
      <c r="F895">
        <f>COUNTIF($E$2:E895,1)</f>
        <v>39</v>
      </c>
      <c r="G895" t="str">
        <f t="shared" si="67"/>
        <v>verifyme.services.verifyme</v>
      </c>
      <c r="H895" t="str">
        <f t="shared" si="68"/>
        <v>VMSverifyme.services.verifymeIntegrator</v>
      </c>
      <c r="I895" t="str">
        <f t="shared" si="69"/>
        <v>VMSverifyme.services.verifymeentity.liveness.redirect.url</v>
      </c>
      <c r="J895">
        <f>IF(I895="",0,COUNTIF($I$2:I895,I895))</f>
        <v>1</v>
      </c>
      <c r="K895">
        <f>COUNTIF($J$2:J895,1)</f>
        <v>150</v>
      </c>
      <c r="N895">
        <v>1</v>
      </c>
      <c r="O895" t="s">
        <v>23</v>
      </c>
      <c r="P895" t="s">
        <v>297</v>
      </c>
      <c r="Q895" t="s">
        <v>298</v>
      </c>
      <c r="R895" t="s">
        <v>299</v>
      </c>
      <c r="S895" t="s">
        <v>300</v>
      </c>
      <c r="T895" t="s">
        <v>301</v>
      </c>
      <c r="U895" t="s">
        <v>20</v>
      </c>
      <c r="V895" t="s">
        <v>310</v>
      </c>
      <c r="W895" t="s">
        <v>22</v>
      </c>
      <c r="X895" t="s">
        <v>22</v>
      </c>
      <c r="Y895" t="s">
        <v>311</v>
      </c>
      <c r="Z895">
        <v>465</v>
      </c>
    </row>
    <row r="896" spans="1:26" hidden="1" x14ac:dyDescent="0.25">
      <c r="A896">
        <f>COUNTIF($P$2:P896,P896)</f>
        <v>6</v>
      </c>
      <c r="B896">
        <f>COUNTIF($A$2:A896,1)</f>
        <v>25</v>
      </c>
      <c r="C896" t="str">
        <f t="shared" si="65"/>
        <v>VMS</v>
      </c>
      <c r="D896" t="str">
        <f t="shared" si="66"/>
        <v>VMSIntegrator</v>
      </c>
      <c r="E896">
        <f>COUNTIF($R$2:R896,R896)</f>
        <v>6</v>
      </c>
      <c r="F896">
        <f>COUNTIF($E$2:E896,1)</f>
        <v>39</v>
      </c>
      <c r="G896" t="str">
        <f t="shared" si="67"/>
        <v>verifyme.services.verifyme</v>
      </c>
      <c r="H896" t="str">
        <f t="shared" si="68"/>
        <v>VMSverifyme.services.verifymeIntegrator</v>
      </c>
      <c r="I896" t="str">
        <f t="shared" si="69"/>
        <v>VMSverifyme.services.verifymeentity.liveness.webhook.url</v>
      </c>
      <c r="J896">
        <f>IF(I896="",0,COUNTIF($I$2:I896,I896))</f>
        <v>1</v>
      </c>
      <c r="K896">
        <f>COUNTIF($J$2:J896,1)</f>
        <v>151</v>
      </c>
      <c r="N896">
        <v>1</v>
      </c>
      <c r="O896" t="s">
        <v>23</v>
      </c>
      <c r="P896" t="s">
        <v>297</v>
      </c>
      <c r="Q896" t="s">
        <v>298</v>
      </c>
      <c r="R896" t="s">
        <v>299</v>
      </c>
      <c r="S896" t="s">
        <v>300</v>
      </c>
      <c r="T896" t="s">
        <v>301</v>
      </c>
      <c r="U896" t="s">
        <v>20</v>
      </c>
      <c r="V896" t="s">
        <v>312</v>
      </c>
      <c r="W896" t="s">
        <v>22</v>
      </c>
      <c r="X896" t="s">
        <v>22</v>
      </c>
      <c r="Y896" t="s">
        <v>313</v>
      </c>
      <c r="Z896">
        <v>463</v>
      </c>
    </row>
    <row r="897" spans="1:26" hidden="1" x14ac:dyDescent="0.25">
      <c r="A897">
        <f>COUNTIF($P$2:P897,P897)</f>
        <v>7</v>
      </c>
      <c r="B897">
        <f>COUNTIF($A$2:A897,1)</f>
        <v>25</v>
      </c>
      <c r="C897" t="str">
        <f t="shared" si="65"/>
        <v>VMS</v>
      </c>
      <c r="D897" t="str">
        <f t="shared" si="66"/>
        <v>VMSIntegrator</v>
      </c>
      <c r="E897">
        <f>COUNTIF($R$2:R897,R897)</f>
        <v>7</v>
      </c>
      <c r="F897">
        <f>COUNTIF($E$2:E897,1)</f>
        <v>39</v>
      </c>
      <c r="G897" t="str">
        <f t="shared" si="67"/>
        <v>verifyme.services.verifyme</v>
      </c>
      <c r="H897" t="str">
        <f t="shared" si="68"/>
        <v>VMSverifyme.services.verifymeIntegrator</v>
      </c>
      <c r="I897" t="str">
        <f t="shared" si="69"/>
        <v>VMSverifyme.services.verifymeentity.redirect.url</v>
      </c>
      <c r="J897">
        <f>IF(I897="",0,COUNTIF($I$2:I897,I897))</f>
        <v>1</v>
      </c>
      <c r="K897">
        <f>COUNTIF($J$2:J897,1)</f>
        <v>152</v>
      </c>
      <c r="N897">
        <v>1</v>
      </c>
      <c r="O897" t="s">
        <v>23</v>
      </c>
      <c r="P897" t="s">
        <v>297</v>
      </c>
      <c r="Q897" t="s">
        <v>298</v>
      </c>
      <c r="R897" t="s">
        <v>299</v>
      </c>
      <c r="S897" t="s">
        <v>300</v>
      </c>
      <c r="T897" t="s">
        <v>301</v>
      </c>
      <c r="U897" t="s">
        <v>20</v>
      </c>
      <c r="V897" t="s">
        <v>70</v>
      </c>
      <c r="W897" t="s">
        <v>22</v>
      </c>
      <c r="X897" t="s">
        <v>22</v>
      </c>
      <c r="Y897" t="s">
        <v>71</v>
      </c>
      <c r="Z897">
        <v>461</v>
      </c>
    </row>
    <row r="898" spans="1:26" hidden="1" x14ac:dyDescent="0.25">
      <c r="A898">
        <f>COUNTIF($P$2:P898,P898)</f>
        <v>8</v>
      </c>
      <c r="B898">
        <f>COUNTIF($A$2:A898,1)</f>
        <v>25</v>
      </c>
      <c r="C898" t="str">
        <f t="shared" si="65"/>
        <v>VMS</v>
      </c>
      <c r="D898" t="str">
        <f t="shared" si="66"/>
        <v>VMSIntegrator</v>
      </c>
      <c r="E898">
        <f>COUNTIF($R$2:R898,R898)</f>
        <v>8</v>
      </c>
      <c r="F898">
        <f>COUNTIF($E$2:E898,1)</f>
        <v>39</v>
      </c>
      <c r="G898" t="str">
        <f t="shared" si="67"/>
        <v>verifyme.services.verifyme</v>
      </c>
      <c r="H898" t="str">
        <f t="shared" si="68"/>
        <v>VMSverifyme.services.verifymeIntegrator</v>
      </c>
      <c r="I898" t="str">
        <f t="shared" si="69"/>
        <v>VMSverifyme.services.verifymeentity.webhook.url</v>
      </c>
      <c r="J898">
        <f>IF(I898="",0,COUNTIF($I$2:I898,I898))</f>
        <v>1</v>
      </c>
      <c r="K898">
        <f>COUNTIF($J$2:J898,1)</f>
        <v>153</v>
      </c>
      <c r="N898">
        <v>1</v>
      </c>
      <c r="O898" t="s">
        <v>23</v>
      </c>
      <c r="P898" t="s">
        <v>297</v>
      </c>
      <c r="Q898" t="s">
        <v>298</v>
      </c>
      <c r="R898" t="s">
        <v>299</v>
      </c>
      <c r="S898" t="s">
        <v>300</v>
      </c>
      <c r="T898" t="s">
        <v>301</v>
      </c>
      <c r="U898" t="s">
        <v>20</v>
      </c>
      <c r="V898" t="s">
        <v>72</v>
      </c>
      <c r="W898" t="s">
        <v>22</v>
      </c>
      <c r="X898" t="s">
        <v>22</v>
      </c>
      <c r="Y898" t="s">
        <v>314</v>
      </c>
      <c r="Z898">
        <v>466</v>
      </c>
    </row>
    <row r="899" spans="1:26" hidden="1" x14ac:dyDescent="0.25">
      <c r="A899">
        <f>COUNTIF($P$2:P899,P899)</f>
        <v>9</v>
      </c>
      <c r="B899">
        <f>COUNTIF($A$2:A899,1)</f>
        <v>25</v>
      </c>
      <c r="C899" t="str">
        <f t="shared" ref="C899:C900" si="70">IF(A899=1,P899,C898)</f>
        <v>VMS</v>
      </c>
      <c r="D899" t="str">
        <f t="shared" ref="D899:D900" si="71">C899&amp;O899</f>
        <v>VMSIntegrator</v>
      </c>
      <c r="E899">
        <f>COUNTIF($R$2:R899,R899)</f>
        <v>9</v>
      </c>
      <c r="F899">
        <f>COUNTIF($E$2:E899,1)</f>
        <v>39</v>
      </c>
      <c r="G899" t="str">
        <f t="shared" ref="G899:G900" si="72">IF(E899=1,R899,G898)</f>
        <v>verifyme.services.verifyme</v>
      </c>
      <c r="H899" t="str">
        <f t="shared" ref="H899:H900" si="73">C899&amp;G899&amp;O899</f>
        <v>VMSverifyme.services.verifymeIntegrator</v>
      </c>
      <c r="I899" t="str">
        <f t="shared" ref="I899:I900" si="74">IF(V899="","",P899&amp;R899&amp;V899)</f>
        <v/>
      </c>
      <c r="J899">
        <f>IF(I899="",0,COUNTIF($I$2:I899,I899))</f>
        <v>0</v>
      </c>
      <c r="K899">
        <f>COUNTIF($J$2:J899,1)</f>
        <v>153</v>
      </c>
      <c r="N899">
        <v>1</v>
      </c>
      <c r="O899" t="s">
        <v>23</v>
      </c>
      <c r="P899" t="s">
        <v>297</v>
      </c>
      <c r="Q899" t="s">
        <v>298</v>
      </c>
      <c r="R899" t="s">
        <v>299</v>
      </c>
      <c r="S899" t="s">
        <v>300</v>
      </c>
      <c r="T899" t="s">
        <v>301</v>
      </c>
      <c r="U899" t="s">
        <v>20</v>
      </c>
      <c r="W899" t="s">
        <v>21</v>
      </c>
    </row>
    <row r="900" spans="1:26" hidden="1" x14ac:dyDescent="0.25">
      <c r="A900">
        <f>COUNTIF($P$2:P900,P900)</f>
        <v>10</v>
      </c>
      <c r="B900">
        <f>COUNTIF($A$2:A900,1)</f>
        <v>25</v>
      </c>
      <c r="C900" t="str">
        <f t="shared" si="70"/>
        <v>VMS</v>
      </c>
      <c r="D900" t="str">
        <f t="shared" si="71"/>
        <v>VMSParent</v>
      </c>
      <c r="E900">
        <f>COUNTIF($R$2:R900,R900)</f>
        <v>10</v>
      </c>
      <c r="F900">
        <f>COUNTIF($E$2:E900,1)</f>
        <v>39</v>
      </c>
      <c r="G900" t="str">
        <f t="shared" si="72"/>
        <v>verifyme.services.verifyme</v>
      </c>
      <c r="H900" t="str">
        <f t="shared" si="73"/>
        <v>VMSverifyme.services.verifymeParent</v>
      </c>
      <c r="I900" t="str">
        <f t="shared" si="74"/>
        <v/>
      </c>
      <c r="J900">
        <f>IF(I900="",0,COUNTIF($I$2:I900,I900))</f>
        <v>0</v>
      </c>
      <c r="K900">
        <f>COUNTIF($J$2:J900,1)</f>
        <v>153</v>
      </c>
      <c r="N900">
        <v>1</v>
      </c>
      <c r="O900" t="s">
        <v>15</v>
      </c>
      <c r="P900" t="s">
        <v>297</v>
      </c>
      <c r="Q900" t="s">
        <v>298</v>
      </c>
      <c r="R900" t="s">
        <v>299</v>
      </c>
      <c r="S900" t="s">
        <v>300</v>
      </c>
      <c r="T900" t="s">
        <v>301</v>
      </c>
      <c r="U900" t="s">
        <v>20</v>
      </c>
      <c r="W900" t="s">
        <v>21</v>
      </c>
    </row>
  </sheetData>
  <autoFilter ref="N1:Z900" xr:uid="{D64DD364-8876-4047-AF5D-F832B1706542}">
    <filterColumn colId="2">
      <filters>
        <filter val="OCS"/>
      </filters>
    </filterColumn>
    <filterColumn colId="8">
      <filters>
        <filter val="ocs.ed.mandate.default.details"/>
      </filters>
    </filterColumn>
  </autoFilter>
  <conditionalFormatting sqref="O1:AA1048576">
    <cfRule type="containsText" dxfId="2" priority="1" operator="containsText" text="Device">
      <formula>NOT(ISERROR(SEARCH("Device",O1)))</formula>
    </cfRule>
    <cfRule type="containsText" dxfId="1" priority="2" operator="containsText" text="Integrator">
      <formula>NOT(ISERROR(SEARCH("Integrator",O1)))</formula>
    </cfRule>
    <cfRule type="containsText" dxfId="0" priority="3" operator="containsText" text="Parent">
      <formula>NOT(ISERROR(SEARCH("Parent",O1)))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3A448-9349-4320-A149-EF4A3B8A2DEC}">
  <dimension ref="A1:K52"/>
  <sheetViews>
    <sheetView tabSelected="1" topLeftCell="A19" workbookViewId="0">
      <selection activeCell="J35" sqref="J35"/>
    </sheetView>
  </sheetViews>
  <sheetFormatPr defaultRowHeight="15" x14ac:dyDescent="0.25"/>
  <cols>
    <col min="1" max="1" width="6.42578125" customWidth="1"/>
    <col min="2" max="2" width="22" bestFit="1" customWidth="1"/>
    <col min="5" max="5" width="4.42578125" customWidth="1"/>
    <col min="6" max="6" width="25.28515625" bestFit="1" customWidth="1"/>
  </cols>
  <sheetData>
    <row r="1" spans="1:9" x14ac:dyDescent="0.25">
      <c r="A1" s="1" t="s">
        <v>15</v>
      </c>
      <c r="B1">
        <v>1599</v>
      </c>
    </row>
    <row r="2" spans="1:9" x14ac:dyDescent="0.25">
      <c r="A2" s="1" t="s">
        <v>23</v>
      </c>
      <c r="B2">
        <v>1600</v>
      </c>
    </row>
    <row r="3" spans="1:9" x14ac:dyDescent="0.25">
      <c r="A3" s="1" t="s">
        <v>31</v>
      </c>
      <c r="B3">
        <v>1601</v>
      </c>
    </row>
    <row r="5" spans="1:9" x14ac:dyDescent="0.25">
      <c r="A5" s="1" t="s">
        <v>315</v>
      </c>
      <c r="B5" s="1"/>
      <c r="C5" s="1"/>
    </row>
    <row r="6" spans="1:9" x14ac:dyDescent="0.25">
      <c r="A6" s="1" t="s">
        <v>15</v>
      </c>
      <c r="E6" s="1" t="s">
        <v>23</v>
      </c>
      <c r="I6" s="1" t="s">
        <v>31</v>
      </c>
    </row>
    <row r="7" spans="1:9" x14ac:dyDescent="0.25">
      <c r="A7" t="s">
        <v>27</v>
      </c>
      <c r="E7" t="s">
        <v>27</v>
      </c>
      <c r="I7" t="s">
        <v>27</v>
      </c>
    </row>
    <row r="8" spans="1:9" x14ac:dyDescent="0.25">
      <c r="A8" t="s">
        <v>42</v>
      </c>
      <c r="E8" t="s">
        <v>42</v>
      </c>
    </row>
    <row r="9" spans="1:9" x14ac:dyDescent="0.25">
      <c r="A9" t="s">
        <v>47</v>
      </c>
      <c r="E9" t="s">
        <v>47</v>
      </c>
      <c r="I9" t="s">
        <v>47</v>
      </c>
    </row>
    <row r="10" spans="1:9" x14ac:dyDescent="0.25">
      <c r="A10" t="s">
        <v>92</v>
      </c>
      <c r="E10" t="s">
        <v>84</v>
      </c>
      <c r="I10" t="s">
        <v>92</v>
      </c>
    </row>
    <row r="11" spans="1:9" x14ac:dyDescent="0.25">
      <c r="A11" t="s">
        <v>94</v>
      </c>
      <c r="E11" t="s">
        <v>92</v>
      </c>
      <c r="I11" t="s">
        <v>94</v>
      </c>
    </row>
    <row r="12" spans="1:9" x14ac:dyDescent="0.25">
      <c r="A12" t="s">
        <v>103</v>
      </c>
      <c r="E12" t="s">
        <v>94</v>
      </c>
      <c r="I12" t="s">
        <v>103</v>
      </c>
    </row>
    <row r="13" spans="1:9" x14ac:dyDescent="0.25">
      <c r="A13" t="s">
        <v>113</v>
      </c>
      <c r="E13" t="s">
        <v>103</v>
      </c>
      <c r="I13" t="s">
        <v>113</v>
      </c>
    </row>
    <row r="14" spans="1:9" x14ac:dyDescent="0.25">
      <c r="A14" t="s">
        <v>114</v>
      </c>
      <c r="E14" t="s">
        <v>113</v>
      </c>
      <c r="I14" t="s">
        <v>114</v>
      </c>
    </row>
    <row r="15" spans="1:9" x14ac:dyDescent="0.25">
      <c r="A15" t="s">
        <v>150</v>
      </c>
      <c r="E15" t="s">
        <v>114</v>
      </c>
      <c r="I15" t="s">
        <v>173</v>
      </c>
    </row>
    <row r="16" spans="1:9" x14ac:dyDescent="0.25">
      <c r="A16" t="s">
        <v>153</v>
      </c>
      <c r="E16" t="s">
        <v>173</v>
      </c>
      <c r="I16" t="s">
        <v>200</v>
      </c>
    </row>
    <row r="17" spans="1:9" x14ac:dyDescent="0.25">
      <c r="A17" t="s">
        <v>157</v>
      </c>
      <c r="E17" t="s">
        <v>200</v>
      </c>
      <c r="I17" t="s">
        <v>204</v>
      </c>
    </row>
    <row r="18" spans="1:9" x14ac:dyDescent="0.25">
      <c r="A18" t="s">
        <v>160</v>
      </c>
      <c r="E18" t="s">
        <v>204</v>
      </c>
      <c r="I18" t="s">
        <v>266</v>
      </c>
    </row>
    <row r="19" spans="1:9" x14ac:dyDescent="0.25">
      <c r="A19" t="s">
        <v>164</v>
      </c>
      <c r="E19" t="s">
        <v>255</v>
      </c>
      <c r="I19" t="s">
        <v>284</v>
      </c>
    </row>
    <row r="20" spans="1:9" x14ac:dyDescent="0.25">
      <c r="A20" t="s">
        <v>173</v>
      </c>
      <c r="E20" t="s">
        <v>266</v>
      </c>
      <c r="I20" t="s">
        <v>290</v>
      </c>
    </row>
    <row r="21" spans="1:9" x14ac:dyDescent="0.25">
      <c r="A21" t="s">
        <v>200</v>
      </c>
      <c r="E21" t="s">
        <v>284</v>
      </c>
    </row>
    <row r="22" spans="1:9" x14ac:dyDescent="0.25">
      <c r="A22" t="s">
        <v>204</v>
      </c>
      <c r="E22" t="s">
        <v>290</v>
      </c>
    </row>
    <row r="23" spans="1:9" x14ac:dyDescent="0.25">
      <c r="A23" t="s">
        <v>255</v>
      </c>
      <c r="F23" t="s">
        <v>183</v>
      </c>
      <c r="G23" t="s">
        <v>318</v>
      </c>
    </row>
    <row r="24" spans="1:9" x14ac:dyDescent="0.25">
      <c r="A24" t="s">
        <v>266</v>
      </c>
    </row>
    <row r="25" spans="1:9" x14ac:dyDescent="0.25">
      <c r="A25" t="s">
        <v>284</v>
      </c>
    </row>
    <row r="26" spans="1:9" x14ac:dyDescent="0.25">
      <c r="A26" t="s">
        <v>290</v>
      </c>
    </row>
    <row r="27" spans="1:9" x14ac:dyDescent="0.25">
      <c r="B27" t="s">
        <v>282</v>
      </c>
      <c r="C27" t="s">
        <v>316</v>
      </c>
    </row>
    <row r="28" spans="1:9" x14ac:dyDescent="0.25">
      <c r="B28" t="s">
        <v>280</v>
      </c>
      <c r="C28" t="s">
        <v>317</v>
      </c>
    </row>
    <row r="30" spans="1:9" x14ac:dyDescent="0.25">
      <c r="A30" t="s">
        <v>319</v>
      </c>
    </row>
    <row r="31" spans="1:9" x14ac:dyDescent="0.25">
      <c r="A31" t="s">
        <v>15</v>
      </c>
      <c r="E31" t="s">
        <v>23</v>
      </c>
      <c r="I31" t="s">
        <v>31</v>
      </c>
    </row>
    <row r="32" spans="1:9" x14ac:dyDescent="0.25">
      <c r="A32" t="s">
        <v>25</v>
      </c>
      <c r="E32" t="s">
        <v>25</v>
      </c>
      <c r="I32" t="s">
        <v>25</v>
      </c>
    </row>
    <row r="33" spans="1:11" x14ac:dyDescent="0.25">
      <c r="A33" t="s">
        <v>40</v>
      </c>
      <c r="E33" t="s">
        <v>40</v>
      </c>
    </row>
    <row r="34" spans="1:11" x14ac:dyDescent="0.25">
      <c r="A34" t="s">
        <v>45</v>
      </c>
      <c r="E34" t="s">
        <v>45</v>
      </c>
      <c r="I34" t="s">
        <v>45</v>
      </c>
    </row>
    <row r="35" spans="1:11" x14ac:dyDescent="0.25">
      <c r="A35" t="s">
        <v>59</v>
      </c>
      <c r="E35" t="s">
        <v>59</v>
      </c>
      <c r="I35" t="s">
        <v>90</v>
      </c>
    </row>
    <row r="36" spans="1:11" x14ac:dyDescent="0.25">
      <c r="A36" t="s">
        <v>78</v>
      </c>
      <c r="E36" t="s">
        <v>78</v>
      </c>
      <c r="I36" t="s">
        <v>101</v>
      </c>
    </row>
    <row r="37" spans="1:11" x14ac:dyDescent="0.25">
      <c r="A37" t="s">
        <v>90</v>
      </c>
      <c r="E37" t="s">
        <v>82</v>
      </c>
      <c r="I37" t="s">
        <v>171</v>
      </c>
      <c r="J37" t="s">
        <v>179</v>
      </c>
      <c r="K37" t="s">
        <v>180</v>
      </c>
    </row>
    <row r="38" spans="1:11" x14ac:dyDescent="0.25">
      <c r="A38" t="s">
        <v>97</v>
      </c>
      <c r="E38" t="s">
        <v>90</v>
      </c>
      <c r="I38" t="s">
        <v>264</v>
      </c>
      <c r="J38" t="s">
        <v>273</v>
      </c>
      <c r="K38" t="s">
        <v>274</v>
      </c>
    </row>
    <row r="39" spans="1:11" x14ac:dyDescent="0.25">
      <c r="A39" t="s">
        <v>101</v>
      </c>
      <c r="B39" t="s">
        <v>110</v>
      </c>
      <c r="C39" t="s">
        <v>320</v>
      </c>
      <c r="E39" t="s">
        <v>97</v>
      </c>
      <c r="I39" t="s">
        <v>264</v>
      </c>
      <c r="J39" t="s">
        <v>275</v>
      </c>
      <c r="K39" t="s">
        <v>276</v>
      </c>
    </row>
    <row r="40" spans="1:11" x14ac:dyDescent="0.25">
      <c r="A40" t="s">
        <v>148</v>
      </c>
      <c r="E40" t="s">
        <v>101</v>
      </c>
      <c r="I40" t="s">
        <v>264</v>
      </c>
      <c r="J40" t="s">
        <v>268</v>
      </c>
      <c r="K40" t="b">
        <v>1</v>
      </c>
    </row>
    <row r="41" spans="1:11" x14ac:dyDescent="0.25">
      <c r="A41" t="s">
        <v>171</v>
      </c>
      <c r="B41" t="s">
        <v>195</v>
      </c>
      <c r="C41" t="s">
        <v>321</v>
      </c>
      <c r="E41" t="s">
        <v>148</v>
      </c>
      <c r="I41" t="s">
        <v>264</v>
      </c>
      <c r="J41" t="s">
        <v>278</v>
      </c>
      <c r="K41" t="s">
        <v>279</v>
      </c>
    </row>
    <row r="42" spans="1:11" x14ac:dyDescent="0.25">
      <c r="A42" t="s">
        <v>171</v>
      </c>
      <c r="B42" t="s">
        <v>198</v>
      </c>
      <c r="C42" t="s">
        <v>316</v>
      </c>
      <c r="E42" t="s">
        <v>171</v>
      </c>
      <c r="I42" t="s">
        <v>264</v>
      </c>
      <c r="J42" t="s">
        <v>269</v>
      </c>
      <c r="K42" t="s">
        <v>270</v>
      </c>
    </row>
    <row r="43" spans="1:11" x14ac:dyDescent="0.25">
      <c r="A43" t="s">
        <v>171</v>
      </c>
      <c r="B43" t="s">
        <v>196</v>
      </c>
      <c r="C43" t="s">
        <v>317</v>
      </c>
      <c r="E43" t="s">
        <v>253</v>
      </c>
      <c r="I43" t="s">
        <v>264</v>
      </c>
      <c r="J43" t="s">
        <v>277</v>
      </c>
      <c r="K43">
        <v>3386216</v>
      </c>
    </row>
    <row r="44" spans="1:11" x14ac:dyDescent="0.25">
      <c r="A44" t="s">
        <v>171</v>
      </c>
      <c r="B44" t="s">
        <v>192</v>
      </c>
      <c r="C44" t="s">
        <v>322</v>
      </c>
      <c r="E44" t="s">
        <v>259</v>
      </c>
      <c r="I44" t="s">
        <v>264</v>
      </c>
      <c r="J44" t="s">
        <v>177</v>
      </c>
      <c r="K44" t="b">
        <v>1</v>
      </c>
    </row>
    <row r="45" spans="1:11" x14ac:dyDescent="0.25">
      <c r="A45" t="s">
        <v>171</v>
      </c>
      <c r="B45" t="s">
        <v>191</v>
      </c>
      <c r="C45" t="b">
        <v>1</v>
      </c>
      <c r="E45" t="s">
        <v>264</v>
      </c>
      <c r="I45" t="s">
        <v>264</v>
      </c>
      <c r="J45" t="s">
        <v>272</v>
      </c>
      <c r="K45" t="b">
        <v>1</v>
      </c>
    </row>
    <row r="46" spans="1:11" x14ac:dyDescent="0.25">
      <c r="A46" t="s">
        <v>171</v>
      </c>
      <c r="B46" t="s">
        <v>194</v>
      </c>
      <c r="I46" t="s">
        <v>264</v>
      </c>
      <c r="J46" t="s">
        <v>271</v>
      </c>
      <c r="K46" t="b">
        <v>1</v>
      </c>
    </row>
    <row r="47" spans="1:11" x14ac:dyDescent="0.25">
      <c r="A47" t="s">
        <v>171</v>
      </c>
      <c r="B47" t="s">
        <v>181</v>
      </c>
      <c r="C47" t="s">
        <v>321</v>
      </c>
      <c r="I47" t="s">
        <v>264</v>
      </c>
      <c r="J47" t="s">
        <v>178</v>
      </c>
      <c r="K47" t="b">
        <v>1</v>
      </c>
    </row>
    <row r="48" spans="1:11" x14ac:dyDescent="0.25">
      <c r="A48" t="s">
        <v>171</v>
      </c>
      <c r="B48" t="s">
        <v>189</v>
      </c>
      <c r="C48" t="s">
        <v>323</v>
      </c>
    </row>
    <row r="49" spans="1:1" x14ac:dyDescent="0.25">
      <c r="A49" t="s">
        <v>210</v>
      </c>
    </row>
    <row r="50" spans="1:1" x14ac:dyDescent="0.25">
      <c r="A50" t="s">
        <v>253</v>
      </c>
    </row>
    <row r="51" spans="1:1" x14ac:dyDescent="0.25">
      <c r="A51" t="s">
        <v>259</v>
      </c>
    </row>
    <row r="52" spans="1:1" x14ac:dyDescent="0.25">
      <c r="A52" t="s">
        <v>264</v>
      </c>
    </row>
  </sheetData>
  <sortState xmlns:xlrd2="http://schemas.microsoft.com/office/spreadsheetml/2017/richdata2" ref="I7:I19">
    <sortCondition ref="I7:I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BVLFS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 Kleyn</dc:creator>
  <cp:lastModifiedBy>Shaun Kleyn</cp:lastModifiedBy>
  <dcterms:created xsi:type="dcterms:W3CDTF">2025-12-12T10:26:24Z</dcterms:created>
  <dcterms:modified xsi:type="dcterms:W3CDTF">2026-01-13T12:43:50Z</dcterms:modified>
</cp:coreProperties>
</file>